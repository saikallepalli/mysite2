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Reflections" sheetId="2" state="visible" r:id="rId2"/>
    <sheet xmlns:r="http://schemas.openxmlformats.org/officeDocument/2006/relationships" name="Visits" sheetId="3" state="visible" r:id="rId3"/>
    <sheet xmlns:r="http://schemas.openxmlformats.org/officeDocument/2006/relationships" name="Data" sheetId="4" state="visible" r:id="rId4"/>
    <sheet xmlns:r="http://schemas.openxmlformats.org/officeDocument/2006/relationships" name="ItemStats" sheetId="5" state="hidden" r:id="rId5"/>
    <sheet xmlns:r="http://schemas.openxmlformats.org/officeDocument/2006/relationships" name="Lists" sheetId="6" state="hidden" r:id="rId6"/>
  </sheets>
  <definedNames>
    <definedName name="Ctr_AllManagers">Lists!$B$1:$B$75</definedName>
    <definedName name="Ctr_AmitChakraborty">Lists!$C$1:$C$11</definedName>
    <definedName name="Ctr_Barna">Lists!$D$1:$D$12</definedName>
    <definedName name="Ctr_BhargavChalla">Lists!$E$1:$E$7</definedName>
    <definedName name="Ctr_GagandeepSinghSachar">Lists!$F$1:$F$11</definedName>
    <definedName name="Ctr_MahaboobBasha">Lists!$G$1:$G$4</definedName>
    <definedName name="Ctr_Phani">Lists!$H$1:$H$15</definedName>
    <definedName name="Ctr_RaghavenderRao">Lists!$I$1:$I$4</definedName>
    <definedName name="Ctr_SJakir">Lists!$J$1:$J$16</definedName>
    <definedName name="Ctr_SanjayKumarTarai">Lists!$K$1:$K$3</definedName>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Arial"/>
      <b val="1"/>
      <color rgb="00FFFFFF"/>
      <sz val="18"/>
    </font>
    <font>
      <name val="Arial"/>
      <i val="1"/>
      <color rgb="00595959"/>
      <sz val="10"/>
    </font>
    <font>
      <name val="Arial"/>
      <b val="1"/>
      <color rgb="00000000"/>
      <sz val="11"/>
    </font>
    <font>
      <name val="Arial"/>
      <b val="1"/>
      <color rgb="001F3864"/>
      <sz val="11"/>
    </font>
    <font>
      <name val="Arial"/>
      <i val="1"/>
      <color rgb="008A8A8A"/>
      <sz val="8"/>
    </font>
    <font>
      <name val="Arial"/>
      <color rgb="00BFBFBF"/>
      <sz val="8"/>
    </font>
    <font>
      <name val="Arial"/>
      <b val="1"/>
      <color rgb="00595959"/>
      <sz val="9"/>
    </font>
    <font>
      <name val="Arial"/>
      <b val="1"/>
      <color rgb="001F3864"/>
      <sz val="16"/>
    </font>
    <font>
      <name val="Arial"/>
      <i val="1"/>
      <color rgb="00808080"/>
      <sz val="8"/>
    </font>
    <font>
      <name val="Arial"/>
      <b val="1"/>
      <color rgb="001F3864"/>
      <sz val="13"/>
    </font>
    <font>
      <name val="Arial"/>
      <b val="1"/>
      <color rgb="00FFFFFF"/>
      <sz val="10"/>
    </font>
    <font>
      <name val="Arial"/>
      <color rgb="00000000"/>
      <sz val="10"/>
    </font>
    <font>
      <name val="Arial"/>
      <i val="1"/>
      <color rgb="00595959"/>
      <sz val="9"/>
    </font>
    <font>
      <name val="Arial"/>
      <color rgb="00000000"/>
      <sz val="9"/>
    </font>
    <font>
      <name val="Arial"/>
      <b val="1"/>
      <color rgb="00FFFFFF"/>
      <sz val="14"/>
    </font>
  </fonts>
  <fills count="6">
    <fill>
      <patternFill/>
    </fill>
    <fill>
      <patternFill patternType="gray125"/>
    </fill>
    <fill>
      <patternFill patternType="solid">
        <fgColor rgb="001F3864"/>
        <bgColor rgb="001F3864"/>
      </patternFill>
    </fill>
    <fill>
      <patternFill patternType="solid">
        <fgColor rgb="00FFF2CC"/>
        <bgColor rgb="00FFF2CC"/>
      </patternFill>
    </fill>
    <fill>
      <patternFill patternType="solid">
        <fgColor rgb="00F2F2F2"/>
        <bgColor rgb="00F2F2F2"/>
      </patternFill>
    </fill>
    <fill>
      <patternFill patternType="solid">
        <fgColor rgb="00B8860B"/>
        <bgColor rgb="00B8860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pivotButton="0" quotePrefix="0" xfId="0"/>
    <xf numFmtId="0" fontId="3" fillId="0" borderId="0" pivotButton="0" quotePrefix="0" xfId="0"/>
    <xf numFmtId="0" fontId="4" fillId="3" borderId="1" applyAlignment="1" pivotButton="0" quotePrefix="0" xfId="0">
      <alignment horizontal="center"/>
    </xf>
    <xf numFmtId="0" fontId="5" fillId="0" borderId="0" pivotButton="0" quotePrefix="0" xfId="0"/>
    <xf numFmtId="0" fontId="6" fillId="0" borderId="0" pivotButton="0" quotePrefix="0" xfId="0"/>
    <xf numFmtId="0" fontId="7" fillId="4" borderId="1" pivotButton="0" quotePrefix="0" xfId="0"/>
    <xf numFmtId="0" fontId="0" fillId="4" borderId="1" pivotButton="0" quotePrefix="0" xfId="0"/>
    <xf numFmtId="0" fontId="8" fillId="4" borderId="1" applyAlignment="1" pivotButton="0" quotePrefix="0" xfId="0">
      <alignment horizontal="left" vertical="center" wrapText="1"/>
    </xf>
    <xf numFmtId="1" fontId="0" fillId="4" borderId="1" pivotButton="0" quotePrefix="0" xfId="0"/>
    <xf numFmtId="164" fontId="8" fillId="4" borderId="1" applyAlignment="1" pivotButton="0" quotePrefix="0" xfId="0">
      <alignment horizontal="left" vertical="center" wrapText="1"/>
    </xf>
    <xf numFmtId="0" fontId="9" fillId="4" borderId="1" applyAlignment="1" pivotButton="0" quotePrefix="0" xfId="0">
      <alignment horizontal="left" vertical="top" wrapText="1"/>
    </xf>
    <xf numFmtId="0" fontId="10" fillId="0" borderId="0" pivotButton="0" quotePrefix="0" xfId="0"/>
    <xf numFmtId="0" fontId="11" fillId="2" borderId="1" applyAlignment="1" pivotButton="0" quotePrefix="0" xfId="0">
      <alignment horizontal="center"/>
    </xf>
    <xf numFmtId="0" fontId="12" fillId="0" borderId="1" applyAlignment="1" pivotButton="0" quotePrefix="0" xfId="0">
      <alignment horizontal="left"/>
    </xf>
    <xf numFmtId="0" fontId="12" fillId="0" borderId="1" applyAlignment="1" pivotButton="0" quotePrefix="0" xfId="0">
      <alignment horizontal="center"/>
    </xf>
    <xf numFmtId="164" fontId="12" fillId="0" borderId="1" applyAlignment="1" pivotButton="0" quotePrefix="0" xfId="0">
      <alignment horizontal="center"/>
    </xf>
    <xf numFmtId="0" fontId="12" fillId="4" borderId="1" applyAlignment="1" pivotButton="0" quotePrefix="0" xfId="0">
      <alignment horizontal="left"/>
    </xf>
    <xf numFmtId="0" fontId="12" fillId="4" borderId="1" applyAlignment="1" pivotButton="0" quotePrefix="0" xfId="0">
      <alignment horizontal="center"/>
    </xf>
    <xf numFmtId="164" fontId="12" fillId="4" borderId="1" applyAlignment="1" pivotButton="0" quotePrefix="0" xfId="0">
      <alignment horizontal="center"/>
    </xf>
    <xf numFmtId="0" fontId="13" fillId="0" borderId="0" pivotButton="0" quotePrefix="0" xfId="0"/>
    <xf numFmtId="0" fontId="11" fillId="5" borderId="1" applyAlignment="1" pivotButton="0" quotePrefix="0" xfId="0">
      <alignment horizontal="center"/>
    </xf>
    <xf numFmtId="0" fontId="12" fillId="0" borderId="1" applyAlignment="1" pivotButton="0" quotePrefix="0" xfId="0">
      <alignment horizontal="center"/>
    </xf>
    <xf numFmtId="0" fontId="12" fillId="0" borderId="1" applyAlignment="1" pivotButton="0" quotePrefix="0" xfId="0">
      <alignment horizontal="left" wrapText="1"/>
    </xf>
    <xf numFmtId="164" fontId="12" fillId="0" borderId="1" applyAlignment="1" pivotButton="0" quotePrefix="0" xfId="0">
      <alignment horizontal="center"/>
    </xf>
    <xf numFmtId="0" fontId="12" fillId="4" borderId="1" applyAlignment="1" pivotButton="0" quotePrefix="0" xfId="0">
      <alignment horizontal="center"/>
    </xf>
    <xf numFmtId="0" fontId="12" fillId="4" borderId="1" applyAlignment="1" pivotButton="0" quotePrefix="0" xfId="0">
      <alignment horizontal="left" wrapText="1"/>
    </xf>
    <xf numFmtId="164" fontId="12" fillId="4" borderId="1" applyAlignment="1" pivotButton="0" quotePrefix="0" xfId="0">
      <alignment horizontal="center"/>
    </xf>
    <xf numFmtId="0" fontId="15" fillId="2" borderId="0" pivotButton="0" quotePrefix="0" xfId="0"/>
    <xf numFmtId="0" fontId="11" fillId="5" borderId="0" applyAlignment="1" pivotButton="0" quotePrefix="0" xfId="0">
      <alignment horizontal="center" wrapText="1"/>
    </xf>
    <xf numFmtId="0" fontId="14" fillId="0" borderId="1" applyAlignment="1" pivotButton="0" quotePrefix="0" xfId="0">
      <alignment horizontal="center" vertical="top" wrapText="1"/>
    </xf>
    <xf numFmtId="0" fontId="14" fillId="0" borderId="1" applyAlignment="1" pivotButton="0" quotePrefix="0" xfId="0">
      <alignment horizontal="left" vertical="top" wrapText="1"/>
    </xf>
    <xf numFmtId="0" fontId="14" fillId="4" borderId="1" applyAlignment="1" pivotButton="0" quotePrefix="0" xfId="0">
      <alignment horizontal="center" vertical="top" wrapText="1"/>
    </xf>
    <xf numFmtId="0" fontId="14" fillId="4" borderId="1" applyAlignment="1" pivotButton="0" quotePrefix="0" xfId="0">
      <alignment horizontal="left" vertical="top" wrapText="1"/>
    </xf>
    <xf numFmtId="0" fontId="11" fillId="2" borderId="0" pivotButton="0" quotePrefix="0" xfId="0"/>
    <xf numFmtId="0" fontId="14" fillId="0" borderId="0" pivotButton="0" quotePrefix="0" xfId="0"/>
    <xf numFmtId="164"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 Need Improvement by Section</a:t>
            </a:r>
          </a:p>
        </rich>
      </tx>
    </title>
    <plotArea>
      <barChart>
        <barDir val="bar"/>
        <grouping val="clustered"/>
        <ser>
          <idx val="0"/>
          <order val="0"/>
          <tx>
            <strRef>
              <f>'Dashboard'!E17</f>
            </strRef>
          </tx>
          <spPr>
            <a:ln xmlns:a="http://schemas.openxmlformats.org/drawingml/2006/main">
              <a:prstDash val="solid"/>
            </a:ln>
          </spPr>
          <cat>
            <numRef>
              <f>'Dashboard'!$A$18:$A$21</f>
            </numRef>
          </cat>
          <val>
            <numRef>
              <f>'Dashboard'!$E$18:$E$21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15</row>
      <rowOff>0</rowOff>
    </from>
    <ext cx="540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blVisits" displayName="tblVisits" ref="A1:U75" headerRowCount="1">
  <autoFilter ref="A1:U75"/>
  <tableColumns count="21">
    <tableColumn id="1" name="Manager"/>
    <tableColumn id="2" name="Centre"/>
    <tableColumn id="3" name="Program"/>
    <tableColumn id="4" name="Date"/>
    <tableColumn id="5" name="DataCheck_AW"/>
    <tableColumn id="6" name="DataCheck_NI"/>
    <tableColumn id="7" name="DataCheck_NA"/>
    <tableColumn id="8" name="InfraCheck_AW"/>
    <tableColumn id="9" name="InfraCheck_NI"/>
    <tableColumn id="10" name="InfraCheck_NA"/>
    <tableColumn id="11" name="ProcessCheck_AW"/>
    <tableColumn id="12" name="ProcessCheck_NI"/>
    <tableColumn id="13" name="ProcessCheck_NA"/>
    <tableColumn id="14" name="AspirantInt_AW"/>
    <tableColumn id="15" name="AspirantInt_NI"/>
    <tableColumn id="16" name="AspirantInt_NA"/>
    <tableColumn id="17" name="Q_Bottleneck"/>
    <tableColumn id="18" name="Q_PlacementAction"/>
    <tableColumn id="19" name="Q_BatchOnTimeAction"/>
    <tableColumn id="20" name="MatchFlag"/>
    <tableColumn id="21" name="MatchRank"/>
  </tableColumns>
  <tableStyleInfo name="TableStyleMedium2" showRowStripes="1"/>
</table>
</file>

<file path=xl/tables/table2.xml><?xml version="1.0" encoding="utf-8"?>
<table xmlns="http://schemas.openxmlformats.org/spreadsheetml/2006/main" id="2" name="tblData" displayName="tblData" ref="A1:G3627" headerRowCount="1">
  <autoFilter ref="A1:G3627"/>
  <tableColumns count="7">
    <tableColumn id="1" name="Manager"/>
    <tableColumn id="2" name="Centre"/>
    <tableColumn id="3" name="Program"/>
    <tableColumn id="4" name="Date"/>
    <tableColumn id="5" name="Section"/>
    <tableColumn id="6" name="Item"/>
    <tableColumn id="7"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H40"/>
  <sheetViews>
    <sheetView showGridLines="0" tabSelected="1" topLeftCell="A1" workbookViewId="0">
      <pane ySplit="7" topLeftCell="A8" activePane="bottomLeft" state="frozen"/>
      <selection pane="bottomLeft" activeCell="A1" sqref="A1"/>
    </sheetView>
  </sheetViews>
  <sheetFormatPr baseColWidth="8" defaultRowHeight="15"/>
  <cols>
    <col width="22" customWidth="1" min="1" max="1"/>
    <col width="46" customWidth="1" min="2" max="2"/>
    <col width="16" customWidth="1" min="3" max="3"/>
    <col width="14" customWidth="1" min="4" max="4"/>
    <col width="18" customWidth="1" min="5" max="5"/>
    <col width="14" customWidth="1" min="6" max="6"/>
    <col width="14" customWidth="1" min="7" max="7"/>
    <col width="14" customWidth="1" min="8" max="8"/>
  </cols>
  <sheetData>
    <row r="1" ht="18" customHeight="1">
      <c r="A1" s="1" t="inlineStr">
        <is>
          <t>Unannounced Monthly Centre Visit — Interactive Dashboard</t>
        </is>
      </c>
      <c r="B1" s="2" t="n"/>
      <c r="C1" s="2" t="n"/>
      <c r="D1" s="2" t="n"/>
      <c r="E1" s="2" t="n"/>
      <c r="F1" s="2" t="n"/>
      <c r="G1" s="2" t="n"/>
      <c r="H1" s="2" t="n"/>
    </row>
    <row r="2" ht="18" customHeight="1">
      <c r="A2" s="2" t="n"/>
      <c r="B2" s="2" t="n"/>
      <c r="C2" s="2" t="n"/>
      <c r="D2" s="2" t="n"/>
      <c r="E2" s="2" t="n"/>
      <c r="F2" s="2" t="n"/>
      <c r="G2" s="2" t="n"/>
      <c r="H2" s="2" t="n"/>
    </row>
    <row r="3" ht="16" customHeight="1">
      <c r="A3" s="3" t="inlineStr">
        <is>
          <t>Second Level Manager field audits · 1 Jul 2026–23 Jul 2026 · Select a Manager and/or Centre below to filter every table and chart on this sheet</t>
        </is>
      </c>
    </row>
    <row r="5">
      <c r="A5" s="4" t="inlineStr">
        <is>
          <t>Second Level Manager:</t>
        </is>
      </c>
      <c r="B5" s="5" t="inlineStr">
        <is>
          <t>All Managers</t>
        </is>
      </c>
      <c r="D5" s="4" t="inlineStr">
        <is>
          <t>Centre:</t>
        </is>
      </c>
      <c r="E5" s="5" t="inlineStr">
        <is>
          <t>All Centres</t>
        </is>
      </c>
    </row>
    <row r="6">
      <c r="A6" s="6" t="inlineStr">
        <is>
          <t>The Centre list narrows to the selected Manager's centres — if you switch Manager, reopen the Centre dropdown and pick again.</t>
        </is>
      </c>
    </row>
    <row r="7" hidden="1">
      <c r="A7" s="7" t="inlineStr">
        <is>
          <t>internal:</t>
        </is>
      </c>
      <c r="B7" s="7">
        <f>IF($B$5="All Managers","*",$B$5)</f>
        <v/>
      </c>
      <c r="C7" s="7">
        <f>IF($E$5="All Centres","*",$E$5)</f>
        <v/>
      </c>
    </row>
    <row r="9" ht="14" customHeight="1">
      <c r="A9" s="8" t="inlineStr">
        <is>
          <t>Visits in View</t>
        </is>
      </c>
      <c r="B9" s="9" t="n"/>
      <c r="C9" s="8" t="inlineStr">
        <is>
          <t>Overall % Need Improvement</t>
        </is>
      </c>
      <c r="D9" s="9" t="n"/>
      <c r="E9" s="8" t="inlineStr">
        <is>
          <t>Weakest Section</t>
        </is>
      </c>
      <c r="F9" s="9" t="n"/>
      <c r="G9" s="8" t="inlineStr">
        <is>
          <t>Top Gap Item</t>
        </is>
      </c>
      <c r="H9" s="9" t="n"/>
    </row>
    <row r="10">
      <c r="A10" s="10">
        <f>COUNTIFS(Visits!$A$2:$A$75,$B$7,Visits!$B$2:$B$75,$C$7)</f>
        <v/>
      </c>
      <c r="B10" s="11" t="n"/>
      <c r="C10" s="12">
        <f>IFERROR((SUMIFS(Visits!$F$2:$F$75,Visits!$A$2:$A$75,$B$7,Visits!$B$2:$B$75,$C$7)+SUMIFS(Visits!$I$2:$I$75,Visits!$A$2:$A$75,$B$7,Visits!$B$2:$B$75,$C$7)+SUMIFS(Visits!$L$2:$L$75,Visits!$A$2:$A$75,$B$7,Visits!$B$2:$B$75,$C$7)+SUMIFS(Visits!$O$2:$O$75,Visits!$A$2:$A$75,$B$7,Visits!$B$2:$B$75,$C$7))/((SUMIFS(Visits!$E$2:$E$75,Visits!$A$2:$A$75,$B$7,Visits!$B$2:$B$75,$C$7)+SUMIFS(Visits!$F$2:$F$75,Visits!$A$2:$A$75,$B$7,Visits!$B$2:$B$75,$C$7))+(SUMIFS(Visits!$H$2:$H$75,Visits!$A$2:$A$75,$B$7,Visits!$B$2:$B$75,$C$7)+SUMIFS(Visits!$I$2:$I$75,Visits!$A$2:$A$75,$B$7,Visits!$B$2:$B$75,$C$7))+(SUMIFS(Visits!$K$2:$K$75,Visits!$A$2:$A$75,$B$7,Visits!$B$2:$B$75,$C$7)+SUMIFS(Visits!$L$2:$L$75,Visits!$A$2:$A$75,$B$7,Visits!$B$2:$B$75,$C$7))+(SUMIFS(Visits!$N$2:$N$75,Visits!$A$2:$A$75,$B$7,Visits!$B$2:$B$75,$C$7)+SUMIFS(Visits!$O$2:$O$75,Visits!$A$2:$A$75,$B$7,Visits!$B$2:$B$75,$C$7))),0)</f>
        <v/>
      </c>
      <c r="D10" s="9" t="n"/>
      <c r="E10" s="10">
        <f>INDEX($A$18:$A$21,MATCH(MAX($E$18:$E$21),$E$18:$E$21,0))</f>
        <v/>
      </c>
      <c r="F10" s="9" t="n"/>
      <c r="G10" s="10">
        <f>B26</f>
        <v/>
      </c>
      <c r="H10" s="9" t="n"/>
    </row>
    <row r="11">
      <c r="A11" s="9" t="n"/>
      <c r="B11" s="9" t="n"/>
      <c r="C11" s="9" t="n"/>
      <c r="D11" s="9" t="n"/>
      <c r="E11" s="9" t="n"/>
      <c r="F11" s="9" t="n"/>
      <c r="G11" s="9" t="n"/>
      <c r="H11" s="9" t="n"/>
    </row>
    <row r="12" ht="28" customHeight="1">
      <c r="A12" s="13" t="inlineStr">
        <is>
          <t>visits matching current filter</t>
        </is>
      </c>
      <c r="B12" s="9" t="n"/>
      <c r="C12" s="13">
        <f>"Of "&amp;SUM($B$18:$D$21)&amp;" checklist items: "&amp;SUM($C$18:$C$21)&amp;" Need Improvement, "&amp;SUM($D$18:$D$21)&amp;" Not Applicable."</f>
        <v/>
      </c>
      <c r="D12" s="9" t="n"/>
      <c r="E12" s="13">
        <f>"Of "&amp;(INDEX($B$18:$B$21,MATCH(MAX($E$18:$E$21),$E$18:$E$21,0))+INDEX($C$18:$C$21,MATCH(MAX($E$18:$E$21),$E$18:$E$21,0))+INDEX($D$18:$D$21,MATCH(MAX($E$18:$E$21),$E$18:$E$21,0)))&amp;" items in this section: "&amp;INDEX($C$18:$C$21,MATCH(MAX($E$18:$E$21),$E$18:$E$21,0))&amp;" Need Improvement, "&amp;INDEX($D$18:$D$21,MATCH(MAX($E$18:$E$21),$E$18:$E$21,0))&amp;" Not Applicable ("&amp;TEXT(MAX($E$18:$E$21),"0.0%")&amp;")."</f>
        <v/>
      </c>
      <c r="F12" s="9" t="n"/>
      <c r="G12" s="13" t="inlineStr">
        <is>
          <t>most-flagged single checklist item in view</t>
        </is>
      </c>
      <c r="H12" s="9" t="n"/>
    </row>
    <row r="16">
      <c r="A16" s="14" t="inlineStr">
        <is>
          <t>Section-Wise Compliance</t>
        </is>
      </c>
    </row>
    <row r="17">
      <c r="A17" s="15" t="inlineStr">
        <is>
          <t>Section</t>
        </is>
      </c>
      <c r="B17" s="15" t="inlineStr">
        <is>
          <t>All is Well</t>
        </is>
      </c>
      <c r="C17" s="15" t="inlineStr">
        <is>
          <t>Need Improvement</t>
        </is>
      </c>
      <c r="D17" s="15" t="inlineStr">
        <is>
          <t>Not Applicable</t>
        </is>
      </c>
      <c r="E17" s="15" t="inlineStr">
        <is>
          <t>% Need Improvement</t>
        </is>
      </c>
    </row>
    <row r="18">
      <c r="A18" s="16" t="inlineStr">
        <is>
          <t>Data Check</t>
        </is>
      </c>
      <c r="B18" s="17">
        <f>SUMIFS(Visits!$E$2:$E$75,Visits!$A$2:$A$75,$B$7,Visits!$B$2:$B$75,$C$7)</f>
        <v/>
      </c>
      <c r="C18" s="17">
        <f>SUMIFS(Visits!$F$2:$F$75,Visits!$A$2:$A$75,$B$7,Visits!$B$2:$B$75,$C$7)</f>
        <v/>
      </c>
      <c r="D18" s="17">
        <f>SUMIFS(Visits!$G$2:$G$75,Visits!$A$2:$A$75,$B$7,Visits!$B$2:$B$75,$C$7)</f>
        <v/>
      </c>
      <c r="E18" s="18">
        <f>IFERROR(C18/(B18+C18),0)</f>
        <v/>
      </c>
    </row>
    <row r="19">
      <c r="A19" s="19" t="inlineStr">
        <is>
          <t>Infra Check</t>
        </is>
      </c>
      <c r="B19" s="20">
        <f>SUMIFS(Visits!$H$2:$H$75,Visits!$A$2:$A$75,$B$7,Visits!$B$2:$B$75,$C$7)</f>
        <v/>
      </c>
      <c r="C19" s="20">
        <f>SUMIFS(Visits!$I$2:$I$75,Visits!$A$2:$A$75,$B$7,Visits!$B$2:$B$75,$C$7)</f>
        <v/>
      </c>
      <c r="D19" s="20">
        <f>SUMIFS(Visits!$J$2:$J$75,Visits!$A$2:$A$75,$B$7,Visits!$B$2:$B$75,$C$7)</f>
        <v/>
      </c>
      <c r="E19" s="21">
        <f>IFERROR(C19/(B19+C19),0)</f>
        <v/>
      </c>
    </row>
    <row r="20">
      <c r="A20" s="16" t="inlineStr">
        <is>
          <t>Process Check</t>
        </is>
      </c>
      <c r="B20" s="17">
        <f>SUMIFS(Visits!$K$2:$K$75,Visits!$A$2:$A$75,$B$7,Visits!$B$2:$B$75,$C$7)</f>
        <v/>
      </c>
      <c r="C20" s="17">
        <f>SUMIFS(Visits!$L$2:$L$75,Visits!$A$2:$A$75,$B$7,Visits!$B$2:$B$75,$C$7)</f>
        <v/>
      </c>
      <c r="D20" s="17">
        <f>SUMIFS(Visits!$M$2:$M$75,Visits!$A$2:$A$75,$B$7,Visits!$B$2:$B$75,$C$7)</f>
        <v/>
      </c>
      <c r="E20" s="18">
        <f>IFERROR(C20/(B20+C20),0)</f>
        <v/>
      </c>
    </row>
    <row r="21">
      <c r="A21" s="19" t="inlineStr">
        <is>
          <t>Aspirant Interaction</t>
        </is>
      </c>
      <c r="B21" s="20">
        <f>SUMIFS(Visits!$N$2:$N$75,Visits!$A$2:$A$75,$B$7,Visits!$B$2:$B$75,$C$7)</f>
        <v/>
      </c>
      <c r="C21" s="20">
        <f>SUMIFS(Visits!$O$2:$O$75,Visits!$A$2:$A$75,$B$7,Visits!$B$2:$B$75,$C$7)</f>
        <v/>
      </c>
      <c r="D21" s="20">
        <f>SUMIFS(Visits!$P$2:$P$75,Visits!$A$2:$A$75,$B$7,Visits!$B$2:$B$75,$C$7)</f>
        <v/>
      </c>
      <c r="E21" s="21">
        <f>IFERROR(C21/(B21+C21),0)</f>
        <v/>
      </c>
    </row>
    <row r="23">
      <c r="A23" s="14" t="inlineStr">
        <is>
          <t>Need Improvement Spotlight — Top 15 Checklist Items</t>
        </is>
      </c>
    </row>
    <row r="24">
      <c r="A24" s="22" t="inlineStr">
        <is>
          <t>Ranked by number of “Need Improvement” flags among visits currently in view</t>
        </is>
      </c>
    </row>
    <row r="25">
      <c r="A25" s="23" t="inlineStr">
        <is>
          <t>Section</t>
        </is>
      </c>
      <c r="B25" s="23" t="inlineStr">
        <is>
          <t>Checklist Item</t>
        </is>
      </c>
      <c r="C25" s="23" t="inlineStr">
        <is>
          <t>Need Improvement</t>
        </is>
      </c>
      <c r="D25" s="23" t="inlineStr">
        <is>
          <t>Applicable N</t>
        </is>
      </c>
      <c r="E25" s="23" t="inlineStr">
        <is>
          <t>% Need Improvement</t>
        </is>
      </c>
    </row>
    <row r="26">
      <c r="A26" s="24">
        <f>IFERROR(INDEX(ItemStats!$A$2:$A$50,MATCH(LARGE(ItemStats!$G$2:$G$50,1),ItemStats!$G$2:$G$50,0)),"")</f>
        <v/>
      </c>
      <c r="B26" s="25">
        <f>IFERROR(INDEX(ItemStats!$B$2:$B$50,MATCH(LARGE(ItemStats!$G$2:$G$50,1),ItemStats!$G$2:$G$50,0)),"")</f>
        <v/>
      </c>
      <c r="C26" s="24">
        <f>IFERROR(INDEX(ItemStats!$C$2:$C$50,MATCH(LARGE(ItemStats!$G$2:$G$50,1),ItemStats!$G$2:$G$50,0)),"")</f>
        <v/>
      </c>
      <c r="D26" s="24">
        <f>IFERROR(INDEX(ItemStats!$E$2:$E$50,MATCH(LARGE(ItemStats!$G$2:$G$50,1),ItemStats!$G$2:$G$50,0)),"")</f>
        <v/>
      </c>
      <c r="E26" s="26">
        <f>IFERROR(INDEX(ItemStats!$F$2:$F$50,MATCH(LARGE(ItemStats!$G$2:$G$50,1),ItemStats!$G$2:$G$50,0)),"")</f>
        <v/>
      </c>
    </row>
    <row r="27">
      <c r="A27" s="27">
        <f>IFERROR(INDEX(ItemStats!$A$2:$A$50,MATCH(LARGE(ItemStats!$G$2:$G$50,2),ItemStats!$G$2:$G$50,0)),"")</f>
        <v/>
      </c>
      <c r="B27" s="28">
        <f>IFERROR(INDEX(ItemStats!$B$2:$B$50,MATCH(LARGE(ItemStats!$G$2:$G$50,2),ItemStats!$G$2:$G$50,0)),"")</f>
        <v/>
      </c>
      <c r="C27" s="27">
        <f>IFERROR(INDEX(ItemStats!$C$2:$C$50,MATCH(LARGE(ItemStats!$G$2:$G$50,2),ItemStats!$G$2:$G$50,0)),"")</f>
        <v/>
      </c>
      <c r="D27" s="27">
        <f>IFERROR(INDEX(ItemStats!$E$2:$E$50,MATCH(LARGE(ItemStats!$G$2:$G$50,2),ItemStats!$G$2:$G$50,0)),"")</f>
        <v/>
      </c>
      <c r="E27" s="29">
        <f>IFERROR(INDEX(ItemStats!$F$2:$F$50,MATCH(LARGE(ItemStats!$G$2:$G$50,2),ItemStats!$G$2:$G$50,0)),"")</f>
        <v/>
      </c>
    </row>
    <row r="28">
      <c r="A28" s="24">
        <f>IFERROR(INDEX(ItemStats!$A$2:$A$50,MATCH(LARGE(ItemStats!$G$2:$G$50,3),ItemStats!$G$2:$G$50,0)),"")</f>
        <v/>
      </c>
      <c r="B28" s="25">
        <f>IFERROR(INDEX(ItemStats!$B$2:$B$50,MATCH(LARGE(ItemStats!$G$2:$G$50,3),ItemStats!$G$2:$G$50,0)),"")</f>
        <v/>
      </c>
      <c r="C28" s="24">
        <f>IFERROR(INDEX(ItemStats!$C$2:$C$50,MATCH(LARGE(ItemStats!$G$2:$G$50,3),ItemStats!$G$2:$G$50,0)),"")</f>
        <v/>
      </c>
      <c r="D28" s="24">
        <f>IFERROR(INDEX(ItemStats!$E$2:$E$50,MATCH(LARGE(ItemStats!$G$2:$G$50,3),ItemStats!$G$2:$G$50,0)),"")</f>
        <v/>
      </c>
      <c r="E28" s="26">
        <f>IFERROR(INDEX(ItemStats!$F$2:$F$50,MATCH(LARGE(ItemStats!$G$2:$G$50,3),ItemStats!$G$2:$G$50,0)),"")</f>
        <v/>
      </c>
    </row>
    <row r="29">
      <c r="A29" s="27">
        <f>IFERROR(INDEX(ItemStats!$A$2:$A$50,MATCH(LARGE(ItemStats!$G$2:$G$50,4),ItemStats!$G$2:$G$50,0)),"")</f>
        <v/>
      </c>
      <c r="B29" s="28">
        <f>IFERROR(INDEX(ItemStats!$B$2:$B$50,MATCH(LARGE(ItemStats!$G$2:$G$50,4),ItemStats!$G$2:$G$50,0)),"")</f>
        <v/>
      </c>
      <c r="C29" s="27">
        <f>IFERROR(INDEX(ItemStats!$C$2:$C$50,MATCH(LARGE(ItemStats!$G$2:$G$50,4),ItemStats!$G$2:$G$50,0)),"")</f>
        <v/>
      </c>
      <c r="D29" s="27">
        <f>IFERROR(INDEX(ItemStats!$E$2:$E$50,MATCH(LARGE(ItemStats!$G$2:$G$50,4),ItemStats!$G$2:$G$50,0)),"")</f>
        <v/>
      </c>
      <c r="E29" s="29">
        <f>IFERROR(INDEX(ItemStats!$F$2:$F$50,MATCH(LARGE(ItemStats!$G$2:$G$50,4),ItemStats!$G$2:$G$50,0)),"")</f>
        <v/>
      </c>
    </row>
    <row r="30">
      <c r="A30" s="24">
        <f>IFERROR(INDEX(ItemStats!$A$2:$A$50,MATCH(LARGE(ItemStats!$G$2:$G$50,5),ItemStats!$G$2:$G$50,0)),"")</f>
        <v/>
      </c>
      <c r="B30" s="25">
        <f>IFERROR(INDEX(ItemStats!$B$2:$B$50,MATCH(LARGE(ItemStats!$G$2:$G$50,5),ItemStats!$G$2:$G$50,0)),"")</f>
        <v/>
      </c>
      <c r="C30" s="24">
        <f>IFERROR(INDEX(ItemStats!$C$2:$C$50,MATCH(LARGE(ItemStats!$G$2:$G$50,5),ItemStats!$G$2:$G$50,0)),"")</f>
        <v/>
      </c>
      <c r="D30" s="24">
        <f>IFERROR(INDEX(ItemStats!$E$2:$E$50,MATCH(LARGE(ItemStats!$G$2:$G$50,5),ItemStats!$G$2:$G$50,0)),"")</f>
        <v/>
      </c>
      <c r="E30" s="26">
        <f>IFERROR(INDEX(ItemStats!$F$2:$F$50,MATCH(LARGE(ItemStats!$G$2:$G$50,5),ItemStats!$G$2:$G$50,0)),"")</f>
        <v/>
      </c>
    </row>
    <row r="31">
      <c r="A31" s="27">
        <f>IFERROR(INDEX(ItemStats!$A$2:$A$50,MATCH(LARGE(ItemStats!$G$2:$G$50,6),ItemStats!$G$2:$G$50,0)),"")</f>
        <v/>
      </c>
      <c r="B31" s="28">
        <f>IFERROR(INDEX(ItemStats!$B$2:$B$50,MATCH(LARGE(ItemStats!$G$2:$G$50,6),ItemStats!$G$2:$G$50,0)),"")</f>
        <v/>
      </c>
      <c r="C31" s="27">
        <f>IFERROR(INDEX(ItemStats!$C$2:$C$50,MATCH(LARGE(ItemStats!$G$2:$G$50,6),ItemStats!$G$2:$G$50,0)),"")</f>
        <v/>
      </c>
      <c r="D31" s="27">
        <f>IFERROR(INDEX(ItemStats!$E$2:$E$50,MATCH(LARGE(ItemStats!$G$2:$G$50,6),ItemStats!$G$2:$G$50,0)),"")</f>
        <v/>
      </c>
      <c r="E31" s="29">
        <f>IFERROR(INDEX(ItemStats!$F$2:$F$50,MATCH(LARGE(ItemStats!$G$2:$G$50,6),ItemStats!$G$2:$G$50,0)),"")</f>
        <v/>
      </c>
    </row>
    <row r="32">
      <c r="A32" s="24">
        <f>IFERROR(INDEX(ItemStats!$A$2:$A$50,MATCH(LARGE(ItemStats!$G$2:$G$50,7),ItemStats!$G$2:$G$50,0)),"")</f>
        <v/>
      </c>
      <c r="B32" s="25">
        <f>IFERROR(INDEX(ItemStats!$B$2:$B$50,MATCH(LARGE(ItemStats!$G$2:$G$50,7),ItemStats!$G$2:$G$50,0)),"")</f>
        <v/>
      </c>
      <c r="C32" s="24">
        <f>IFERROR(INDEX(ItemStats!$C$2:$C$50,MATCH(LARGE(ItemStats!$G$2:$G$50,7),ItemStats!$G$2:$G$50,0)),"")</f>
        <v/>
      </c>
      <c r="D32" s="24">
        <f>IFERROR(INDEX(ItemStats!$E$2:$E$50,MATCH(LARGE(ItemStats!$G$2:$G$50,7),ItemStats!$G$2:$G$50,0)),"")</f>
        <v/>
      </c>
      <c r="E32" s="26">
        <f>IFERROR(INDEX(ItemStats!$F$2:$F$50,MATCH(LARGE(ItemStats!$G$2:$G$50,7),ItemStats!$G$2:$G$50,0)),"")</f>
        <v/>
      </c>
    </row>
    <row r="33">
      <c r="A33" s="27">
        <f>IFERROR(INDEX(ItemStats!$A$2:$A$50,MATCH(LARGE(ItemStats!$G$2:$G$50,8),ItemStats!$G$2:$G$50,0)),"")</f>
        <v/>
      </c>
      <c r="B33" s="28">
        <f>IFERROR(INDEX(ItemStats!$B$2:$B$50,MATCH(LARGE(ItemStats!$G$2:$G$50,8),ItemStats!$G$2:$G$50,0)),"")</f>
        <v/>
      </c>
      <c r="C33" s="27">
        <f>IFERROR(INDEX(ItemStats!$C$2:$C$50,MATCH(LARGE(ItemStats!$G$2:$G$50,8),ItemStats!$G$2:$G$50,0)),"")</f>
        <v/>
      </c>
      <c r="D33" s="27">
        <f>IFERROR(INDEX(ItemStats!$E$2:$E$50,MATCH(LARGE(ItemStats!$G$2:$G$50,8),ItemStats!$G$2:$G$50,0)),"")</f>
        <v/>
      </c>
      <c r="E33" s="29">
        <f>IFERROR(INDEX(ItemStats!$F$2:$F$50,MATCH(LARGE(ItemStats!$G$2:$G$50,8),ItemStats!$G$2:$G$50,0)),"")</f>
        <v/>
      </c>
    </row>
    <row r="34">
      <c r="A34" s="24">
        <f>IFERROR(INDEX(ItemStats!$A$2:$A$50,MATCH(LARGE(ItemStats!$G$2:$G$50,9),ItemStats!$G$2:$G$50,0)),"")</f>
        <v/>
      </c>
      <c r="B34" s="25">
        <f>IFERROR(INDEX(ItemStats!$B$2:$B$50,MATCH(LARGE(ItemStats!$G$2:$G$50,9),ItemStats!$G$2:$G$50,0)),"")</f>
        <v/>
      </c>
      <c r="C34" s="24">
        <f>IFERROR(INDEX(ItemStats!$C$2:$C$50,MATCH(LARGE(ItemStats!$G$2:$G$50,9),ItemStats!$G$2:$G$50,0)),"")</f>
        <v/>
      </c>
      <c r="D34" s="24">
        <f>IFERROR(INDEX(ItemStats!$E$2:$E$50,MATCH(LARGE(ItemStats!$G$2:$G$50,9),ItemStats!$G$2:$G$50,0)),"")</f>
        <v/>
      </c>
      <c r="E34" s="26">
        <f>IFERROR(INDEX(ItemStats!$F$2:$F$50,MATCH(LARGE(ItemStats!$G$2:$G$50,9),ItemStats!$G$2:$G$50,0)),"")</f>
        <v/>
      </c>
    </row>
    <row r="35">
      <c r="A35" s="27">
        <f>IFERROR(INDEX(ItemStats!$A$2:$A$50,MATCH(LARGE(ItemStats!$G$2:$G$50,10),ItemStats!$G$2:$G$50,0)),"")</f>
        <v/>
      </c>
      <c r="B35" s="28">
        <f>IFERROR(INDEX(ItemStats!$B$2:$B$50,MATCH(LARGE(ItemStats!$G$2:$G$50,10),ItemStats!$G$2:$G$50,0)),"")</f>
        <v/>
      </c>
      <c r="C35" s="27">
        <f>IFERROR(INDEX(ItemStats!$C$2:$C$50,MATCH(LARGE(ItemStats!$G$2:$G$50,10),ItemStats!$G$2:$G$50,0)),"")</f>
        <v/>
      </c>
      <c r="D35" s="27">
        <f>IFERROR(INDEX(ItemStats!$E$2:$E$50,MATCH(LARGE(ItemStats!$G$2:$G$50,10),ItemStats!$G$2:$G$50,0)),"")</f>
        <v/>
      </c>
      <c r="E35" s="29">
        <f>IFERROR(INDEX(ItemStats!$F$2:$F$50,MATCH(LARGE(ItemStats!$G$2:$G$50,10),ItemStats!$G$2:$G$50,0)),"")</f>
        <v/>
      </c>
    </row>
    <row r="36">
      <c r="A36" s="24">
        <f>IFERROR(INDEX(ItemStats!$A$2:$A$50,MATCH(LARGE(ItemStats!$G$2:$G$50,11),ItemStats!$G$2:$G$50,0)),"")</f>
        <v/>
      </c>
      <c r="B36" s="25">
        <f>IFERROR(INDEX(ItemStats!$B$2:$B$50,MATCH(LARGE(ItemStats!$G$2:$G$50,11),ItemStats!$G$2:$G$50,0)),"")</f>
        <v/>
      </c>
      <c r="C36" s="24">
        <f>IFERROR(INDEX(ItemStats!$C$2:$C$50,MATCH(LARGE(ItemStats!$G$2:$G$50,11),ItemStats!$G$2:$G$50,0)),"")</f>
        <v/>
      </c>
      <c r="D36" s="24">
        <f>IFERROR(INDEX(ItemStats!$E$2:$E$50,MATCH(LARGE(ItemStats!$G$2:$G$50,11),ItemStats!$G$2:$G$50,0)),"")</f>
        <v/>
      </c>
      <c r="E36" s="26">
        <f>IFERROR(INDEX(ItemStats!$F$2:$F$50,MATCH(LARGE(ItemStats!$G$2:$G$50,11),ItemStats!$G$2:$G$50,0)),"")</f>
        <v/>
      </c>
    </row>
    <row r="37">
      <c r="A37" s="27">
        <f>IFERROR(INDEX(ItemStats!$A$2:$A$50,MATCH(LARGE(ItemStats!$G$2:$G$50,12),ItemStats!$G$2:$G$50,0)),"")</f>
        <v/>
      </c>
      <c r="B37" s="28">
        <f>IFERROR(INDEX(ItemStats!$B$2:$B$50,MATCH(LARGE(ItemStats!$G$2:$G$50,12),ItemStats!$G$2:$G$50,0)),"")</f>
        <v/>
      </c>
      <c r="C37" s="27">
        <f>IFERROR(INDEX(ItemStats!$C$2:$C$50,MATCH(LARGE(ItemStats!$G$2:$G$50,12),ItemStats!$G$2:$G$50,0)),"")</f>
        <v/>
      </c>
      <c r="D37" s="27">
        <f>IFERROR(INDEX(ItemStats!$E$2:$E$50,MATCH(LARGE(ItemStats!$G$2:$G$50,12),ItemStats!$G$2:$G$50,0)),"")</f>
        <v/>
      </c>
      <c r="E37" s="29">
        <f>IFERROR(INDEX(ItemStats!$F$2:$F$50,MATCH(LARGE(ItemStats!$G$2:$G$50,12),ItemStats!$G$2:$G$50,0)),"")</f>
        <v/>
      </c>
    </row>
    <row r="38">
      <c r="A38" s="24">
        <f>IFERROR(INDEX(ItemStats!$A$2:$A$50,MATCH(LARGE(ItemStats!$G$2:$G$50,13),ItemStats!$G$2:$G$50,0)),"")</f>
        <v/>
      </c>
      <c r="B38" s="25">
        <f>IFERROR(INDEX(ItemStats!$B$2:$B$50,MATCH(LARGE(ItemStats!$G$2:$G$50,13),ItemStats!$G$2:$G$50,0)),"")</f>
        <v/>
      </c>
      <c r="C38" s="24">
        <f>IFERROR(INDEX(ItemStats!$C$2:$C$50,MATCH(LARGE(ItemStats!$G$2:$G$50,13),ItemStats!$G$2:$G$50,0)),"")</f>
        <v/>
      </c>
      <c r="D38" s="24">
        <f>IFERROR(INDEX(ItemStats!$E$2:$E$50,MATCH(LARGE(ItemStats!$G$2:$G$50,13),ItemStats!$G$2:$G$50,0)),"")</f>
        <v/>
      </c>
      <c r="E38" s="26">
        <f>IFERROR(INDEX(ItemStats!$F$2:$F$50,MATCH(LARGE(ItemStats!$G$2:$G$50,13),ItemStats!$G$2:$G$50,0)),"")</f>
        <v/>
      </c>
    </row>
    <row r="39">
      <c r="A39" s="27">
        <f>IFERROR(INDEX(ItemStats!$A$2:$A$50,MATCH(LARGE(ItemStats!$G$2:$G$50,14),ItemStats!$G$2:$G$50,0)),"")</f>
        <v/>
      </c>
      <c r="B39" s="28">
        <f>IFERROR(INDEX(ItemStats!$B$2:$B$50,MATCH(LARGE(ItemStats!$G$2:$G$50,14),ItemStats!$G$2:$G$50,0)),"")</f>
        <v/>
      </c>
      <c r="C39" s="27">
        <f>IFERROR(INDEX(ItemStats!$C$2:$C$50,MATCH(LARGE(ItemStats!$G$2:$G$50,14),ItemStats!$G$2:$G$50,0)),"")</f>
        <v/>
      </c>
      <c r="D39" s="27">
        <f>IFERROR(INDEX(ItemStats!$E$2:$E$50,MATCH(LARGE(ItemStats!$G$2:$G$50,14),ItemStats!$G$2:$G$50,0)),"")</f>
        <v/>
      </c>
      <c r="E39" s="29">
        <f>IFERROR(INDEX(ItemStats!$F$2:$F$50,MATCH(LARGE(ItemStats!$G$2:$G$50,14),ItemStats!$G$2:$G$50,0)),"")</f>
        <v/>
      </c>
    </row>
    <row r="40">
      <c r="A40" s="24">
        <f>IFERROR(INDEX(ItemStats!$A$2:$A$50,MATCH(LARGE(ItemStats!$G$2:$G$50,15),ItemStats!$G$2:$G$50,0)),"")</f>
        <v/>
      </c>
      <c r="B40" s="25">
        <f>IFERROR(INDEX(ItemStats!$B$2:$B$50,MATCH(LARGE(ItemStats!$G$2:$G$50,15),ItemStats!$G$2:$G$50,0)),"")</f>
        <v/>
      </c>
      <c r="C40" s="24">
        <f>IFERROR(INDEX(ItemStats!$C$2:$C$50,MATCH(LARGE(ItemStats!$G$2:$G$50,15),ItemStats!$G$2:$G$50,0)),"")</f>
        <v/>
      </c>
      <c r="D40" s="24">
        <f>IFERROR(INDEX(ItemStats!$E$2:$E$50,MATCH(LARGE(ItemStats!$G$2:$G$50,15),ItemStats!$G$2:$G$50,0)),"")</f>
        <v/>
      </c>
      <c r="E40" s="26">
        <f>IFERROR(INDEX(ItemStats!$F$2:$F$50,MATCH(LARGE(ItemStats!$G$2:$G$50,15),ItemStats!$G$2:$G$50,0)),"")</f>
        <v/>
      </c>
    </row>
  </sheetData>
  <mergeCells count="18">
    <mergeCell ref="E12:F12"/>
    <mergeCell ref="C12:D12"/>
    <mergeCell ref="A3:H3"/>
    <mergeCell ref="G12:H12"/>
    <mergeCell ref="G9:H9"/>
    <mergeCell ref="A23:H23"/>
    <mergeCell ref="C10:D11"/>
    <mergeCell ref="A24:H24"/>
    <mergeCell ref="E10:F11"/>
    <mergeCell ref="A16:H16"/>
    <mergeCell ref="G10:H11"/>
    <mergeCell ref="A10:B11"/>
    <mergeCell ref="C9:D9"/>
    <mergeCell ref="A9:B9"/>
    <mergeCell ref="A1:H2"/>
    <mergeCell ref="E9:F9"/>
    <mergeCell ref="A6:H6"/>
    <mergeCell ref="A12:B12"/>
  </mergeCells>
  <conditionalFormatting sqref="E18:E21">
    <cfRule type="dataBar" priority="1">
      <dataBar>
        <cfvo type="num" val="0"/>
        <cfvo type="num" val="1"/>
        <color rgb="00C77700"/>
      </dataBar>
    </cfRule>
  </conditionalFormatting>
  <conditionalFormatting sqref="E26:E40">
    <cfRule type="dataBar" priority="2">
      <dataBar>
        <cfvo type="num" val="0"/>
        <cfvo type="num" val="1"/>
        <color rgb="00C77700"/>
      </dataBar>
    </cfRule>
  </conditionalFormatting>
  <dataValidations count="2">
    <dataValidation sqref="B5" showDropDown="0" showInputMessage="0" showErrorMessage="0" allowBlank="0" type="list">
      <formula1>=Lists!$A$1:$A$10</formula1>
    </dataValidation>
    <dataValidation sqref="E5" showDropDown="0" showInputMessage="0" showErrorMessage="0" allowBlank="0" type="list">
      <formula1>=INDIRECT("Ctr_"&amp;SUBSTITUTE($B$5," ",""))</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9"/>
  <sheetViews>
    <sheetView showGridLines="0" workbookViewId="0">
      <pane ySplit="5" topLeftCell="A6" activePane="bottomLeft" state="frozen"/>
      <selection pane="bottomLeft" activeCell="A1" sqref="A1"/>
    </sheetView>
  </sheetViews>
  <sheetFormatPr baseColWidth="8" defaultRowHeight="15"/>
  <cols>
    <col width="20" customWidth="1" min="1" max="1"/>
    <col width="20" customWidth="1" min="2" max="2"/>
    <col width="18" customWidth="1" min="3" max="3"/>
    <col width="12" customWidth="1" min="4" max="4"/>
    <col width="45" customWidth="1" min="5" max="5"/>
    <col width="45" customWidth="1" min="6" max="6"/>
    <col width="45" customWidth="1" min="7" max="7"/>
  </cols>
  <sheetData>
    <row r="1">
      <c r="A1" s="30" t="inlineStr">
        <is>
          <t>Field Reflections — filtered by Dashboard selection</t>
        </is>
      </c>
      <c r="B1" s="2" t="n"/>
      <c r="C1" s="2" t="n"/>
      <c r="D1" s="2" t="n"/>
      <c r="E1" s="2" t="n"/>
      <c r="F1" s="2" t="n"/>
    </row>
    <row r="2">
      <c r="A2" s="2" t="n"/>
      <c r="B2" s="2" t="n"/>
      <c r="C2" s="2" t="n"/>
      <c r="D2" s="2" t="n"/>
      <c r="E2" s="2" t="n"/>
      <c r="F2" s="2" t="n"/>
    </row>
    <row r="3">
      <c r="A3" s="22" t="inlineStr">
        <is>
          <t>This list updates automatically based on the Manager / Centre selected on the Dashboard sheet.</t>
        </is>
      </c>
    </row>
    <row r="5">
      <c r="A5" s="31" t="inlineStr">
        <is>
          <t>Centre</t>
        </is>
      </c>
      <c r="B5" s="31" t="inlineStr">
        <is>
          <t>Manager</t>
        </is>
      </c>
      <c r="C5" s="31" t="inlineStr">
        <is>
          <t>Program</t>
        </is>
      </c>
      <c r="D5" s="31" t="inlineStr">
        <is>
          <t>Date</t>
        </is>
      </c>
      <c r="E5" s="31" t="inlineStr">
        <is>
          <t>Key bottleneck resolved</t>
        </is>
      </c>
      <c r="F5" s="31" t="inlineStr">
        <is>
          <t>Placement % action</t>
        </is>
      </c>
      <c r="G5" s="31" t="inlineStr">
        <is>
          <t>Batch on-time action</t>
        </is>
      </c>
    </row>
    <row r="6">
      <c r="A6" s="32">
        <f>IFERROR(INDEX(Visits!$B$2:$B$75,MATCH(1,Visits!$U$2:$U$75,0)),"")</f>
        <v/>
      </c>
      <c r="B6" s="32">
        <f>IFERROR(INDEX(Visits!$A$2:$A$75,MATCH(1,Visits!$U$2:$U$75,0)),"")</f>
        <v/>
      </c>
      <c r="C6" s="32">
        <f>IFERROR(INDEX(Visits!$C$2:$C$75,MATCH(1,Visits!$U$2:$U$75,0)),"")</f>
        <v/>
      </c>
      <c r="D6" s="32">
        <f>IFERROR(INDEX(Visits!$D$2:$D$75,MATCH(1,Visits!$U$2:$U$75,0)),"")</f>
        <v/>
      </c>
      <c r="E6" s="33">
        <f>IFERROR(INDEX(Visits!$Q$2:$Q$75,MATCH(1,Visits!$U$2:$U$75,0)),"")</f>
        <v/>
      </c>
      <c r="F6" s="33">
        <f>IFERROR(INDEX(Visits!$R$2:$R$75,MATCH(1,Visits!$U$2:$U$75,0)),"")</f>
        <v/>
      </c>
      <c r="G6" s="33">
        <f>IFERROR(INDEX(Visits!$S$2:$S$75,MATCH(1,Visits!$U$2:$U$75,0)),"")</f>
        <v/>
      </c>
    </row>
    <row r="7">
      <c r="A7" s="34">
        <f>IFERROR(INDEX(Visits!$B$2:$B$75,MATCH(2,Visits!$U$2:$U$75,0)),"")</f>
        <v/>
      </c>
      <c r="B7" s="34">
        <f>IFERROR(INDEX(Visits!$A$2:$A$75,MATCH(2,Visits!$U$2:$U$75,0)),"")</f>
        <v/>
      </c>
      <c r="C7" s="34">
        <f>IFERROR(INDEX(Visits!$C$2:$C$75,MATCH(2,Visits!$U$2:$U$75,0)),"")</f>
        <v/>
      </c>
      <c r="D7" s="34">
        <f>IFERROR(INDEX(Visits!$D$2:$D$75,MATCH(2,Visits!$U$2:$U$75,0)),"")</f>
        <v/>
      </c>
      <c r="E7" s="35">
        <f>IFERROR(INDEX(Visits!$Q$2:$Q$75,MATCH(2,Visits!$U$2:$U$75,0)),"")</f>
        <v/>
      </c>
      <c r="F7" s="35">
        <f>IFERROR(INDEX(Visits!$R$2:$R$75,MATCH(2,Visits!$U$2:$U$75,0)),"")</f>
        <v/>
      </c>
      <c r="G7" s="35">
        <f>IFERROR(INDEX(Visits!$S$2:$S$75,MATCH(2,Visits!$U$2:$U$75,0)),"")</f>
        <v/>
      </c>
    </row>
    <row r="8">
      <c r="A8" s="32">
        <f>IFERROR(INDEX(Visits!$B$2:$B$75,MATCH(3,Visits!$U$2:$U$75,0)),"")</f>
        <v/>
      </c>
      <c r="B8" s="32">
        <f>IFERROR(INDEX(Visits!$A$2:$A$75,MATCH(3,Visits!$U$2:$U$75,0)),"")</f>
        <v/>
      </c>
      <c r="C8" s="32">
        <f>IFERROR(INDEX(Visits!$C$2:$C$75,MATCH(3,Visits!$U$2:$U$75,0)),"")</f>
        <v/>
      </c>
      <c r="D8" s="32">
        <f>IFERROR(INDEX(Visits!$D$2:$D$75,MATCH(3,Visits!$U$2:$U$75,0)),"")</f>
        <v/>
      </c>
      <c r="E8" s="33">
        <f>IFERROR(INDEX(Visits!$Q$2:$Q$75,MATCH(3,Visits!$U$2:$U$75,0)),"")</f>
        <v/>
      </c>
      <c r="F8" s="33">
        <f>IFERROR(INDEX(Visits!$R$2:$R$75,MATCH(3,Visits!$U$2:$U$75,0)),"")</f>
        <v/>
      </c>
      <c r="G8" s="33">
        <f>IFERROR(INDEX(Visits!$S$2:$S$75,MATCH(3,Visits!$U$2:$U$75,0)),"")</f>
        <v/>
      </c>
    </row>
    <row r="9">
      <c r="A9" s="34">
        <f>IFERROR(INDEX(Visits!$B$2:$B$75,MATCH(4,Visits!$U$2:$U$75,0)),"")</f>
        <v/>
      </c>
      <c r="B9" s="34">
        <f>IFERROR(INDEX(Visits!$A$2:$A$75,MATCH(4,Visits!$U$2:$U$75,0)),"")</f>
        <v/>
      </c>
      <c r="C9" s="34">
        <f>IFERROR(INDEX(Visits!$C$2:$C$75,MATCH(4,Visits!$U$2:$U$75,0)),"")</f>
        <v/>
      </c>
      <c r="D9" s="34">
        <f>IFERROR(INDEX(Visits!$D$2:$D$75,MATCH(4,Visits!$U$2:$U$75,0)),"")</f>
        <v/>
      </c>
      <c r="E9" s="35">
        <f>IFERROR(INDEX(Visits!$Q$2:$Q$75,MATCH(4,Visits!$U$2:$U$75,0)),"")</f>
        <v/>
      </c>
      <c r="F9" s="35">
        <f>IFERROR(INDEX(Visits!$R$2:$R$75,MATCH(4,Visits!$U$2:$U$75,0)),"")</f>
        <v/>
      </c>
      <c r="G9" s="35">
        <f>IFERROR(INDEX(Visits!$S$2:$S$75,MATCH(4,Visits!$U$2:$U$75,0)),"")</f>
        <v/>
      </c>
    </row>
    <row r="10">
      <c r="A10" s="32">
        <f>IFERROR(INDEX(Visits!$B$2:$B$75,MATCH(5,Visits!$U$2:$U$75,0)),"")</f>
        <v/>
      </c>
      <c r="B10" s="32">
        <f>IFERROR(INDEX(Visits!$A$2:$A$75,MATCH(5,Visits!$U$2:$U$75,0)),"")</f>
        <v/>
      </c>
      <c r="C10" s="32">
        <f>IFERROR(INDEX(Visits!$C$2:$C$75,MATCH(5,Visits!$U$2:$U$75,0)),"")</f>
        <v/>
      </c>
      <c r="D10" s="32">
        <f>IFERROR(INDEX(Visits!$D$2:$D$75,MATCH(5,Visits!$U$2:$U$75,0)),"")</f>
        <v/>
      </c>
      <c r="E10" s="33">
        <f>IFERROR(INDEX(Visits!$Q$2:$Q$75,MATCH(5,Visits!$U$2:$U$75,0)),"")</f>
        <v/>
      </c>
      <c r="F10" s="33">
        <f>IFERROR(INDEX(Visits!$R$2:$R$75,MATCH(5,Visits!$U$2:$U$75,0)),"")</f>
        <v/>
      </c>
      <c r="G10" s="33">
        <f>IFERROR(INDEX(Visits!$S$2:$S$75,MATCH(5,Visits!$U$2:$U$75,0)),"")</f>
        <v/>
      </c>
    </row>
    <row r="11">
      <c r="A11" s="34">
        <f>IFERROR(INDEX(Visits!$B$2:$B$75,MATCH(6,Visits!$U$2:$U$75,0)),"")</f>
        <v/>
      </c>
      <c r="B11" s="34">
        <f>IFERROR(INDEX(Visits!$A$2:$A$75,MATCH(6,Visits!$U$2:$U$75,0)),"")</f>
        <v/>
      </c>
      <c r="C11" s="34">
        <f>IFERROR(INDEX(Visits!$C$2:$C$75,MATCH(6,Visits!$U$2:$U$75,0)),"")</f>
        <v/>
      </c>
      <c r="D11" s="34">
        <f>IFERROR(INDEX(Visits!$D$2:$D$75,MATCH(6,Visits!$U$2:$U$75,0)),"")</f>
        <v/>
      </c>
      <c r="E11" s="35">
        <f>IFERROR(INDEX(Visits!$Q$2:$Q$75,MATCH(6,Visits!$U$2:$U$75,0)),"")</f>
        <v/>
      </c>
      <c r="F11" s="35">
        <f>IFERROR(INDEX(Visits!$R$2:$R$75,MATCH(6,Visits!$U$2:$U$75,0)),"")</f>
        <v/>
      </c>
      <c r="G11" s="35">
        <f>IFERROR(INDEX(Visits!$S$2:$S$75,MATCH(6,Visits!$U$2:$U$75,0)),"")</f>
        <v/>
      </c>
    </row>
    <row r="12">
      <c r="A12" s="32">
        <f>IFERROR(INDEX(Visits!$B$2:$B$75,MATCH(7,Visits!$U$2:$U$75,0)),"")</f>
        <v/>
      </c>
      <c r="B12" s="32">
        <f>IFERROR(INDEX(Visits!$A$2:$A$75,MATCH(7,Visits!$U$2:$U$75,0)),"")</f>
        <v/>
      </c>
      <c r="C12" s="32">
        <f>IFERROR(INDEX(Visits!$C$2:$C$75,MATCH(7,Visits!$U$2:$U$75,0)),"")</f>
        <v/>
      </c>
      <c r="D12" s="32">
        <f>IFERROR(INDEX(Visits!$D$2:$D$75,MATCH(7,Visits!$U$2:$U$75,0)),"")</f>
        <v/>
      </c>
      <c r="E12" s="33">
        <f>IFERROR(INDEX(Visits!$Q$2:$Q$75,MATCH(7,Visits!$U$2:$U$75,0)),"")</f>
        <v/>
      </c>
      <c r="F12" s="33">
        <f>IFERROR(INDEX(Visits!$R$2:$R$75,MATCH(7,Visits!$U$2:$U$75,0)),"")</f>
        <v/>
      </c>
      <c r="G12" s="33">
        <f>IFERROR(INDEX(Visits!$S$2:$S$75,MATCH(7,Visits!$U$2:$U$75,0)),"")</f>
        <v/>
      </c>
    </row>
    <row r="13">
      <c r="A13" s="34">
        <f>IFERROR(INDEX(Visits!$B$2:$B$75,MATCH(8,Visits!$U$2:$U$75,0)),"")</f>
        <v/>
      </c>
      <c r="B13" s="34">
        <f>IFERROR(INDEX(Visits!$A$2:$A$75,MATCH(8,Visits!$U$2:$U$75,0)),"")</f>
        <v/>
      </c>
      <c r="C13" s="34">
        <f>IFERROR(INDEX(Visits!$C$2:$C$75,MATCH(8,Visits!$U$2:$U$75,0)),"")</f>
        <v/>
      </c>
      <c r="D13" s="34">
        <f>IFERROR(INDEX(Visits!$D$2:$D$75,MATCH(8,Visits!$U$2:$U$75,0)),"")</f>
        <v/>
      </c>
      <c r="E13" s="35">
        <f>IFERROR(INDEX(Visits!$Q$2:$Q$75,MATCH(8,Visits!$U$2:$U$75,0)),"")</f>
        <v/>
      </c>
      <c r="F13" s="35">
        <f>IFERROR(INDEX(Visits!$R$2:$R$75,MATCH(8,Visits!$U$2:$U$75,0)),"")</f>
        <v/>
      </c>
      <c r="G13" s="35">
        <f>IFERROR(INDEX(Visits!$S$2:$S$75,MATCH(8,Visits!$U$2:$U$75,0)),"")</f>
        <v/>
      </c>
    </row>
    <row r="14">
      <c r="A14" s="32">
        <f>IFERROR(INDEX(Visits!$B$2:$B$75,MATCH(9,Visits!$U$2:$U$75,0)),"")</f>
        <v/>
      </c>
      <c r="B14" s="32">
        <f>IFERROR(INDEX(Visits!$A$2:$A$75,MATCH(9,Visits!$U$2:$U$75,0)),"")</f>
        <v/>
      </c>
      <c r="C14" s="32">
        <f>IFERROR(INDEX(Visits!$C$2:$C$75,MATCH(9,Visits!$U$2:$U$75,0)),"")</f>
        <v/>
      </c>
      <c r="D14" s="32">
        <f>IFERROR(INDEX(Visits!$D$2:$D$75,MATCH(9,Visits!$U$2:$U$75,0)),"")</f>
        <v/>
      </c>
      <c r="E14" s="33">
        <f>IFERROR(INDEX(Visits!$Q$2:$Q$75,MATCH(9,Visits!$U$2:$U$75,0)),"")</f>
        <v/>
      </c>
      <c r="F14" s="33">
        <f>IFERROR(INDEX(Visits!$R$2:$R$75,MATCH(9,Visits!$U$2:$U$75,0)),"")</f>
        <v/>
      </c>
      <c r="G14" s="33">
        <f>IFERROR(INDEX(Visits!$S$2:$S$75,MATCH(9,Visits!$U$2:$U$75,0)),"")</f>
        <v/>
      </c>
    </row>
    <row r="15">
      <c r="A15" s="34">
        <f>IFERROR(INDEX(Visits!$B$2:$B$75,MATCH(10,Visits!$U$2:$U$75,0)),"")</f>
        <v/>
      </c>
      <c r="B15" s="34">
        <f>IFERROR(INDEX(Visits!$A$2:$A$75,MATCH(10,Visits!$U$2:$U$75,0)),"")</f>
        <v/>
      </c>
      <c r="C15" s="34">
        <f>IFERROR(INDEX(Visits!$C$2:$C$75,MATCH(10,Visits!$U$2:$U$75,0)),"")</f>
        <v/>
      </c>
      <c r="D15" s="34">
        <f>IFERROR(INDEX(Visits!$D$2:$D$75,MATCH(10,Visits!$U$2:$U$75,0)),"")</f>
        <v/>
      </c>
      <c r="E15" s="35">
        <f>IFERROR(INDEX(Visits!$Q$2:$Q$75,MATCH(10,Visits!$U$2:$U$75,0)),"")</f>
        <v/>
      </c>
      <c r="F15" s="35">
        <f>IFERROR(INDEX(Visits!$R$2:$R$75,MATCH(10,Visits!$U$2:$U$75,0)),"")</f>
        <v/>
      </c>
      <c r="G15" s="35">
        <f>IFERROR(INDEX(Visits!$S$2:$S$75,MATCH(10,Visits!$U$2:$U$75,0)),"")</f>
        <v/>
      </c>
    </row>
    <row r="16">
      <c r="A16" s="32">
        <f>IFERROR(INDEX(Visits!$B$2:$B$75,MATCH(11,Visits!$U$2:$U$75,0)),"")</f>
        <v/>
      </c>
      <c r="B16" s="32">
        <f>IFERROR(INDEX(Visits!$A$2:$A$75,MATCH(11,Visits!$U$2:$U$75,0)),"")</f>
        <v/>
      </c>
      <c r="C16" s="32">
        <f>IFERROR(INDEX(Visits!$C$2:$C$75,MATCH(11,Visits!$U$2:$U$75,0)),"")</f>
        <v/>
      </c>
      <c r="D16" s="32">
        <f>IFERROR(INDEX(Visits!$D$2:$D$75,MATCH(11,Visits!$U$2:$U$75,0)),"")</f>
        <v/>
      </c>
      <c r="E16" s="33">
        <f>IFERROR(INDEX(Visits!$Q$2:$Q$75,MATCH(11,Visits!$U$2:$U$75,0)),"")</f>
        <v/>
      </c>
      <c r="F16" s="33">
        <f>IFERROR(INDEX(Visits!$R$2:$R$75,MATCH(11,Visits!$U$2:$U$75,0)),"")</f>
        <v/>
      </c>
      <c r="G16" s="33">
        <f>IFERROR(INDEX(Visits!$S$2:$S$75,MATCH(11,Visits!$U$2:$U$75,0)),"")</f>
        <v/>
      </c>
    </row>
    <row r="17">
      <c r="A17" s="34">
        <f>IFERROR(INDEX(Visits!$B$2:$B$75,MATCH(12,Visits!$U$2:$U$75,0)),"")</f>
        <v/>
      </c>
      <c r="B17" s="34">
        <f>IFERROR(INDEX(Visits!$A$2:$A$75,MATCH(12,Visits!$U$2:$U$75,0)),"")</f>
        <v/>
      </c>
      <c r="C17" s="34">
        <f>IFERROR(INDEX(Visits!$C$2:$C$75,MATCH(12,Visits!$U$2:$U$75,0)),"")</f>
        <v/>
      </c>
      <c r="D17" s="34">
        <f>IFERROR(INDEX(Visits!$D$2:$D$75,MATCH(12,Visits!$U$2:$U$75,0)),"")</f>
        <v/>
      </c>
      <c r="E17" s="35">
        <f>IFERROR(INDEX(Visits!$Q$2:$Q$75,MATCH(12,Visits!$U$2:$U$75,0)),"")</f>
        <v/>
      </c>
      <c r="F17" s="35">
        <f>IFERROR(INDEX(Visits!$R$2:$R$75,MATCH(12,Visits!$U$2:$U$75,0)),"")</f>
        <v/>
      </c>
      <c r="G17" s="35">
        <f>IFERROR(INDEX(Visits!$S$2:$S$75,MATCH(12,Visits!$U$2:$U$75,0)),"")</f>
        <v/>
      </c>
    </row>
    <row r="18">
      <c r="A18" s="32">
        <f>IFERROR(INDEX(Visits!$B$2:$B$75,MATCH(13,Visits!$U$2:$U$75,0)),"")</f>
        <v/>
      </c>
      <c r="B18" s="32">
        <f>IFERROR(INDEX(Visits!$A$2:$A$75,MATCH(13,Visits!$U$2:$U$75,0)),"")</f>
        <v/>
      </c>
      <c r="C18" s="32">
        <f>IFERROR(INDEX(Visits!$C$2:$C$75,MATCH(13,Visits!$U$2:$U$75,0)),"")</f>
        <v/>
      </c>
      <c r="D18" s="32">
        <f>IFERROR(INDEX(Visits!$D$2:$D$75,MATCH(13,Visits!$U$2:$U$75,0)),"")</f>
        <v/>
      </c>
      <c r="E18" s="33">
        <f>IFERROR(INDEX(Visits!$Q$2:$Q$75,MATCH(13,Visits!$U$2:$U$75,0)),"")</f>
        <v/>
      </c>
      <c r="F18" s="33">
        <f>IFERROR(INDEX(Visits!$R$2:$R$75,MATCH(13,Visits!$U$2:$U$75,0)),"")</f>
        <v/>
      </c>
      <c r="G18" s="33">
        <f>IFERROR(INDEX(Visits!$S$2:$S$75,MATCH(13,Visits!$U$2:$U$75,0)),"")</f>
        <v/>
      </c>
    </row>
    <row r="19">
      <c r="A19" s="34">
        <f>IFERROR(INDEX(Visits!$B$2:$B$75,MATCH(14,Visits!$U$2:$U$75,0)),"")</f>
        <v/>
      </c>
      <c r="B19" s="34">
        <f>IFERROR(INDEX(Visits!$A$2:$A$75,MATCH(14,Visits!$U$2:$U$75,0)),"")</f>
        <v/>
      </c>
      <c r="C19" s="34">
        <f>IFERROR(INDEX(Visits!$C$2:$C$75,MATCH(14,Visits!$U$2:$U$75,0)),"")</f>
        <v/>
      </c>
      <c r="D19" s="34">
        <f>IFERROR(INDEX(Visits!$D$2:$D$75,MATCH(14,Visits!$U$2:$U$75,0)),"")</f>
        <v/>
      </c>
      <c r="E19" s="35">
        <f>IFERROR(INDEX(Visits!$Q$2:$Q$75,MATCH(14,Visits!$U$2:$U$75,0)),"")</f>
        <v/>
      </c>
      <c r="F19" s="35">
        <f>IFERROR(INDEX(Visits!$R$2:$R$75,MATCH(14,Visits!$U$2:$U$75,0)),"")</f>
        <v/>
      </c>
      <c r="G19" s="35">
        <f>IFERROR(INDEX(Visits!$S$2:$S$75,MATCH(14,Visits!$U$2:$U$75,0)),"")</f>
        <v/>
      </c>
    </row>
    <row r="20">
      <c r="A20" s="32">
        <f>IFERROR(INDEX(Visits!$B$2:$B$75,MATCH(15,Visits!$U$2:$U$75,0)),"")</f>
        <v/>
      </c>
      <c r="B20" s="32">
        <f>IFERROR(INDEX(Visits!$A$2:$A$75,MATCH(15,Visits!$U$2:$U$75,0)),"")</f>
        <v/>
      </c>
      <c r="C20" s="32">
        <f>IFERROR(INDEX(Visits!$C$2:$C$75,MATCH(15,Visits!$U$2:$U$75,0)),"")</f>
        <v/>
      </c>
      <c r="D20" s="32">
        <f>IFERROR(INDEX(Visits!$D$2:$D$75,MATCH(15,Visits!$U$2:$U$75,0)),"")</f>
        <v/>
      </c>
      <c r="E20" s="33">
        <f>IFERROR(INDEX(Visits!$Q$2:$Q$75,MATCH(15,Visits!$U$2:$U$75,0)),"")</f>
        <v/>
      </c>
      <c r="F20" s="33">
        <f>IFERROR(INDEX(Visits!$R$2:$R$75,MATCH(15,Visits!$U$2:$U$75,0)),"")</f>
        <v/>
      </c>
      <c r="G20" s="33">
        <f>IFERROR(INDEX(Visits!$S$2:$S$75,MATCH(15,Visits!$U$2:$U$75,0)),"")</f>
        <v/>
      </c>
    </row>
    <row r="21">
      <c r="A21" s="34">
        <f>IFERROR(INDEX(Visits!$B$2:$B$75,MATCH(16,Visits!$U$2:$U$75,0)),"")</f>
        <v/>
      </c>
      <c r="B21" s="34">
        <f>IFERROR(INDEX(Visits!$A$2:$A$75,MATCH(16,Visits!$U$2:$U$75,0)),"")</f>
        <v/>
      </c>
      <c r="C21" s="34">
        <f>IFERROR(INDEX(Visits!$C$2:$C$75,MATCH(16,Visits!$U$2:$U$75,0)),"")</f>
        <v/>
      </c>
      <c r="D21" s="34">
        <f>IFERROR(INDEX(Visits!$D$2:$D$75,MATCH(16,Visits!$U$2:$U$75,0)),"")</f>
        <v/>
      </c>
      <c r="E21" s="35">
        <f>IFERROR(INDEX(Visits!$Q$2:$Q$75,MATCH(16,Visits!$U$2:$U$75,0)),"")</f>
        <v/>
      </c>
      <c r="F21" s="35">
        <f>IFERROR(INDEX(Visits!$R$2:$R$75,MATCH(16,Visits!$U$2:$U$75,0)),"")</f>
        <v/>
      </c>
      <c r="G21" s="35">
        <f>IFERROR(INDEX(Visits!$S$2:$S$75,MATCH(16,Visits!$U$2:$U$75,0)),"")</f>
        <v/>
      </c>
    </row>
    <row r="22">
      <c r="A22" s="32">
        <f>IFERROR(INDEX(Visits!$B$2:$B$75,MATCH(17,Visits!$U$2:$U$75,0)),"")</f>
        <v/>
      </c>
      <c r="B22" s="32">
        <f>IFERROR(INDEX(Visits!$A$2:$A$75,MATCH(17,Visits!$U$2:$U$75,0)),"")</f>
        <v/>
      </c>
      <c r="C22" s="32">
        <f>IFERROR(INDEX(Visits!$C$2:$C$75,MATCH(17,Visits!$U$2:$U$75,0)),"")</f>
        <v/>
      </c>
      <c r="D22" s="32">
        <f>IFERROR(INDEX(Visits!$D$2:$D$75,MATCH(17,Visits!$U$2:$U$75,0)),"")</f>
        <v/>
      </c>
      <c r="E22" s="33">
        <f>IFERROR(INDEX(Visits!$Q$2:$Q$75,MATCH(17,Visits!$U$2:$U$75,0)),"")</f>
        <v/>
      </c>
      <c r="F22" s="33">
        <f>IFERROR(INDEX(Visits!$R$2:$R$75,MATCH(17,Visits!$U$2:$U$75,0)),"")</f>
        <v/>
      </c>
      <c r="G22" s="33">
        <f>IFERROR(INDEX(Visits!$S$2:$S$75,MATCH(17,Visits!$U$2:$U$75,0)),"")</f>
        <v/>
      </c>
    </row>
    <row r="23">
      <c r="A23" s="34">
        <f>IFERROR(INDEX(Visits!$B$2:$B$75,MATCH(18,Visits!$U$2:$U$75,0)),"")</f>
        <v/>
      </c>
      <c r="B23" s="34">
        <f>IFERROR(INDEX(Visits!$A$2:$A$75,MATCH(18,Visits!$U$2:$U$75,0)),"")</f>
        <v/>
      </c>
      <c r="C23" s="34">
        <f>IFERROR(INDEX(Visits!$C$2:$C$75,MATCH(18,Visits!$U$2:$U$75,0)),"")</f>
        <v/>
      </c>
      <c r="D23" s="34">
        <f>IFERROR(INDEX(Visits!$D$2:$D$75,MATCH(18,Visits!$U$2:$U$75,0)),"")</f>
        <v/>
      </c>
      <c r="E23" s="35">
        <f>IFERROR(INDEX(Visits!$Q$2:$Q$75,MATCH(18,Visits!$U$2:$U$75,0)),"")</f>
        <v/>
      </c>
      <c r="F23" s="35">
        <f>IFERROR(INDEX(Visits!$R$2:$R$75,MATCH(18,Visits!$U$2:$U$75,0)),"")</f>
        <v/>
      </c>
      <c r="G23" s="35">
        <f>IFERROR(INDEX(Visits!$S$2:$S$75,MATCH(18,Visits!$U$2:$U$75,0)),"")</f>
        <v/>
      </c>
    </row>
    <row r="24">
      <c r="A24" s="32">
        <f>IFERROR(INDEX(Visits!$B$2:$B$75,MATCH(19,Visits!$U$2:$U$75,0)),"")</f>
        <v/>
      </c>
      <c r="B24" s="32">
        <f>IFERROR(INDEX(Visits!$A$2:$A$75,MATCH(19,Visits!$U$2:$U$75,0)),"")</f>
        <v/>
      </c>
      <c r="C24" s="32">
        <f>IFERROR(INDEX(Visits!$C$2:$C$75,MATCH(19,Visits!$U$2:$U$75,0)),"")</f>
        <v/>
      </c>
      <c r="D24" s="32">
        <f>IFERROR(INDEX(Visits!$D$2:$D$75,MATCH(19,Visits!$U$2:$U$75,0)),"")</f>
        <v/>
      </c>
      <c r="E24" s="33">
        <f>IFERROR(INDEX(Visits!$Q$2:$Q$75,MATCH(19,Visits!$U$2:$U$75,0)),"")</f>
        <v/>
      </c>
      <c r="F24" s="33">
        <f>IFERROR(INDEX(Visits!$R$2:$R$75,MATCH(19,Visits!$U$2:$U$75,0)),"")</f>
        <v/>
      </c>
      <c r="G24" s="33">
        <f>IFERROR(INDEX(Visits!$S$2:$S$75,MATCH(19,Visits!$U$2:$U$75,0)),"")</f>
        <v/>
      </c>
    </row>
    <row r="25">
      <c r="A25" s="34">
        <f>IFERROR(INDEX(Visits!$B$2:$B$75,MATCH(20,Visits!$U$2:$U$75,0)),"")</f>
        <v/>
      </c>
      <c r="B25" s="34">
        <f>IFERROR(INDEX(Visits!$A$2:$A$75,MATCH(20,Visits!$U$2:$U$75,0)),"")</f>
        <v/>
      </c>
      <c r="C25" s="34">
        <f>IFERROR(INDEX(Visits!$C$2:$C$75,MATCH(20,Visits!$U$2:$U$75,0)),"")</f>
        <v/>
      </c>
      <c r="D25" s="34">
        <f>IFERROR(INDEX(Visits!$D$2:$D$75,MATCH(20,Visits!$U$2:$U$75,0)),"")</f>
        <v/>
      </c>
      <c r="E25" s="35">
        <f>IFERROR(INDEX(Visits!$Q$2:$Q$75,MATCH(20,Visits!$U$2:$U$75,0)),"")</f>
        <v/>
      </c>
      <c r="F25" s="35">
        <f>IFERROR(INDEX(Visits!$R$2:$R$75,MATCH(20,Visits!$U$2:$U$75,0)),"")</f>
        <v/>
      </c>
      <c r="G25" s="35">
        <f>IFERROR(INDEX(Visits!$S$2:$S$75,MATCH(20,Visits!$U$2:$U$75,0)),"")</f>
        <v/>
      </c>
    </row>
    <row r="26">
      <c r="A26" s="32">
        <f>IFERROR(INDEX(Visits!$B$2:$B$75,MATCH(21,Visits!$U$2:$U$75,0)),"")</f>
        <v/>
      </c>
      <c r="B26" s="32">
        <f>IFERROR(INDEX(Visits!$A$2:$A$75,MATCH(21,Visits!$U$2:$U$75,0)),"")</f>
        <v/>
      </c>
      <c r="C26" s="32">
        <f>IFERROR(INDEX(Visits!$C$2:$C$75,MATCH(21,Visits!$U$2:$U$75,0)),"")</f>
        <v/>
      </c>
      <c r="D26" s="32">
        <f>IFERROR(INDEX(Visits!$D$2:$D$75,MATCH(21,Visits!$U$2:$U$75,0)),"")</f>
        <v/>
      </c>
      <c r="E26" s="33">
        <f>IFERROR(INDEX(Visits!$Q$2:$Q$75,MATCH(21,Visits!$U$2:$U$75,0)),"")</f>
        <v/>
      </c>
      <c r="F26" s="33">
        <f>IFERROR(INDEX(Visits!$R$2:$R$75,MATCH(21,Visits!$U$2:$U$75,0)),"")</f>
        <v/>
      </c>
      <c r="G26" s="33">
        <f>IFERROR(INDEX(Visits!$S$2:$S$75,MATCH(21,Visits!$U$2:$U$75,0)),"")</f>
        <v/>
      </c>
    </row>
    <row r="27">
      <c r="A27" s="34">
        <f>IFERROR(INDEX(Visits!$B$2:$B$75,MATCH(22,Visits!$U$2:$U$75,0)),"")</f>
        <v/>
      </c>
      <c r="B27" s="34">
        <f>IFERROR(INDEX(Visits!$A$2:$A$75,MATCH(22,Visits!$U$2:$U$75,0)),"")</f>
        <v/>
      </c>
      <c r="C27" s="34">
        <f>IFERROR(INDEX(Visits!$C$2:$C$75,MATCH(22,Visits!$U$2:$U$75,0)),"")</f>
        <v/>
      </c>
      <c r="D27" s="34">
        <f>IFERROR(INDEX(Visits!$D$2:$D$75,MATCH(22,Visits!$U$2:$U$75,0)),"")</f>
        <v/>
      </c>
      <c r="E27" s="35">
        <f>IFERROR(INDEX(Visits!$Q$2:$Q$75,MATCH(22,Visits!$U$2:$U$75,0)),"")</f>
        <v/>
      </c>
      <c r="F27" s="35">
        <f>IFERROR(INDEX(Visits!$R$2:$R$75,MATCH(22,Visits!$U$2:$U$75,0)),"")</f>
        <v/>
      </c>
      <c r="G27" s="35">
        <f>IFERROR(INDEX(Visits!$S$2:$S$75,MATCH(22,Visits!$U$2:$U$75,0)),"")</f>
        <v/>
      </c>
    </row>
    <row r="28">
      <c r="A28" s="32">
        <f>IFERROR(INDEX(Visits!$B$2:$B$75,MATCH(23,Visits!$U$2:$U$75,0)),"")</f>
        <v/>
      </c>
      <c r="B28" s="32">
        <f>IFERROR(INDEX(Visits!$A$2:$A$75,MATCH(23,Visits!$U$2:$U$75,0)),"")</f>
        <v/>
      </c>
      <c r="C28" s="32">
        <f>IFERROR(INDEX(Visits!$C$2:$C$75,MATCH(23,Visits!$U$2:$U$75,0)),"")</f>
        <v/>
      </c>
      <c r="D28" s="32">
        <f>IFERROR(INDEX(Visits!$D$2:$D$75,MATCH(23,Visits!$U$2:$U$75,0)),"")</f>
        <v/>
      </c>
      <c r="E28" s="33">
        <f>IFERROR(INDEX(Visits!$Q$2:$Q$75,MATCH(23,Visits!$U$2:$U$75,0)),"")</f>
        <v/>
      </c>
      <c r="F28" s="33">
        <f>IFERROR(INDEX(Visits!$R$2:$R$75,MATCH(23,Visits!$U$2:$U$75,0)),"")</f>
        <v/>
      </c>
      <c r="G28" s="33">
        <f>IFERROR(INDEX(Visits!$S$2:$S$75,MATCH(23,Visits!$U$2:$U$75,0)),"")</f>
        <v/>
      </c>
    </row>
    <row r="29">
      <c r="A29" s="34">
        <f>IFERROR(INDEX(Visits!$B$2:$B$75,MATCH(24,Visits!$U$2:$U$75,0)),"")</f>
        <v/>
      </c>
      <c r="B29" s="34">
        <f>IFERROR(INDEX(Visits!$A$2:$A$75,MATCH(24,Visits!$U$2:$U$75,0)),"")</f>
        <v/>
      </c>
      <c r="C29" s="34">
        <f>IFERROR(INDEX(Visits!$C$2:$C$75,MATCH(24,Visits!$U$2:$U$75,0)),"")</f>
        <v/>
      </c>
      <c r="D29" s="34">
        <f>IFERROR(INDEX(Visits!$D$2:$D$75,MATCH(24,Visits!$U$2:$U$75,0)),"")</f>
        <v/>
      </c>
      <c r="E29" s="35">
        <f>IFERROR(INDEX(Visits!$Q$2:$Q$75,MATCH(24,Visits!$U$2:$U$75,0)),"")</f>
        <v/>
      </c>
      <c r="F29" s="35">
        <f>IFERROR(INDEX(Visits!$R$2:$R$75,MATCH(24,Visits!$U$2:$U$75,0)),"")</f>
        <v/>
      </c>
      <c r="G29" s="35">
        <f>IFERROR(INDEX(Visits!$S$2:$S$75,MATCH(24,Visits!$U$2:$U$75,0)),"")</f>
        <v/>
      </c>
    </row>
    <row r="30">
      <c r="A30" s="32">
        <f>IFERROR(INDEX(Visits!$B$2:$B$75,MATCH(25,Visits!$U$2:$U$75,0)),"")</f>
        <v/>
      </c>
      <c r="B30" s="32">
        <f>IFERROR(INDEX(Visits!$A$2:$A$75,MATCH(25,Visits!$U$2:$U$75,0)),"")</f>
        <v/>
      </c>
      <c r="C30" s="32">
        <f>IFERROR(INDEX(Visits!$C$2:$C$75,MATCH(25,Visits!$U$2:$U$75,0)),"")</f>
        <v/>
      </c>
      <c r="D30" s="32">
        <f>IFERROR(INDEX(Visits!$D$2:$D$75,MATCH(25,Visits!$U$2:$U$75,0)),"")</f>
        <v/>
      </c>
      <c r="E30" s="33">
        <f>IFERROR(INDEX(Visits!$Q$2:$Q$75,MATCH(25,Visits!$U$2:$U$75,0)),"")</f>
        <v/>
      </c>
      <c r="F30" s="33">
        <f>IFERROR(INDEX(Visits!$R$2:$R$75,MATCH(25,Visits!$U$2:$U$75,0)),"")</f>
        <v/>
      </c>
      <c r="G30" s="33">
        <f>IFERROR(INDEX(Visits!$S$2:$S$75,MATCH(25,Visits!$U$2:$U$75,0)),"")</f>
        <v/>
      </c>
    </row>
    <row r="31">
      <c r="A31" s="34">
        <f>IFERROR(INDEX(Visits!$B$2:$B$75,MATCH(26,Visits!$U$2:$U$75,0)),"")</f>
        <v/>
      </c>
      <c r="B31" s="34">
        <f>IFERROR(INDEX(Visits!$A$2:$A$75,MATCH(26,Visits!$U$2:$U$75,0)),"")</f>
        <v/>
      </c>
      <c r="C31" s="34">
        <f>IFERROR(INDEX(Visits!$C$2:$C$75,MATCH(26,Visits!$U$2:$U$75,0)),"")</f>
        <v/>
      </c>
      <c r="D31" s="34">
        <f>IFERROR(INDEX(Visits!$D$2:$D$75,MATCH(26,Visits!$U$2:$U$75,0)),"")</f>
        <v/>
      </c>
      <c r="E31" s="35">
        <f>IFERROR(INDEX(Visits!$Q$2:$Q$75,MATCH(26,Visits!$U$2:$U$75,0)),"")</f>
        <v/>
      </c>
      <c r="F31" s="35">
        <f>IFERROR(INDEX(Visits!$R$2:$R$75,MATCH(26,Visits!$U$2:$U$75,0)),"")</f>
        <v/>
      </c>
      <c r="G31" s="35">
        <f>IFERROR(INDEX(Visits!$S$2:$S$75,MATCH(26,Visits!$U$2:$U$75,0)),"")</f>
        <v/>
      </c>
    </row>
    <row r="32">
      <c r="A32" s="32">
        <f>IFERROR(INDEX(Visits!$B$2:$B$75,MATCH(27,Visits!$U$2:$U$75,0)),"")</f>
        <v/>
      </c>
      <c r="B32" s="32">
        <f>IFERROR(INDEX(Visits!$A$2:$A$75,MATCH(27,Visits!$U$2:$U$75,0)),"")</f>
        <v/>
      </c>
      <c r="C32" s="32">
        <f>IFERROR(INDEX(Visits!$C$2:$C$75,MATCH(27,Visits!$U$2:$U$75,0)),"")</f>
        <v/>
      </c>
      <c r="D32" s="32">
        <f>IFERROR(INDEX(Visits!$D$2:$D$75,MATCH(27,Visits!$U$2:$U$75,0)),"")</f>
        <v/>
      </c>
      <c r="E32" s="33">
        <f>IFERROR(INDEX(Visits!$Q$2:$Q$75,MATCH(27,Visits!$U$2:$U$75,0)),"")</f>
        <v/>
      </c>
      <c r="F32" s="33">
        <f>IFERROR(INDEX(Visits!$R$2:$R$75,MATCH(27,Visits!$U$2:$U$75,0)),"")</f>
        <v/>
      </c>
      <c r="G32" s="33">
        <f>IFERROR(INDEX(Visits!$S$2:$S$75,MATCH(27,Visits!$U$2:$U$75,0)),"")</f>
        <v/>
      </c>
    </row>
    <row r="33">
      <c r="A33" s="34">
        <f>IFERROR(INDEX(Visits!$B$2:$B$75,MATCH(28,Visits!$U$2:$U$75,0)),"")</f>
        <v/>
      </c>
      <c r="B33" s="34">
        <f>IFERROR(INDEX(Visits!$A$2:$A$75,MATCH(28,Visits!$U$2:$U$75,0)),"")</f>
        <v/>
      </c>
      <c r="C33" s="34">
        <f>IFERROR(INDEX(Visits!$C$2:$C$75,MATCH(28,Visits!$U$2:$U$75,0)),"")</f>
        <v/>
      </c>
      <c r="D33" s="34">
        <f>IFERROR(INDEX(Visits!$D$2:$D$75,MATCH(28,Visits!$U$2:$U$75,0)),"")</f>
        <v/>
      </c>
      <c r="E33" s="35">
        <f>IFERROR(INDEX(Visits!$Q$2:$Q$75,MATCH(28,Visits!$U$2:$U$75,0)),"")</f>
        <v/>
      </c>
      <c r="F33" s="35">
        <f>IFERROR(INDEX(Visits!$R$2:$R$75,MATCH(28,Visits!$U$2:$U$75,0)),"")</f>
        <v/>
      </c>
      <c r="G33" s="35">
        <f>IFERROR(INDEX(Visits!$S$2:$S$75,MATCH(28,Visits!$U$2:$U$75,0)),"")</f>
        <v/>
      </c>
    </row>
    <row r="34">
      <c r="A34" s="32">
        <f>IFERROR(INDEX(Visits!$B$2:$B$75,MATCH(29,Visits!$U$2:$U$75,0)),"")</f>
        <v/>
      </c>
      <c r="B34" s="32">
        <f>IFERROR(INDEX(Visits!$A$2:$A$75,MATCH(29,Visits!$U$2:$U$75,0)),"")</f>
        <v/>
      </c>
      <c r="C34" s="32">
        <f>IFERROR(INDEX(Visits!$C$2:$C$75,MATCH(29,Visits!$U$2:$U$75,0)),"")</f>
        <v/>
      </c>
      <c r="D34" s="32">
        <f>IFERROR(INDEX(Visits!$D$2:$D$75,MATCH(29,Visits!$U$2:$U$75,0)),"")</f>
        <v/>
      </c>
      <c r="E34" s="33">
        <f>IFERROR(INDEX(Visits!$Q$2:$Q$75,MATCH(29,Visits!$U$2:$U$75,0)),"")</f>
        <v/>
      </c>
      <c r="F34" s="33">
        <f>IFERROR(INDEX(Visits!$R$2:$R$75,MATCH(29,Visits!$U$2:$U$75,0)),"")</f>
        <v/>
      </c>
      <c r="G34" s="33">
        <f>IFERROR(INDEX(Visits!$S$2:$S$75,MATCH(29,Visits!$U$2:$U$75,0)),"")</f>
        <v/>
      </c>
    </row>
    <row r="35">
      <c r="A35" s="34">
        <f>IFERROR(INDEX(Visits!$B$2:$B$75,MATCH(30,Visits!$U$2:$U$75,0)),"")</f>
        <v/>
      </c>
      <c r="B35" s="34">
        <f>IFERROR(INDEX(Visits!$A$2:$A$75,MATCH(30,Visits!$U$2:$U$75,0)),"")</f>
        <v/>
      </c>
      <c r="C35" s="34">
        <f>IFERROR(INDEX(Visits!$C$2:$C$75,MATCH(30,Visits!$U$2:$U$75,0)),"")</f>
        <v/>
      </c>
      <c r="D35" s="34">
        <f>IFERROR(INDEX(Visits!$D$2:$D$75,MATCH(30,Visits!$U$2:$U$75,0)),"")</f>
        <v/>
      </c>
      <c r="E35" s="35">
        <f>IFERROR(INDEX(Visits!$Q$2:$Q$75,MATCH(30,Visits!$U$2:$U$75,0)),"")</f>
        <v/>
      </c>
      <c r="F35" s="35">
        <f>IFERROR(INDEX(Visits!$R$2:$R$75,MATCH(30,Visits!$U$2:$U$75,0)),"")</f>
        <v/>
      </c>
      <c r="G35" s="35">
        <f>IFERROR(INDEX(Visits!$S$2:$S$75,MATCH(30,Visits!$U$2:$U$75,0)),"")</f>
        <v/>
      </c>
    </row>
    <row r="36">
      <c r="A36" s="32">
        <f>IFERROR(INDEX(Visits!$B$2:$B$75,MATCH(31,Visits!$U$2:$U$75,0)),"")</f>
        <v/>
      </c>
      <c r="B36" s="32">
        <f>IFERROR(INDEX(Visits!$A$2:$A$75,MATCH(31,Visits!$U$2:$U$75,0)),"")</f>
        <v/>
      </c>
      <c r="C36" s="32">
        <f>IFERROR(INDEX(Visits!$C$2:$C$75,MATCH(31,Visits!$U$2:$U$75,0)),"")</f>
        <v/>
      </c>
      <c r="D36" s="32">
        <f>IFERROR(INDEX(Visits!$D$2:$D$75,MATCH(31,Visits!$U$2:$U$75,0)),"")</f>
        <v/>
      </c>
      <c r="E36" s="33">
        <f>IFERROR(INDEX(Visits!$Q$2:$Q$75,MATCH(31,Visits!$U$2:$U$75,0)),"")</f>
        <v/>
      </c>
      <c r="F36" s="33">
        <f>IFERROR(INDEX(Visits!$R$2:$R$75,MATCH(31,Visits!$U$2:$U$75,0)),"")</f>
        <v/>
      </c>
      <c r="G36" s="33">
        <f>IFERROR(INDEX(Visits!$S$2:$S$75,MATCH(31,Visits!$U$2:$U$75,0)),"")</f>
        <v/>
      </c>
    </row>
    <row r="37">
      <c r="A37" s="34">
        <f>IFERROR(INDEX(Visits!$B$2:$B$75,MATCH(32,Visits!$U$2:$U$75,0)),"")</f>
        <v/>
      </c>
      <c r="B37" s="34">
        <f>IFERROR(INDEX(Visits!$A$2:$A$75,MATCH(32,Visits!$U$2:$U$75,0)),"")</f>
        <v/>
      </c>
      <c r="C37" s="34">
        <f>IFERROR(INDEX(Visits!$C$2:$C$75,MATCH(32,Visits!$U$2:$U$75,0)),"")</f>
        <v/>
      </c>
      <c r="D37" s="34">
        <f>IFERROR(INDEX(Visits!$D$2:$D$75,MATCH(32,Visits!$U$2:$U$75,0)),"")</f>
        <v/>
      </c>
      <c r="E37" s="35">
        <f>IFERROR(INDEX(Visits!$Q$2:$Q$75,MATCH(32,Visits!$U$2:$U$75,0)),"")</f>
        <v/>
      </c>
      <c r="F37" s="35">
        <f>IFERROR(INDEX(Visits!$R$2:$R$75,MATCH(32,Visits!$U$2:$U$75,0)),"")</f>
        <v/>
      </c>
      <c r="G37" s="35">
        <f>IFERROR(INDEX(Visits!$S$2:$S$75,MATCH(32,Visits!$U$2:$U$75,0)),"")</f>
        <v/>
      </c>
    </row>
    <row r="38">
      <c r="A38" s="32">
        <f>IFERROR(INDEX(Visits!$B$2:$B$75,MATCH(33,Visits!$U$2:$U$75,0)),"")</f>
        <v/>
      </c>
      <c r="B38" s="32">
        <f>IFERROR(INDEX(Visits!$A$2:$A$75,MATCH(33,Visits!$U$2:$U$75,0)),"")</f>
        <v/>
      </c>
      <c r="C38" s="32">
        <f>IFERROR(INDEX(Visits!$C$2:$C$75,MATCH(33,Visits!$U$2:$U$75,0)),"")</f>
        <v/>
      </c>
      <c r="D38" s="32">
        <f>IFERROR(INDEX(Visits!$D$2:$D$75,MATCH(33,Visits!$U$2:$U$75,0)),"")</f>
        <v/>
      </c>
      <c r="E38" s="33">
        <f>IFERROR(INDEX(Visits!$Q$2:$Q$75,MATCH(33,Visits!$U$2:$U$75,0)),"")</f>
        <v/>
      </c>
      <c r="F38" s="33">
        <f>IFERROR(INDEX(Visits!$R$2:$R$75,MATCH(33,Visits!$U$2:$U$75,0)),"")</f>
        <v/>
      </c>
      <c r="G38" s="33">
        <f>IFERROR(INDEX(Visits!$S$2:$S$75,MATCH(33,Visits!$U$2:$U$75,0)),"")</f>
        <v/>
      </c>
    </row>
    <row r="39">
      <c r="A39" s="34">
        <f>IFERROR(INDEX(Visits!$B$2:$B$75,MATCH(34,Visits!$U$2:$U$75,0)),"")</f>
        <v/>
      </c>
      <c r="B39" s="34">
        <f>IFERROR(INDEX(Visits!$A$2:$A$75,MATCH(34,Visits!$U$2:$U$75,0)),"")</f>
        <v/>
      </c>
      <c r="C39" s="34">
        <f>IFERROR(INDEX(Visits!$C$2:$C$75,MATCH(34,Visits!$U$2:$U$75,0)),"")</f>
        <v/>
      </c>
      <c r="D39" s="34">
        <f>IFERROR(INDEX(Visits!$D$2:$D$75,MATCH(34,Visits!$U$2:$U$75,0)),"")</f>
        <v/>
      </c>
      <c r="E39" s="35">
        <f>IFERROR(INDEX(Visits!$Q$2:$Q$75,MATCH(34,Visits!$U$2:$U$75,0)),"")</f>
        <v/>
      </c>
      <c r="F39" s="35">
        <f>IFERROR(INDEX(Visits!$R$2:$R$75,MATCH(34,Visits!$U$2:$U$75,0)),"")</f>
        <v/>
      </c>
      <c r="G39" s="35">
        <f>IFERROR(INDEX(Visits!$S$2:$S$75,MATCH(34,Visits!$U$2:$U$75,0)),"")</f>
        <v/>
      </c>
    </row>
    <row r="40">
      <c r="A40" s="32">
        <f>IFERROR(INDEX(Visits!$B$2:$B$75,MATCH(35,Visits!$U$2:$U$75,0)),"")</f>
        <v/>
      </c>
      <c r="B40" s="32">
        <f>IFERROR(INDEX(Visits!$A$2:$A$75,MATCH(35,Visits!$U$2:$U$75,0)),"")</f>
        <v/>
      </c>
      <c r="C40" s="32">
        <f>IFERROR(INDEX(Visits!$C$2:$C$75,MATCH(35,Visits!$U$2:$U$75,0)),"")</f>
        <v/>
      </c>
      <c r="D40" s="32">
        <f>IFERROR(INDEX(Visits!$D$2:$D$75,MATCH(35,Visits!$U$2:$U$75,0)),"")</f>
        <v/>
      </c>
      <c r="E40" s="33">
        <f>IFERROR(INDEX(Visits!$Q$2:$Q$75,MATCH(35,Visits!$U$2:$U$75,0)),"")</f>
        <v/>
      </c>
      <c r="F40" s="33">
        <f>IFERROR(INDEX(Visits!$R$2:$R$75,MATCH(35,Visits!$U$2:$U$75,0)),"")</f>
        <v/>
      </c>
      <c r="G40" s="33">
        <f>IFERROR(INDEX(Visits!$S$2:$S$75,MATCH(35,Visits!$U$2:$U$75,0)),"")</f>
        <v/>
      </c>
    </row>
    <row r="41">
      <c r="A41" s="34">
        <f>IFERROR(INDEX(Visits!$B$2:$B$75,MATCH(36,Visits!$U$2:$U$75,0)),"")</f>
        <v/>
      </c>
      <c r="B41" s="34">
        <f>IFERROR(INDEX(Visits!$A$2:$A$75,MATCH(36,Visits!$U$2:$U$75,0)),"")</f>
        <v/>
      </c>
      <c r="C41" s="34">
        <f>IFERROR(INDEX(Visits!$C$2:$C$75,MATCH(36,Visits!$U$2:$U$75,0)),"")</f>
        <v/>
      </c>
      <c r="D41" s="34">
        <f>IFERROR(INDEX(Visits!$D$2:$D$75,MATCH(36,Visits!$U$2:$U$75,0)),"")</f>
        <v/>
      </c>
      <c r="E41" s="35">
        <f>IFERROR(INDEX(Visits!$Q$2:$Q$75,MATCH(36,Visits!$U$2:$U$75,0)),"")</f>
        <v/>
      </c>
      <c r="F41" s="35">
        <f>IFERROR(INDEX(Visits!$R$2:$R$75,MATCH(36,Visits!$U$2:$U$75,0)),"")</f>
        <v/>
      </c>
      <c r="G41" s="35">
        <f>IFERROR(INDEX(Visits!$S$2:$S$75,MATCH(36,Visits!$U$2:$U$75,0)),"")</f>
        <v/>
      </c>
    </row>
    <row r="42">
      <c r="A42" s="32">
        <f>IFERROR(INDEX(Visits!$B$2:$B$75,MATCH(37,Visits!$U$2:$U$75,0)),"")</f>
        <v/>
      </c>
      <c r="B42" s="32">
        <f>IFERROR(INDEX(Visits!$A$2:$A$75,MATCH(37,Visits!$U$2:$U$75,0)),"")</f>
        <v/>
      </c>
      <c r="C42" s="32">
        <f>IFERROR(INDEX(Visits!$C$2:$C$75,MATCH(37,Visits!$U$2:$U$75,0)),"")</f>
        <v/>
      </c>
      <c r="D42" s="32">
        <f>IFERROR(INDEX(Visits!$D$2:$D$75,MATCH(37,Visits!$U$2:$U$75,0)),"")</f>
        <v/>
      </c>
      <c r="E42" s="33">
        <f>IFERROR(INDEX(Visits!$Q$2:$Q$75,MATCH(37,Visits!$U$2:$U$75,0)),"")</f>
        <v/>
      </c>
      <c r="F42" s="33">
        <f>IFERROR(INDEX(Visits!$R$2:$R$75,MATCH(37,Visits!$U$2:$U$75,0)),"")</f>
        <v/>
      </c>
      <c r="G42" s="33">
        <f>IFERROR(INDEX(Visits!$S$2:$S$75,MATCH(37,Visits!$U$2:$U$75,0)),"")</f>
        <v/>
      </c>
    </row>
    <row r="43">
      <c r="A43" s="34">
        <f>IFERROR(INDEX(Visits!$B$2:$B$75,MATCH(38,Visits!$U$2:$U$75,0)),"")</f>
        <v/>
      </c>
      <c r="B43" s="34">
        <f>IFERROR(INDEX(Visits!$A$2:$A$75,MATCH(38,Visits!$U$2:$U$75,0)),"")</f>
        <v/>
      </c>
      <c r="C43" s="34">
        <f>IFERROR(INDEX(Visits!$C$2:$C$75,MATCH(38,Visits!$U$2:$U$75,0)),"")</f>
        <v/>
      </c>
      <c r="D43" s="34">
        <f>IFERROR(INDEX(Visits!$D$2:$D$75,MATCH(38,Visits!$U$2:$U$75,0)),"")</f>
        <v/>
      </c>
      <c r="E43" s="35">
        <f>IFERROR(INDEX(Visits!$Q$2:$Q$75,MATCH(38,Visits!$U$2:$U$75,0)),"")</f>
        <v/>
      </c>
      <c r="F43" s="35">
        <f>IFERROR(INDEX(Visits!$R$2:$R$75,MATCH(38,Visits!$U$2:$U$75,0)),"")</f>
        <v/>
      </c>
      <c r="G43" s="35">
        <f>IFERROR(INDEX(Visits!$S$2:$S$75,MATCH(38,Visits!$U$2:$U$75,0)),"")</f>
        <v/>
      </c>
    </row>
    <row r="44">
      <c r="A44" s="32">
        <f>IFERROR(INDEX(Visits!$B$2:$B$75,MATCH(39,Visits!$U$2:$U$75,0)),"")</f>
        <v/>
      </c>
      <c r="B44" s="32">
        <f>IFERROR(INDEX(Visits!$A$2:$A$75,MATCH(39,Visits!$U$2:$U$75,0)),"")</f>
        <v/>
      </c>
      <c r="C44" s="32">
        <f>IFERROR(INDEX(Visits!$C$2:$C$75,MATCH(39,Visits!$U$2:$U$75,0)),"")</f>
        <v/>
      </c>
      <c r="D44" s="32">
        <f>IFERROR(INDEX(Visits!$D$2:$D$75,MATCH(39,Visits!$U$2:$U$75,0)),"")</f>
        <v/>
      </c>
      <c r="E44" s="33">
        <f>IFERROR(INDEX(Visits!$Q$2:$Q$75,MATCH(39,Visits!$U$2:$U$75,0)),"")</f>
        <v/>
      </c>
      <c r="F44" s="33">
        <f>IFERROR(INDEX(Visits!$R$2:$R$75,MATCH(39,Visits!$U$2:$U$75,0)),"")</f>
        <v/>
      </c>
      <c r="G44" s="33">
        <f>IFERROR(INDEX(Visits!$S$2:$S$75,MATCH(39,Visits!$U$2:$U$75,0)),"")</f>
        <v/>
      </c>
    </row>
    <row r="45">
      <c r="A45" s="34">
        <f>IFERROR(INDEX(Visits!$B$2:$B$75,MATCH(40,Visits!$U$2:$U$75,0)),"")</f>
        <v/>
      </c>
      <c r="B45" s="34">
        <f>IFERROR(INDEX(Visits!$A$2:$A$75,MATCH(40,Visits!$U$2:$U$75,0)),"")</f>
        <v/>
      </c>
      <c r="C45" s="34">
        <f>IFERROR(INDEX(Visits!$C$2:$C$75,MATCH(40,Visits!$U$2:$U$75,0)),"")</f>
        <v/>
      </c>
      <c r="D45" s="34">
        <f>IFERROR(INDEX(Visits!$D$2:$D$75,MATCH(40,Visits!$U$2:$U$75,0)),"")</f>
        <v/>
      </c>
      <c r="E45" s="35">
        <f>IFERROR(INDEX(Visits!$Q$2:$Q$75,MATCH(40,Visits!$U$2:$U$75,0)),"")</f>
        <v/>
      </c>
      <c r="F45" s="35">
        <f>IFERROR(INDEX(Visits!$R$2:$R$75,MATCH(40,Visits!$U$2:$U$75,0)),"")</f>
        <v/>
      </c>
      <c r="G45" s="35">
        <f>IFERROR(INDEX(Visits!$S$2:$S$75,MATCH(40,Visits!$U$2:$U$75,0)),"")</f>
        <v/>
      </c>
    </row>
    <row r="46">
      <c r="A46" s="32">
        <f>IFERROR(INDEX(Visits!$B$2:$B$75,MATCH(41,Visits!$U$2:$U$75,0)),"")</f>
        <v/>
      </c>
      <c r="B46" s="32">
        <f>IFERROR(INDEX(Visits!$A$2:$A$75,MATCH(41,Visits!$U$2:$U$75,0)),"")</f>
        <v/>
      </c>
      <c r="C46" s="32">
        <f>IFERROR(INDEX(Visits!$C$2:$C$75,MATCH(41,Visits!$U$2:$U$75,0)),"")</f>
        <v/>
      </c>
      <c r="D46" s="32">
        <f>IFERROR(INDEX(Visits!$D$2:$D$75,MATCH(41,Visits!$U$2:$U$75,0)),"")</f>
        <v/>
      </c>
      <c r="E46" s="33">
        <f>IFERROR(INDEX(Visits!$Q$2:$Q$75,MATCH(41,Visits!$U$2:$U$75,0)),"")</f>
        <v/>
      </c>
      <c r="F46" s="33">
        <f>IFERROR(INDEX(Visits!$R$2:$R$75,MATCH(41,Visits!$U$2:$U$75,0)),"")</f>
        <v/>
      </c>
      <c r="G46" s="33">
        <f>IFERROR(INDEX(Visits!$S$2:$S$75,MATCH(41,Visits!$U$2:$U$75,0)),"")</f>
        <v/>
      </c>
    </row>
    <row r="47">
      <c r="A47" s="34">
        <f>IFERROR(INDEX(Visits!$B$2:$B$75,MATCH(42,Visits!$U$2:$U$75,0)),"")</f>
        <v/>
      </c>
      <c r="B47" s="34">
        <f>IFERROR(INDEX(Visits!$A$2:$A$75,MATCH(42,Visits!$U$2:$U$75,0)),"")</f>
        <v/>
      </c>
      <c r="C47" s="34">
        <f>IFERROR(INDEX(Visits!$C$2:$C$75,MATCH(42,Visits!$U$2:$U$75,0)),"")</f>
        <v/>
      </c>
      <c r="D47" s="34">
        <f>IFERROR(INDEX(Visits!$D$2:$D$75,MATCH(42,Visits!$U$2:$U$75,0)),"")</f>
        <v/>
      </c>
      <c r="E47" s="35">
        <f>IFERROR(INDEX(Visits!$Q$2:$Q$75,MATCH(42,Visits!$U$2:$U$75,0)),"")</f>
        <v/>
      </c>
      <c r="F47" s="35">
        <f>IFERROR(INDEX(Visits!$R$2:$R$75,MATCH(42,Visits!$U$2:$U$75,0)),"")</f>
        <v/>
      </c>
      <c r="G47" s="35">
        <f>IFERROR(INDEX(Visits!$S$2:$S$75,MATCH(42,Visits!$U$2:$U$75,0)),"")</f>
        <v/>
      </c>
    </row>
    <row r="48">
      <c r="A48" s="32">
        <f>IFERROR(INDEX(Visits!$B$2:$B$75,MATCH(43,Visits!$U$2:$U$75,0)),"")</f>
        <v/>
      </c>
      <c r="B48" s="32">
        <f>IFERROR(INDEX(Visits!$A$2:$A$75,MATCH(43,Visits!$U$2:$U$75,0)),"")</f>
        <v/>
      </c>
      <c r="C48" s="32">
        <f>IFERROR(INDEX(Visits!$C$2:$C$75,MATCH(43,Visits!$U$2:$U$75,0)),"")</f>
        <v/>
      </c>
      <c r="D48" s="32">
        <f>IFERROR(INDEX(Visits!$D$2:$D$75,MATCH(43,Visits!$U$2:$U$75,0)),"")</f>
        <v/>
      </c>
      <c r="E48" s="33">
        <f>IFERROR(INDEX(Visits!$Q$2:$Q$75,MATCH(43,Visits!$U$2:$U$75,0)),"")</f>
        <v/>
      </c>
      <c r="F48" s="33">
        <f>IFERROR(INDEX(Visits!$R$2:$R$75,MATCH(43,Visits!$U$2:$U$75,0)),"")</f>
        <v/>
      </c>
      <c r="G48" s="33">
        <f>IFERROR(INDEX(Visits!$S$2:$S$75,MATCH(43,Visits!$U$2:$U$75,0)),"")</f>
        <v/>
      </c>
    </row>
    <row r="49">
      <c r="A49" s="34">
        <f>IFERROR(INDEX(Visits!$B$2:$B$75,MATCH(44,Visits!$U$2:$U$75,0)),"")</f>
        <v/>
      </c>
      <c r="B49" s="34">
        <f>IFERROR(INDEX(Visits!$A$2:$A$75,MATCH(44,Visits!$U$2:$U$75,0)),"")</f>
        <v/>
      </c>
      <c r="C49" s="34">
        <f>IFERROR(INDEX(Visits!$C$2:$C$75,MATCH(44,Visits!$U$2:$U$75,0)),"")</f>
        <v/>
      </c>
      <c r="D49" s="34">
        <f>IFERROR(INDEX(Visits!$D$2:$D$75,MATCH(44,Visits!$U$2:$U$75,0)),"")</f>
        <v/>
      </c>
      <c r="E49" s="35">
        <f>IFERROR(INDEX(Visits!$Q$2:$Q$75,MATCH(44,Visits!$U$2:$U$75,0)),"")</f>
        <v/>
      </c>
      <c r="F49" s="35">
        <f>IFERROR(INDEX(Visits!$R$2:$R$75,MATCH(44,Visits!$U$2:$U$75,0)),"")</f>
        <v/>
      </c>
      <c r="G49" s="35">
        <f>IFERROR(INDEX(Visits!$S$2:$S$75,MATCH(44,Visits!$U$2:$U$75,0)),"")</f>
        <v/>
      </c>
    </row>
    <row r="50">
      <c r="A50" s="32">
        <f>IFERROR(INDEX(Visits!$B$2:$B$75,MATCH(45,Visits!$U$2:$U$75,0)),"")</f>
        <v/>
      </c>
      <c r="B50" s="32">
        <f>IFERROR(INDEX(Visits!$A$2:$A$75,MATCH(45,Visits!$U$2:$U$75,0)),"")</f>
        <v/>
      </c>
      <c r="C50" s="32">
        <f>IFERROR(INDEX(Visits!$C$2:$C$75,MATCH(45,Visits!$U$2:$U$75,0)),"")</f>
        <v/>
      </c>
      <c r="D50" s="32">
        <f>IFERROR(INDEX(Visits!$D$2:$D$75,MATCH(45,Visits!$U$2:$U$75,0)),"")</f>
        <v/>
      </c>
      <c r="E50" s="33">
        <f>IFERROR(INDEX(Visits!$Q$2:$Q$75,MATCH(45,Visits!$U$2:$U$75,0)),"")</f>
        <v/>
      </c>
      <c r="F50" s="33">
        <f>IFERROR(INDEX(Visits!$R$2:$R$75,MATCH(45,Visits!$U$2:$U$75,0)),"")</f>
        <v/>
      </c>
      <c r="G50" s="33">
        <f>IFERROR(INDEX(Visits!$S$2:$S$75,MATCH(45,Visits!$U$2:$U$75,0)),"")</f>
        <v/>
      </c>
    </row>
    <row r="51">
      <c r="A51" s="34">
        <f>IFERROR(INDEX(Visits!$B$2:$B$75,MATCH(46,Visits!$U$2:$U$75,0)),"")</f>
        <v/>
      </c>
      <c r="B51" s="34">
        <f>IFERROR(INDEX(Visits!$A$2:$A$75,MATCH(46,Visits!$U$2:$U$75,0)),"")</f>
        <v/>
      </c>
      <c r="C51" s="34">
        <f>IFERROR(INDEX(Visits!$C$2:$C$75,MATCH(46,Visits!$U$2:$U$75,0)),"")</f>
        <v/>
      </c>
      <c r="D51" s="34">
        <f>IFERROR(INDEX(Visits!$D$2:$D$75,MATCH(46,Visits!$U$2:$U$75,0)),"")</f>
        <v/>
      </c>
      <c r="E51" s="35">
        <f>IFERROR(INDEX(Visits!$Q$2:$Q$75,MATCH(46,Visits!$U$2:$U$75,0)),"")</f>
        <v/>
      </c>
      <c r="F51" s="35">
        <f>IFERROR(INDEX(Visits!$R$2:$R$75,MATCH(46,Visits!$U$2:$U$75,0)),"")</f>
        <v/>
      </c>
      <c r="G51" s="35">
        <f>IFERROR(INDEX(Visits!$S$2:$S$75,MATCH(46,Visits!$U$2:$U$75,0)),"")</f>
        <v/>
      </c>
    </row>
    <row r="52">
      <c r="A52" s="32">
        <f>IFERROR(INDEX(Visits!$B$2:$B$75,MATCH(47,Visits!$U$2:$U$75,0)),"")</f>
        <v/>
      </c>
      <c r="B52" s="32">
        <f>IFERROR(INDEX(Visits!$A$2:$A$75,MATCH(47,Visits!$U$2:$U$75,0)),"")</f>
        <v/>
      </c>
      <c r="C52" s="32">
        <f>IFERROR(INDEX(Visits!$C$2:$C$75,MATCH(47,Visits!$U$2:$U$75,0)),"")</f>
        <v/>
      </c>
      <c r="D52" s="32">
        <f>IFERROR(INDEX(Visits!$D$2:$D$75,MATCH(47,Visits!$U$2:$U$75,0)),"")</f>
        <v/>
      </c>
      <c r="E52" s="33">
        <f>IFERROR(INDEX(Visits!$Q$2:$Q$75,MATCH(47,Visits!$U$2:$U$75,0)),"")</f>
        <v/>
      </c>
      <c r="F52" s="33">
        <f>IFERROR(INDEX(Visits!$R$2:$R$75,MATCH(47,Visits!$U$2:$U$75,0)),"")</f>
        <v/>
      </c>
      <c r="G52" s="33">
        <f>IFERROR(INDEX(Visits!$S$2:$S$75,MATCH(47,Visits!$U$2:$U$75,0)),"")</f>
        <v/>
      </c>
    </row>
    <row r="53">
      <c r="A53" s="34">
        <f>IFERROR(INDEX(Visits!$B$2:$B$75,MATCH(48,Visits!$U$2:$U$75,0)),"")</f>
        <v/>
      </c>
      <c r="B53" s="34">
        <f>IFERROR(INDEX(Visits!$A$2:$A$75,MATCH(48,Visits!$U$2:$U$75,0)),"")</f>
        <v/>
      </c>
      <c r="C53" s="34">
        <f>IFERROR(INDEX(Visits!$C$2:$C$75,MATCH(48,Visits!$U$2:$U$75,0)),"")</f>
        <v/>
      </c>
      <c r="D53" s="34">
        <f>IFERROR(INDEX(Visits!$D$2:$D$75,MATCH(48,Visits!$U$2:$U$75,0)),"")</f>
        <v/>
      </c>
      <c r="E53" s="35">
        <f>IFERROR(INDEX(Visits!$Q$2:$Q$75,MATCH(48,Visits!$U$2:$U$75,0)),"")</f>
        <v/>
      </c>
      <c r="F53" s="35">
        <f>IFERROR(INDEX(Visits!$R$2:$R$75,MATCH(48,Visits!$U$2:$U$75,0)),"")</f>
        <v/>
      </c>
      <c r="G53" s="35">
        <f>IFERROR(INDEX(Visits!$S$2:$S$75,MATCH(48,Visits!$U$2:$U$75,0)),"")</f>
        <v/>
      </c>
    </row>
    <row r="54">
      <c r="A54" s="32">
        <f>IFERROR(INDEX(Visits!$B$2:$B$75,MATCH(49,Visits!$U$2:$U$75,0)),"")</f>
        <v/>
      </c>
      <c r="B54" s="32">
        <f>IFERROR(INDEX(Visits!$A$2:$A$75,MATCH(49,Visits!$U$2:$U$75,0)),"")</f>
        <v/>
      </c>
      <c r="C54" s="32">
        <f>IFERROR(INDEX(Visits!$C$2:$C$75,MATCH(49,Visits!$U$2:$U$75,0)),"")</f>
        <v/>
      </c>
      <c r="D54" s="32">
        <f>IFERROR(INDEX(Visits!$D$2:$D$75,MATCH(49,Visits!$U$2:$U$75,0)),"")</f>
        <v/>
      </c>
      <c r="E54" s="33">
        <f>IFERROR(INDEX(Visits!$Q$2:$Q$75,MATCH(49,Visits!$U$2:$U$75,0)),"")</f>
        <v/>
      </c>
      <c r="F54" s="33">
        <f>IFERROR(INDEX(Visits!$R$2:$R$75,MATCH(49,Visits!$U$2:$U$75,0)),"")</f>
        <v/>
      </c>
      <c r="G54" s="33">
        <f>IFERROR(INDEX(Visits!$S$2:$S$75,MATCH(49,Visits!$U$2:$U$75,0)),"")</f>
        <v/>
      </c>
    </row>
    <row r="55">
      <c r="A55" s="34">
        <f>IFERROR(INDEX(Visits!$B$2:$B$75,MATCH(50,Visits!$U$2:$U$75,0)),"")</f>
        <v/>
      </c>
      <c r="B55" s="34">
        <f>IFERROR(INDEX(Visits!$A$2:$A$75,MATCH(50,Visits!$U$2:$U$75,0)),"")</f>
        <v/>
      </c>
      <c r="C55" s="34">
        <f>IFERROR(INDEX(Visits!$C$2:$C$75,MATCH(50,Visits!$U$2:$U$75,0)),"")</f>
        <v/>
      </c>
      <c r="D55" s="34">
        <f>IFERROR(INDEX(Visits!$D$2:$D$75,MATCH(50,Visits!$U$2:$U$75,0)),"")</f>
        <v/>
      </c>
      <c r="E55" s="35">
        <f>IFERROR(INDEX(Visits!$Q$2:$Q$75,MATCH(50,Visits!$U$2:$U$75,0)),"")</f>
        <v/>
      </c>
      <c r="F55" s="35">
        <f>IFERROR(INDEX(Visits!$R$2:$R$75,MATCH(50,Visits!$U$2:$U$75,0)),"")</f>
        <v/>
      </c>
      <c r="G55" s="35">
        <f>IFERROR(INDEX(Visits!$S$2:$S$75,MATCH(50,Visits!$U$2:$U$75,0)),"")</f>
        <v/>
      </c>
    </row>
    <row r="56">
      <c r="A56" s="32">
        <f>IFERROR(INDEX(Visits!$B$2:$B$75,MATCH(51,Visits!$U$2:$U$75,0)),"")</f>
        <v/>
      </c>
      <c r="B56" s="32">
        <f>IFERROR(INDEX(Visits!$A$2:$A$75,MATCH(51,Visits!$U$2:$U$75,0)),"")</f>
        <v/>
      </c>
      <c r="C56" s="32">
        <f>IFERROR(INDEX(Visits!$C$2:$C$75,MATCH(51,Visits!$U$2:$U$75,0)),"")</f>
        <v/>
      </c>
      <c r="D56" s="32">
        <f>IFERROR(INDEX(Visits!$D$2:$D$75,MATCH(51,Visits!$U$2:$U$75,0)),"")</f>
        <v/>
      </c>
      <c r="E56" s="33">
        <f>IFERROR(INDEX(Visits!$Q$2:$Q$75,MATCH(51,Visits!$U$2:$U$75,0)),"")</f>
        <v/>
      </c>
      <c r="F56" s="33">
        <f>IFERROR(INDEX(Visits!$R$2:$R$75,MATCH(51,Visits!$U$2:$U$75,0)),"")</f>
        <v/>
      </c>
      <c r="G56" s="33">
        <f>IFERROR(INDEX(Visits!$S$2:$S$75,MATCH(51,Visits!$U$2:$U$75,0)),"")</f>
        <v/>
      </c>
    </row>
    <row r="57">
      <c r="A57" s="34">
        <f>IFERROR(INDEX(Visits!$B$2:$B$75,MATCH(52,Visits!$U$2:$U$75,0)),"")</f>
        <v/>
      </c>
      <c r="B57" s="34">
        <f>IFERROR(INDEX(Visits!$A$2:$A$75,MATCH(52,Visits!$U$2:$U$75,0)),"")</f>
        <v/>
      </c>
      <c r="C57" s="34">
        <f>IFERROR(INDEX(Visits!$C$2:$C$75,MATCH(52,Visits!$U$2:$U$75,0)),"")</f>
        <v/>
      </c>
      <c r="D57" s="34">
        <f>IFERROR(INDEX(Visits!$D$2:$D$75,MATCH(52,Visits!$U$2:$U$75,0)),"")</f>
        <v/>
      </c>
      <c r="E57" s="35">
        <f>IFERROR(INDEX(Visits!$Q$2:$Q$75,MATCH(52,Visits!$U$2:$U$75,0)),"")</f>
        <v/>
      </c>
      <c r="F57" s="35">
        <f>IFERROR(INDEX(Visits!$R$2:$R$75,MATCH(52,Visits!$U$2:$U$75,0)),"")</f>
        <v/>
      </c>
      <c r="G57" s="35">
        <f>IFERROR(INDEX(Visits!$S$2:$S$75,MATCH(52,Visits!$U$2:$U$75,0)),"")</f>
        <v/>
      </c>
    </row>
    <row r="58">
      <c r="A58" s="32">
        <f>IFERROR(INDEX(Visits!$B$2:$B$75,MATCH(53,Visits!$U$2:$U$75,0)),"")</f>
        <v/>
      </c>
      <c r="B58" s="32">
        <f>IFERROR(INDEX(Visits!$A$2:$A$75,MATCH(53,Visits!$U$2:$U$75,0)),"")</f>
        <v/>
      </c>
      <c r="C58" s="32">
        <f>IFERROR(INDEX(Visits!$C$2:$C$75,MATCH(53,Visits!$U$2:$U$75,0)),"")</f>
        <v/>
      </c>
      <c r="D58" s="32">
        <f>IFERROR(INDEX(Visits!$D$2:$D$75,MATCH(53,Visits!$U$2:$U$75,0)),"")</f>
        <v/>
      </c>
      <c r="E58" s="33">
        <f>IFERROR(INDEX(Visits!$Q$2:$Q$75,MATCH(53,Visits!$U$2:$U$75,0)),"")</f>
        <v/>
      </c>
      <c r="F58" s="33">
        <f>IFERROR(INDEX(Visits!$R$2:$R$75,MATCH(53,Visits!$U$2:$U$75,0)),"")</f>
        <v/>
      </c>
      <c r="G58" s="33">
        <f>IFERROR(INDEX(Visits!$S$2:$S$75,MATCH(53,Visits!$U$2:$U$75,0)),"")</f>
        <v/>
      </c>
    </row>
    <row r="59">
      <c r="A59" s="34">
        <f>IFERROR(INDEX(Visits!$B$2:$B$75,MATCH(54,Visits!$U$2:$U$75,0)),"")</f>
        <v/>
      </c>
      <c r="B59" s="34">
        <f>IFERROR(INDEX(Visits!$A$2:$A$75,MATCH(54,Visits!$U$2:$U$75,0)),"")</f>
        <v/>
      </c>
      <c r="C59" s="34">
        <f>IFERROR(INDEX(Visits!$C$2:$C$75,MATCH(54,Visits!$U$2:$U$75,0)),"")</f>
        <v/>
      </c>
      <c r="D59" s="34">
        <f>IFERROR(INDEX(Visits!$D$2:$D$75,MATCH(54,Visits!$U$2:$U$75,0)),"")</f>
        <v/>
      </c>
      <c r="E59" s="35">
        <f>IFERROR(INDEX(Visits!$Q$2:$Q$75,MATCH(54,Visits!$U$2:$U$75,0)),"")</f>
        <v/>
      </c>
      <c r="F59" s="35">
        <f>IFERROR(INDEX(Visits!$R$2:$R$75,MATCH(54,Visits!$U$2:$U$75,0)),"")</f>
        <v/>
      </c>
      <c r="G59" s="35">
        <f>IFERROR(INDEX(Visits!$S$2:$S$75,MATCH(54,Visits!$U$2:$U$75,0)),"")</f>
        <v/>
      </c>
    </row>
    <row r="60">
      <c r="A60" s="32">
        <f>IFERROR(INDEX(Visits!$B$2:$B$75,MATCH(55,Visits!$U$2:$U$75,0)),"")</f>
        <v/>
      </c>
      <c r="B60" s="32">
        <f>IFERROR(INDEX(Visits!$A$2:$A$75,MATCH(55,Visits!$U$2:$U$75,0)),"")</f>
        <v/>
      </c>
      <c r="C60" s="32">
        <f>IFERROR(INDEX(Visits!$C$2:$C$75,MATCH(55,Visits!$U$2:$U$75,0)),"")</f>
        <v/>
      </c>
      <c r="D60" s="32">
        <f>IFERROR(INDEX(Visits!$D$2:$D$75,MATCH(55,Visits!$U$2:$U$75,0)),"")</f>
        <v/>
      </c>
      <c r="E60" s="33">
        <f>IFERROR(INDEX(Visits!$Q$2:$Q$75,MATCH(55,Visits!$U$2:$U$75,0)),"")</f>
        <v/>
      </c>
      <c r="F60" s="33">
        <f>IFERROR(INDEX(Visits!$R$2:$R$75,MATCH(55,Visits!$U$2:$U$75,0)),"")</f>
        <v/>
      </c>
      <c r="G60" s="33">
        <f>IFERROR(INDEX(Visits!$S$2:$S$75,MATCH(55,Visits!$U$2:$U$75,0)),"")</f>
        <v/>
      </c>
    </row>
    <row r="61">
      <c r="A61" s="34">
        <f>IFERROR(INDEX(Visits!$B$2:$B$75,MATCH(56,Visits!$U$2:$U$75,0)),"")</f>
        <v/>
      </c>
      <c r="B61" s="34">
        <f>IFERROR(INDEX(Visits!$A$2:$A$75,MATCH(56,Visits!$U$2:$U$75,0)),"")</f>
        <v/>
      </c>
      <c r="C61" s="34">
        <f>IFERROR(INDEX(Visits!$C$2:$C$75,MATCH(56,Visits!$U$2:$U$75,0)),"")</f>
        <v/>
      </c>
      <c r="D61" s="34">
        <f>IFERROR(INDEX(Visits!$D$2:$D$75,MATCH(56,Visits!$U$2:$U$75,0)),"")</f>
        <v/>
      </c>
      <c r="E61" s="35">
        <f>IFERROR(INDEX(Visits!$Q$2:$Q$75,MATCH(56,Visits!$U$2:$U$75,0)),"")</f>
        <v/>
      </c>
      <c r="F61" s="35">
        <f>IFERROR(INDEX(Visits!$R$2:$R$75,MATCH(56,Visits!$U$2:$U$75,0)),"")</f>
        <v/>
      </c>
      <c r="G61" s="35">
        <f>IFERROR(INDEX(Visits!$S$2:$S$75,MATCH(56,Visits!$U$2:$U$75,0)),"")</f>
        <v/>
      </c>
    </row>
    <row r="62">
      <c r="A62" s="32">
        <f>IFERROR(INDEX(Visits!$B$2:$B$75,MATCH(57,Visits!$U$2:$U$75,0)),"")</f>
        <v/>
      </c>
      <c r="B62" s="32">
        <f>IFERROR(INDEX(Visits!$A$2:$A$75,MATCH(57,Visits!$U$2:$U$75,0)),"")</f>
        <v/>
      </c>
      <c r="C62" s="32">
        <f>IFERROR(INDEX(Visits!$C$2:$C$75,MATCH(57,Visits!$U$2:$U$75,0)),"")</f>
        <v/>
      </c>
      <c r="D62" s="32">
        <f>IFERROR(INDEX(Visits!$D$2:$D$75,MATCH(57,Visits!$U$2:$U$75,0)),"")</f>
        <v/>
      </c>
      <c r="E62" s="33">
        <f>IFERROR(INDEX(Visits!$Q$2:$Q$75,MATCH(57,Visits!$U$2:$U$75,0)),"")</f>
        <v/>
      </c>
      <c r="F62" s="33">
        <f>IFERROR(INDEX(Visits!$R$2:$R$75,MATCH(57,Visits!$U$2:$U$75,0)),"")</f>
        <v/>
      </c>
      <c r="G62" s="33">
        <f>IFERROR(INDEX(Visits!$S$2:$S$75,MATCH(57,Visits!$U$2:$U$75,0)),"")</f>
        <v/>
      </c>
    </row>
    <row r="63">
      <c r="A63" s="34">
        <f>IFERROR(INDEX(Visits!$B$2:$B$75,MATCH(58,Visits!$U$2:$U$75,0)),"")</f>
        <v/>
      </c>
      <c r="B63" s="34">
        <f>IFERROR(INDEX(Visits!$A$2:$A$75,MATCH(58,Visits!$U$2:$U$75,0)),"")</f>
        <v/>
      </c>
      <c r="C63" s="34">
        <f>IFERROR(INDEX(Visits!$C$2:$C$75,MATCH(58,Visits!$U$2:$U$75,0)),"")</f>
        <v/>
      </c>
      <c r="D63" s="34">
        <f>IFERROR(INDEX(Visits!$D$2:$D$75,MATCH(58,Visits!$U$2:$U$75,0)),"")</f>
        <v/>
      </c>
      <c r="E63" s="35">
        <f>IFERROR(INDEX(Visits!$Q$2:$Q$75,MATCH(58,Visits!$U$2:$U$75,0)),"")</f>
        <v/>
      </c>
      <c r="F63" s="35">
        <f>IFERROR(INDEX(Visits!$R$2:$R$75,MATCH(58,Visits!$U$2:$U$75,0)),"")</f>
        <v/>
      </c>
      <c r="G63" s="35">
        <f>IFERROR(INDEX(Visits!$S$2:$S$75,MATCH(58,Visits!$U$2:$U$75,0)),"")</f>
        <v/>
      </c>
    </row>
    <row r="64">
      <c r="A64" s="32">
        <f>IFERROR(INDEX(Visits!$B$2:$B$75,MATCH(59,Visits!$U$2:$U$75,0)),"")</f>
        <v/>
      </c>
      <c r="B64" s="32">
        <f>IFERROR(INDEX(Visits!$A$2:$A$75,MATCH(59,Visits!$U$2:$U$75,0)),"")</f>
        <v/>
      </c>
      <c r="C64" s="32">
        <f>IFERROR(INDEX(Visits!$C$2:$C$75,MATCH(59,Visits!$U$2:$U$75,0)),"")</f>
        <v/>
      </c>
      <c r="D64" s="32">
        <f>IFERROR(INDEX(Visits!$D$2:$D$75,MATCH(59,Visits!$U$2:$U$75,0)),"")</f>
        <v/>
      </c>
      <c r="E64" s="33">
        <f>IFERROR(INDEX(Visits!$Q$2:$Q$75,MATCH(59,Visits!$U$2:$U$75,0)),"")</f>
        <v/>
      </c>
      <c r="F64" s="33">
        <f>IFERROR(INDEX(Visits!$R$2:$R$75,MATCH(59,Visits!$U$2:$U$75,0)),"")</f>
        <v/>
      </c>
      <c r="G64" s="33">
        <f>IFERROR(INDEX(Visits!$S$2:$S$75,MATCH(59,Visits!$U$2:$U$75,0)),"")</f>
        <v/>
      </c>
    </row>
    <row r="65">
      <c r="A65" s="34">
        <f>IFERROR(INDEX(Visits!$B$2:$B$75,MATCH(60,Visits!$U$2:$U$75,0)),"")</f>
        <v/>
      </c>
      <c r="B65" s="34">
        <f>IFERROR(INDEX(Visits!$A$2:$A$75,MATCH(60,Visits!$U$2:$U$75,0)),"")</f>
        <v/>
      </c>
      <c r="C65" s="34">
        <f>IFERROR(INDEX(Visits!$C$2:$C$75,MATCH(60,Visits!$U$2:$U$75,0)),"")</f>
        <v/>
      </c>
      <c r="D65" s="34">
        <f>IFERROR(INDEX(Visits!$D$2:$D$75,MATCH(60,Visits!$U$2:$U$75,0)),"")</f>
        <v/>
      </c>
      <c r="E65" s="35">
        <f>IFERROR(INDEX(Visits!$Q$2:$Q$75,MATCH(60,Visits!$U$2:$U$75,0)),"")</f>
        <v/>
      </c>
      <c r="F65" s="35">
        <f>IFERROR(INDEX(Visits!$R$2:$R$75,MATCH(60,Visits!$U$2:$U$75,0)),"")</f>
        <v/>
      </c>
      <c r="G65" s="35">
        <f>IFERROR(INDEX(Visits!$S$2:$S$75,MATCH(60,Visits!$U$2:$U$75,0)),"")</f>
        <v/>
      </c>
    </row>
    <row r="66">
      <c r="A66" s="32">
        <f>IFERROR(INDEX(Visits!$B$2:$B$75,MATCH(61,Visits!$U$2:$U$75,0)),"")</f>
        <v/>
      </c>
      <c r="B66" s="32">
        <f>IFERROR(INDEX(Visits!$A$2:$A$75,MATCH(61,Visits!$U$2:$U$75,0)),"")</f>
        <v/>
      </c>
      <c r="C66" s="32">
        <f>IFERROR(INDEX(Visits!$C$2:$C$75,MATCH(61,Visits!$U$2:$U$75,0)),"")</f>
        <v/>
      </c>
      <c r="D66" s="32">
        <f>IFERROR(INDEX(Visits!$D$2:$D$75,MATCH(61,Visits!$U$2:$U$75,0)),"")</f>
        <v/>
      </c>
      <c r="E66" s="33">
        <f>IFERROR(INDEX(Visits!$Q$2:$Q$75,MATCH(61,Visits!$U$2:$U$75,0)),"")</f>
        <v/>
      </c>
      <c r="F66" s="33">
        <f>IFERROR(INDEX(Visits!$R$2:$R$75,MATCH(61,Visits!$U$2:$U$75,0)),"")</f>
        <v/>
      </c>
      <c r="G66" s="33">
        <f>IFERROR(INDEX(Visits!$S$2:$S$75,MATCH(61,Visits!$U$2:$U$75,0)),"")</f>
        <v/>
      </c>
    </row>
    <row r="67">
      <c r="A67" s="34">
        <f>IFERROR(INDEX(Visits!$B$2:$B$75,MATCH(62,Visits!$U$2:$U$75,0)),"")</f>
        <v/>
      </c>
      <c r="B67" s="34">
        <f>IFERROR(INDEX(Visits!$A$2:$A$75,MATCH(62,Visits!$U$2:$U$75,0)),"")</f>
        <v/>
      </c>
      <c r="C67" s="34">
        <f>IFERROR(INDEX(Visits!$C$2:$C$75,MATCH(62,Visits!$U$2:$U$75,0)),"")</f>
        <v/>
      </c>
      <c r="D67" s="34">
        <f>IFERROR(INDEX(Visits!$D$2:$D$75,MATCH(62,Visits!$U$2:$U$75,0)),"")</f>
        <v/>
      </c>
      <c r="E67" s="35">
        <f>IFERROR(INDEX(Visits!$Q$2:$Q$75,MATCH(62,Visits!$U$2:$U$75,0)),"")</f>
        <v/>
      </c>
      <c r="F67" s="35">
        <f>IFERROR(INDEX(Visits!$R$2:$R$75,MATCH(62,Visits!$U$2:$U$75,0)),"")</f>
        <v/>
      </c>
      <c r="G67" s="35">
        <f>IFERROR(INDEX(Visits!$S$2:$S$75,MATCH(62,Visits!$U$2:$U$75,0)),"")</f>
        <v/>
      </c>
    </row>
    <row r="68">
      <c r="A68" s="32">
        <f>IFERROR(INDEX(Visits!$B$2:$B$75,MATCH(63,Visits!$U$2:$U$75,0)),"")</f>
        <v/>
      </c>
      <c r="B68" s="32">
        <f>IFERROR(INDEX(Visits!$A$2:$A$75,MATCH(63,Visits!$U$2:$U$75,0)),"")</f>
        <v/>
      </c>
      <c r="C68" s="32">
        <f>IFERROR(INDEX(Visits!$C$2:$C$75,MATCH(63,Visits!$U$2:$U$75,0)),"")</f>
        <v/>
      </c>
      <c r="D68" s="32">
        <f>IFERROR(INDEX(Visits!$D$2:$D$75,MATCH(63,Visits!$U$2:$U$75,0)),"")</f>
        <v/>
      </c>
      <c r="E68" s="33">
        <f>IFERROR(INDEX(Visits!$Q$2:$Q$75,MATCH(63,Visits!$U$2:$U$75,0)),"")</f>
        <v/>
      </c>
      <c r="F68" s="33">
        <f>IFERROR(INDEX(Visits!$R$2:$R$75,MATCH(63,Visits!$U$2:$U$75,0)),"")</f>
        <v/>
      </c>
      <c r="G68" s="33">
        <f>IFERROR(INDEX(Visits!$S$2:$S$75,MATCH(63,Visits!$U$2:$U$75,0)),"")</f>
        <v/>
      </c>
    </row>
    <row r="69">
      <c r="A69" s="34">
        <f>IFERROR(INDEX(Visits!$B$2:$B$75,MATCH(64,Visits!$U$2:$U$75,0)),"")</f>
        <v/>
      </c>
      <c r="B69" s="34">
        <f>IFERROR(INDEX(Visits!$A$2:$A$75,MATCH(64,Visits!$U$2:$U$75,0)),"")</f>
        <v/>
      </c>
      <c r="C69" s="34">
        <f>IFERROR(INDEX(Visits!$C$2:$C$75,MATCH(64,Visits!$U$2:$U$75,0)),"")</f>
        <v/>
      </c>
      <c r="D69" s="34">
        <f>IFERROR(INDEX(Visits!$D$2:$D$75,MATCH(64,Visits!$U$2:$U$75,0)),"")</f>
        <v/>
      </c>
      <c r="E69" s="35">
        <f>IFERROR(INDEX(Visits!$Q$2:$Q$75,MATCH(64,Visits!$U$2:$U$75,0)),"")</f>
        <v/>
      </c>
      <c r="F69" s="35">
        <f>IFERROR(INDEX(Visits!$R$2:$R$75,MATCH(64,Visits!$U$2:$U$75,0)),"")</f>
        <v/>
      </c>
      <c r="G69" s="35">
        <f>IFERROR(INDEX(Visits!$S$2:$S$75,MATCH(64,Visits!$U$2:$U$75,0)),"")</f>
        <v/>
      </c>
    </row>
    <row r="70">
      <c r="A70" s="32">
        <f>IFERROR(INDEX(Visits!$B$2:$B$75,MATCH(65,Visits!$U$2:$U$75,0)),"")</f>
        <v/>
      </c>
      <c r="B70" s="32">
        <f>IFERROR(INDEX(Visits!$A$2:$A$75,MATCH(65,Visits!$U$2:$U$75,0)),"")</f>
        <v/>
      </c>
      <c r="C70" s="32">
        <f>IFERROR(INDEX(Visits!$C$2:$C$75,MATCH(65,Visits!$U$2:$U$75,0)),"")</f>
        <v/>
      </c>
      <c r="D70" s="32">
        <f>IFERROR(INDEX(Visits!$D$2:$D$75,MATCH(65,Visits!$U$2:$U$75,0)),"")</f>
        <v/>
      </c>
      <c r="E70" s="33">
        <f>IFERROR(INDEX(Visits!$Q$2:$Q$75,MATCH(65,Visits!$U$2:$U$75,0)),"")</f>
        <v/>
      </c>
      <c r="F70" s="33">
        <f>IFERROR(INDEX(Visits!$R$2:$R$75,MATCH(65,Visits!$U$2:$U$75,0)),"")</f>
        <v/>
      </c>
      <c r="G70" s="33">
        <f>IFERROR(INDEX(Visits!$S$2:$S$75,MATCH(65,Visits!$U$2:$U$75,0)),"")</f>
        <v/>
      </c>
    </row>
    <row r="71">
      <c r="A71" s="34">
        <f>IFERROR(INDEX(Visits!$B$2:$B$75,MATCH(66,Visits!$U$2:$U$75,0)),"")</f>
        <v/>
      </c>
      <c r="B71" s="34">
        <f>IFERROR(INDEX(Visits!$A$2:$A$75,MATCH(66,Visits!$U$2:$U$75,0)),"")</f>
        <v/>
      </c>
      <c r="C71" s="34">
        <f>IFERROR(INDEX(Visits!$C$2:$C$75,MATCH(66,Visits!$U$2:$U$75,0)),"")</f>
        <v/>
      </c>
      <c r="D71" s="34">
        <f>IFERROR(INDEX(Visits!$D$2:$D$75,MATCH(66,Visits!$U$2:$U$75,0)),"")</f>
        <v/>
      </c>
      <c r="E71" s="35">
        <f>IFERROR(INDEX(Visits!$Q$2:$Q$75,MATCH(66,Visits!$U$2:$U$75,0)),"")</f>
        <v/>
      </c>
      <c r="F71" s="35">
        <f>IFERROR(INDEX(Visits!$R$2:$R$75,MATCH(66,Visits!$U$2:$U$75,0)),"")</f>
        <v/>
      </c>
      <c r="G71" s="35">
        <f>IFERROR(INDEX(Visits!$S$2:$S$75,MATCH(66,Visits!$U$2:$U$75,0)),"")</f>
        <v/>
      </c>
    </row>
    <row r="72">
      <c r="A72" s="32">
        <f>IFERROR(INDEX(Visits!$B$2:$B$75,MATCH(67,Visits!$U$2:$U$75,0)),"")</f>
        <v/>
      </c>
      <c r="B72" s="32">
        <f>IFERROR(INDEX(Visits!$A$2:$A$75,MATCH(67,Visits!$U$2:$U$75,0)),"")</f>
        <v/>
      </c>
      <c r="C72" s="32">
        <f>IFERROR(INDEX(Visits!$C$2:$C$75,MATCH(67,Visits!$U$2:$U$75,0)),"")</f>
        <v/>
      </c>
      <c r="D72" s="32">
        <f>IFERROR(INDEX(Visits!$D$2:$D$75,MATCH(67,Visits!$U$2:$U$75,0)),"")</f>
        <v/>
      </c>
      <c r="E72" s="33">
        <f>IFERROR(INDEX(Visits!$Q$2:$Q$75,MATCH(67,Visits!$U$2:$U$75,0)),"")</f>
        <v/>
      </c>
      <c r="F72" s="33">
        <f>IFERROR(INDEX(Visits!$R$2:$R$75,MATCH(67,Visits!$U$2:$U$75,0)),"")</f>
        <v/>
      </c>
      <c r="G72" s="33">
        <f>IFERROR(INDEX(Visits!$S$2:$S$75,MATCH(67,Visits!$U$2:$U$75,0)),"")</f>
        <v/>
      </c>
    </row>
    <row r="73">
      <c r="A73" s="34">
        <f>IFERROR(INDEX(Visits!$B$2:$B$75,MATCH(68,Visits!$U$2:$U$75,0)),"")</f>
        <v/>
      </c>
      <c r="B73" s="34">
        <f>IFERROR(INDEX(Visits!$A$2:$A$75,MATCH(68,Visits!$U$2:$U$75,0)),"")</f>
        <v/>
      </c>
      <c r="C73" s="34">
        <f>IFERROR(INDEX(Visits!$C$2:$C$75,MATCH(68,Visits!$U$2:$U$75,0)),"")</f>
        <v/>
      </c>
      <c r="D73" s="34">
        <f>IFERROR(INDEX(Visits!$D$2:$D$75,MATCH(68,Visits!$U$2:$U$75,0)),"")</f>
        <v/>
      </c>
      <c r="E73" s="35">
        <f>IFERROR(INDEX(Visits!$Q$2:$Q$75,MATCH(68,Visits!$U$2:$U$75,0)),"")</f>
        <v/>
      </c>
      <c r="F73" s="35">
        <f>IFERROR(INDEX(Visits!$R$2:$R$75,MATCH(68,Visits!$U$2:$U$75,0)),"")</f>
        <v/>
      </c>
      <c r="G73" s="35">
        <f>IFERROR(INDEX(Visits!$S$2:$S$75,MATCH(68,Visits!$U$2:$U$75,0)),"")</f>
        <v/>
      </c>
    </row>
    <row r="74">
      <c r="A74" s="32">
        <f>IFERROR(INDEX(Visits!$B$2:$B$75,MATCH(69,Visits!$U$2:$U$75,0)),"")</f>
        <v/>
      </c>
      <c r="B74" s="32">
        <f>IFERROR(INDEX(Visits!$A$2:$A$75,MATCH(69,Visits!$U$2:$U$75,0)),"")</f>
        <v/>
      </c>
      <c r="C74" s="32">
        <f>IFERROR(INDEX(Visits!$C$2:$C$75,MATCH(69,Visits!$U$2:$U$75,0)),"")</f>
        <v/>
      </c>
      <c r="D74" s="32">
        <f>IFERROR(INDEX(Visits!$D$2:$D$75,MATCH(69,Visits!$U$2:$U$75,0)),"")</f>
        <v/>
      </c>
      <c r="E74" s="33">
        <f>IFERROR(INDEX(Visits!$Q$2:$Q$75,MATCH(69,Visits!$U$2:$U$75,0)),"")</f>
        <v/>
      </c>
      <c r="F74" s="33">
        <f>IFERROR(INDEX(Visits!$R$2:$R$75,MATCH(69,Visits!$U$2:$U$75,0)),"")</f>
        <v/>
      </c>
      <c r="G74" s="33">
        <f>IFERROR(INDEX(Visits!$S$2:$S$75,MATCH(69,Visits!$U$2:$U$75,0)),"")</f>
        <v/>
      </c>
    </row>
    <row r="75">
      <c r="A75" s="34">
        <f>IFERROR(INDEX(Visits!$B$2:$B$75,MATCH(70,Visits!$U$2:$U$75,0)),"")</f>
        <v/>
      </c>
      <c r="B75" s="34">
        <f>IFERROR(INDEX(Visits!$A$2:$A$75,MATCH(70,Visits!$U$2:$U$75,0)),"")</f>
        <v/>
      </c>
      <c r="C75" s="34">
        <f>IFERROR(INDEX(Visits!$C$2:$C$75,MATCH(70,Visits!$U$2:$U$75,0)),"")</f>
        <v/>
      </c>
      <c r="D75" s="34">
        <f>IFERROR(INDEX(Visits!$D$2:$D$75,MATCH(70,Visits!$U$2:$U$75,0)),"")</f>
        <v/>
      </c>
      <c r="E75" s="35">
        <f>IFERROR(INDEX(Visits!$Q$2:$Q$75,MATCH(70,Visits!$U$2:$U$75,0)),"")</f>
        <v/>
      </c>
      <c r="F75" s="35">
        <f>IFERROR(INDEX(Visits!$R$2:$R$75,MATCH(70,Visits!$U$2:$U$75,0)),"")</f>
        <v/>
      </c>
      <c r="G75" s="35">
        <f>IFERROR(INDEX(Visits!$S$2:$S$75,MATCH(70,Visits!$U$2:$U$75,0)),"")</f>
        <v/>
      </c>
    </row>
    <row r="76">
      <c r="A76" s="32">
        <f>IFERROR(INDEX(Visits!$B$2:$B$75,MATCH(71,Visits!$U$2:$U$75,0)),"")</f>
        <v/>
      </c>
      <c r="B76" s="32">
        <f>IFERROR(INDEX(Visits!$A$2:$A$75,MATCH(71,Visits!$U$2:$U$75,0)),"")</f>
        <v/>
      </c>
      <c r="C76" s="32">
        <f>IFERROR(INDEX(Visits!$C$2:$C$75,MATCH(71,Visits!$U$2:$U$75,0)),"")</f>
        <v/>
      </c>
      <c r="D76" s="32">
        <f>IFERROR(INDEX(Visits!$D$2:$D$75,MATCH(71,Visits!$U$2:$U$75,0)),"")</f>
        <v/>
      </c>
      <c r="E76" s="33">
        <f>IFERROR(INDEX(Visits!$Q$2:$Q$75,MATCH(71,Visits!$U$2:$U$75,0)),"")</f>
        <v/>
      </c>
      <c r="F76" s="33">
        <f>IFERROR(INDEX(Visits!$R$2:$R$75,MATCH(71,Visits!$U$2:$U$75,0)),"")</f>
        <v/>
      </c>
      <c r="G76" s="33">
        <f>IFERROR(INDEX(Visits!$S$2:$S$75,MATCH(71,Visits!$U$2:$U$75,0)),"")</f>
        <v/>
      </c>
    </row>
    <row r="77">
      <c r="A77" s="34">
        <f>IFERROR(INDEX(Visits!$B$2:$B$75,MATCH(72,Visits!$U$2:$U$75,0)),"")</f>
        <v/>
      </c>
      <c r="B77" s="34">
        <f>IFERROR(INDEX(Visits!$A$2:$A$75,MATCH(72,Visits!$U$2:$U$75,0)),"")</f>
        <v/>
      </c>
      <c r="C77" s="34">
        <f>IFERROR(INDEX(Visits!$C$2:$C$75,MATCH(72,Visits!$U$2:$U$75,0)),"")</f>
        <v/>
      </c>
      <c r="D77" s="34">
        <f>IFERROR(INDEX(Visits!$D$2:$D$75,MATCH(72,Visits!$U$2:$U$75,0)),"")</f>
        <v/>
      </c>
      <c r="E77" s="35">
        <f>IFERROR(INDEX(Visits!$Q$2:$Q$75,MATCH(72,Visits!$U$2:$U$75,0)),"")</f>
        <v/>
      </c>
      <c r="F77" s="35">
        <f>IFERROR(INDEX(Visits!$R$2:$R$75,MATCH(72,Visits!$U$2:$U$75,0)),"")</f>
        <v/>
      </c>
      <c r="G77" s="35">
        <f>IFERROR(INDEX(Visits!$S$2:$S$75,MATCH(72,Visits!$U$2:$U$75,0)),"")</f>
        <v/>
      </c>
    </row>
    <row r="78">
      <c r="A78" s="32">
        <f>IFERROR(INDEX(Visits!$B$2:$B$75,MATCH(73,Visits!$U$2:$U$75,0)),"")</f>
        <v/>
      </c>
      <c r="B78" s="32">
        <f>IFERROR(INDEX(Visits!$A$2:$A$75,MATCH(73,Visits!$U$2:$U$75,0)),"")</f>
        <v/>
      </c>
      <c r="C78" s="32">
        <f>IFERROR(INDEX(Visits!$C$2:$C$75,MATCH(73,Visits!$U$2:$U$75,0)),"")</f>
        <v/>
      </c>
      <c r="D78" s="32">
        <f>IFERROR(INDEX(Visits!$D$2:$D$75,MATCH(73,Visits!$U$2:$U$75,0)),"")</f>
        <v/>
      </c>
      <c r="E78" s="33">
        <f>IFERROR(INDEX(Visits!$Q$2:$Q$75,MATCH(73,Visits!$U$2:$U$75,0)),"")</f>
        <v/>
      </c>
      <c r="F78" s="33">
        <f>IFERROR(INDEX(Visits!$R$2:$R$75,MATCH(73,Visits!$U$2:$U$75,0)),"")</f>
        <v/>
      </c>
      <c r="G78" s="33">
        <f>IFERROR(INDEX(Visits!$S$2:$S$75,MATCH(73,Visits!$U$2:$U$75,0)),"")</f>
        <v/>
      </c>
    </row>
    <row r="79">
      <c r="A79" s="34">
        <f>IFERROR(INDEX(Visits!$B$2:$B$75,MATCH(74,Visits!$U$2:$U$75,0)),"")</f>
        <v/>
      </c>
      <c r="B79" s="34">
        <f>IFERROR(INDEX(Visits!$A$2:$A$75,MATCH(74,Visits!$U$2:$U$75,0)),"")</f>
        <v/>
      </c>
      <c r="C79" s="34">
        <f>IFERROR(INDEX(Visits!$C$2:$C$75,MATCH(74,Visits!$U$2:$U$75,0)),"")</f>
        <v/>
      </c>
      <c r="D79" s="34">
        <f>IFERROR(INDEX(Visits!$D$2:$D$75,MATCH(74,Visits!$U$2:$U$75,0)),"")</f>
        <v/>
      </c>
      <c r="E79" s="35">
        <f>IFERROR(INDEX(Visits!$Q$2:$Q$75,MATCH(74,Visits!$U$2:$U$75,0)),"")</f>
        <v/>
      </c>
      <c r="F79" s="35">
        <f>IFERROR(INDEX(Visits!$R$2:$R$75,MATCH(74,Visits!$U$2:$U$75,0)),"")</f>
        <v/>
      </c>
      <c r="G79" s="35">
        <f>IFERROR(INDEX(Visits!$S$2:$S$75,MATCH(74,Visits!$U$2:$U$75,0)),"")</f>
        <v/>
      </c>
    </row>
  </sheetData>
  <mergeCells count="2">
    <mergeCell ref="A3:F3"/>
    <mergeCell ref="A1: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5"/>
  <sheetViews>
    <sheetView workbookViewId="0">
      <selection activeCell="A1" sqref="A1"/>
    </sheetView>
  </sheetViews>
  <sheetFormatPr baseColWidth="8" defaultRowHeight="15"/>
  <cols>
    <col width="20" customWidth="1" min="1" max="1"/>
    <col width="22" customWidth="1" min="2" max="2"/>
    <col width="20" customWidth="1" min="3" max="3"/>
    <col width="12"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40" customWidth="1" min="17" max="17"/>
    <col width="40" customWidth="1" min="18" max="18"/>
    <col width="40" customWidth="1" min="19" max="19"/>
    <col width="10" customWidth="1" min="20" max="20"/>
    <col width="10" customWidth="1" min="21" max="21"/>
  </cols>
  <sheetData>
    <row r="1">
      <c r="A1" s="36" t="inlineStr">
        <is>
          <t>Manager</t>
        </is>
      </c>
      <c r="B1" s="36" t="inlineStr">
        <is>
          <t>Centre</t>
        </is>
      </c>
      <c r="C1" s="36" t="inlineStr">
        <is>
          <t>Program</t>
        </is>
      </c>
      <c r="D1" s="36" t="inlineStr">
        <is>
          <t>Date</t>
        </is>
      </c>
      <c r="E1" s="36" t="inlineStr">
        <is>
          <t>DataCheck_AW</t>
        </is>
      </c>
      <c r="F1" s="36" t="inlineStr">
        <is>
          <t>DataCheck_NI</t>
        </is>
      </c>
      <c r="G1" s="36" t="inlineStr">
        <is>
          <t>DataCheck_NA</t>
        </is>
      </c>
      <c r="H1" s="36" t="inlineStr">
        <is>
          <t>InfraCheck_AW</t>
        </is>
      </c>
      <c r="I1" s="36" t="inlineStr">
        <is>
          <t>InfraCheck_NI</t>
        </is>
      </c>
      <c r="J1" s="36" t="inlineStr">
        <is>
          <t>InfraCheck_NA</t>
        </is>
      </c>
      <c r="K1" s="36" t="inlineStr">
        <is>
          <t>ProcessCheck_AW</t>
        </is>
      </c>
      <c r="L1" s="36" t="inlineStr">
        <is>
          <t>ProcessCheck_NI</t>
        </is>
      </c>
      <c r="M1" s="36" t="inlineStr">
        <is>
          <t>ProcessCheck_NA</t>
        </is>
      </c>
      <c r="N1" s="36" t="inlineStr">
        <is>
          <t>AspirantInt_AW</t>
        </is>
      </c>
      <c r="O1" s="36" t="inlineStr">
        <is>
          <t>AspirantInt_NI</t>
        </is>
      </c>
      <c r="P1" s="36" t="inlineStr">
        <is>
          <t>AspirantInt_NA</t>
        </is>
      </c>
      <c r="Q1" s="36" t="inlineStr">
        <is>
          <t>Q_Bottleneck</t>
        </is>
      </c>
      <c r="R1" s="36" t="inlineStr">
        <is>
          <t>Q_PlacementAction</t>
        </is>
      </c>
      <c r="S1" s="36" t="inlineStr">
        <is>
          <t>Q_BatchOnTimeAction</t>
        </is>
      </c>
      <c r="T1" s="36" t="inlineStr">
        <is>
          <t>MatchFlag</t>
        </is>
      </c>
      <c r="U1" s="36" t="inlineStr">
        <is>
          <t>MatchRank</t>
        </is>
      </c>
    </row>
    <row r="2">
      <c r="A2" s="37" t="inlineStr">
        <is>
          <t>Phani</t>
        </is>
      </c>
      <c r="B2" s="37" t="inlineStr">
        <is>
          <t>Vijayanagaram</t>
        </is>
      </c>
      <c r="C2" s="37" t="inlineStr">
        <is>
          <t>Grow Youth</t>
        </is>
      </c>
      <c r="D2" s="37" t="inlineStr">
        <is>
          <t>2026-07-02</t>
        </is>
      </c>
      <c r="E2" s="37" t="n">
        <v>7</v>
      </c>
      <c r="F2" s="37" t="n">
        <v>0</v>
      </c>
      <c r="G2" s="37" t="n">
        <v>1</v>
      </c>
      <c r="H2" s="37" t="n">
        <v>4</v>
      </c>
      <c r="I2" s="37" t="n">
        <v>3</v>
      </c>
      <c r="J2" s="37" t="n">
        <v>1</v>
      </c>
      <c r="K2" s="37" t="n">
        <v>11</v>
      </c>
      <c r="L2" s="37" t="n">
        <v>4</v>
      </c>
      <c r="M2" s="37" t="n">
        <v>7</v>
      </c>
      <c r="N2" s="37" t="n">
        <v>10</v>
      </c>
      <c r="O2" s="37" t="n">
        <v>0</v>
      </c>
      <c r="P2" s="37" t="n">
        <v>1</v>
      </c>
      <c r="Q2" s="37" t="inlineStr">
        <is>
          <t>Sent old laptops to HO, and arranged repairing of counseling room chairs.</t>
        </is>
      </c>
      <c r="R2" s="37" t="inlineStr">
        <is>
          <t>I will share employer leads of Vizag</t>
        </is>
      </c>
      <c r="S2" s="37" t="inlineStr">
        <is>
          <t>I have provided SIP team support and 18 students enrolled in present batch</t>
        </is>
      </c>
      <c r="T2" s="37">
        <f>IF(AND(OR(Dashboard!$B$5="All Managers",A2=Dashboard!$B$5),OR(Dashboard!$E$5="All Centres",B2=Dashboard!$E$5)),1,0)</f>
        <v/>
      </c>
      <c r="U2" s="37">
        <f>IF(T2=1,COUNTIF($T$2:T2,1),"")</f>
        <v/>
      </c>
    </row>
    <row r="3">
      <c r="A3" s="37" t="inlineStr">
        <is>
          <t>S Jakir</t>
        </is>
      </c>
      <c r="B3" s="37" t="inlineStr">
        <is>
          <t>Bommanahalli</t>
        </is>
      </c>
      <c r="C3" s="37" t="inlineStr">
        <is>
          <t xml:space="preserve">GROW Youth </t>
        </is>
      </c>
      <c r="D3" s="37" t="inlineStr">
        <is>
          <t>2026-07-02</t>
        </is>
      </c>
      <c r="E3" s="37" t="n">
        <v>6</v>
      </c>
      <c r="F3" s="37" t="n">
        <v>2</v>
      </c>
      <c r="G3" s="37" t="n">
        <v>0</v>
      </c>
      <c r="H3" s="37" t="n">
        <v>4</v>
      </c>
      <c r="I3" s="37" t="n">
        <v>2</v>
      </c>
      <c r="J3" s="37" t="n">
        <v>2</v>
      </c>
      <c r="K3" s="37" t="n">
        <v>14</v>
      </c>
      <c r="L3" s="37" t="n">
        <v>3</v>
      </c>
      <c r="M3" s="37" t="n">
        <v>5</v>
      </c>
      <c r="N3" s="37" t="n">
        <v>9</v>
      </c>
      <c r="O3" s="37" t="n">
        <v>0</v>
      </c>
      <c r="P3" s="37" t="n">
        <v>2</v>
      </c>
      <c r="Q3" s="37" t="inlineStr">
        <is>
          <t>Conducted a focused discussion with the new trainer, Mrs. Harshadha, to understand her experience in handling the first batch and the reasons for the lower skill shift outcomes. Also reviewed her approach to managing the current batch. Provided guidance on key processes to be followed, shared relevant insights and best practices, and encouraged her by appreciating her efforts and the good work she has been doing.</t>
        </is>
      </c>
      <c r="R3" s="37" t="inlineStr">
        <is>
          <t>Aspirant mapping with quality employers and exclusive job drives with reputed employers have been missing over the last three months. I need to reinforce these activities and ensure their consistent implementation going forward.</t>
        </is>
      </c>
      <c r="S3" s="37" t="inlineStr">
        <is>
          <t xml:space="preserve">Referrals need to improve . Need to discuss with Trainers and guide them </t>
        </is>
      </c>
      <c r="T3" s="37">
        <f>IF(AND(OR(Dashboard!$B$5="All Managers",A3=Dashboard!$B$5),OR(Dashboard!$E$5="All Centres",B3=Dashboard!$E$5)),1,0)</f>
        <v/>
      </c>
      <c r="U3" s="37">
        <f>IF(T3=1,COUNTIF($T$2:T3,1),"")</f>
        <v/>
      </c>
    </row>
    <row r="4">
      <c r="A4" s="37" t="inlineStr">
        <is>
          <t>S Jakir</t>
        </is>
      </c>
      <c r="B4" s="37" t="inlineStr">
        <is>
          <t xml:space="preserve">Hoskote </t>
        </is>
      </c>
      <c r="C4" s="37" t="inlineStr">
        <is>
          <t>HQHCS</t>
        </is>
      </c>
      <c r="D4" s="37" t="inlineStr">
        <is>
          <t>2026-07-03</t>
        </is>
      </c>
      <c r="E4" s="37" t="n">
        <v>8</v>
      </c>
      <c r="F4" s="37" t="n">
        <v>0</v>
      </c>
      <c r="G4" s="37" t="n">
        <v>0</v>
      </c>
      <c r="H4" s="37" t="n">
        <v>6</v>
      </c>
      <c r="I4" s="37" t="n">
        <v>2</v>
      </c>
      <c r="J4" s="37" t="n">
        <v>0</v>
      </c>
      <c r="K4" s="37" t="n">
        <v>17</v>
      </c>
      <c r="L4" s="37" t="n">
        <v>2</v>
      </c>
      <c r="M4" s="37" t="n">
        <v>3</v>
      </c>
      <c r="N4" s="37" t="n">
        <v>10</v>
      </c>
      <c r="O4" s="37" t="n">
        <v>0</v>
      </c>
      <c r="P4" s="37" t="n">
        <v>1</v>
      </c>
      <c r="Q4" s="37" t="inlineStr">
        <is>
          <t>Visited the PG facility, had lunch, and held a discussion with the PG management team. They were instructed to ensure the provision of quality food and to maintain better cleanliness standards within the premises.</t>
        </is>
      </c>
      <c r="R4" s="37" t="inlineStr">
        <is>
          <t xml:space="preserve">Need to share employer new employer leads </t>
        </is>
      </c>
      <c r="S4" s="37" t="inlineStr">
        <is>
          <t>CA hiring has to close ( interview forms shared for approval ) &amp; complete CA induction training soon after the onboarding .</t>
        </is>
      </c>
      <c r="T4" s="37">
        <f>IF(AND(OR(Dashboard!$B$5="All Managers",A4=Dashboard!$B$5),OR(Dashboard!$E$5="All Centres",B4=Dashboard!$E$5)),1,0)</f>
        <v/>
      </c>
      <c r="U4" s="37">
        <f>IF(T4=1,COUNTIF($T$2:T4,1),"")</f>
        <v/>
      </c>
    </row>
    <row r="5">
      <c r="A5" s="37" t="inlineStr">
        <is>
          <t>Raghavender Rao</t>
        </is>
      </c>
      <c r="B5" s="37" t="inlineStr">
        <is>
          <t>Karimnagar</t>
        </is>
      </c>
      <c r="C5" s="37" t="inlineStr">
        <is>
          <t>Grow-Green-Solar</t>
        </is>
      </c>
      <c r="D5" s="37" t="inlineStr">
        <is>
          <t>2026-07-01</t>
        </is>
      </c>
      <c r="E5" s="37" t="n">
        <v>8</v>
      </c>
      <c r="F5" s="37" t="n">
        <v>0</v>
      </c>
      <c r="G5" s="37" t="n">
        <v>0</v>
      </c>
      <c r="H5" s="37" t="n">
        <v>5</v>
      </c>
      <c r="I5" s="37" t="n">
        <v>3</v>
      </c>
      <c r="J5" s="37" t="n">
        <v>0</v>
      </c>
      <c r="K5" s="37" t="n">
        <v>20</v>
      </c>
      <c r="L5" s="37" t="n">
        <v>0</v>
      </c>
      <c r="M5" s="37" t="n">
        <v>2</v>
      </c>
      <c r="N5" s="37" t="n">
        <v>11</v>
      </c>
      <c r="O5" s="37" t="n">
        <v>0</v>
      </c>
      <c r="P5" s="37" t="n">
        <v>0</v>
      </c>
      <c r="Q5" s="37" t="inlineStr">
        <is>
          <t>The early placement details are pending and require immediate approval. During the visit, I verified all aspirants through video calls and obtained approval from the COO. A total of 17 aspirants have been verified and approved.</t>
        </is>
      </c>
      <c r="R5" s="37" t="inlineStr">
        <is>
          <t>The center is following a well-structured placement plan after the training and assessment process. With my continuous support, the team has successfully placed aspirants in the solar industry, ensuring better employment opportunities and placement outcomes.</t>
        </is>
      </c>
      <c r="S5" s="37" t="inlineStr">
        <is>
          <t>I had already suggested that the target group should be ITI and Diploma colleges. The team is maintaining a proper database of eligible aspirants, which will help ensure timely mobilization and enable us to commence each batch as planned.</t>
        </is>
      </c>
      <c r="T5" s="37">
        <f>IF(AND(OR(Dashboard!$B$5="All Managers",A5=Dashboard!$B$5),OR(Dashboard!$E$5="All Centres",B5=Dashboard!$E$5)),1,0)</f>
        <v/>
      </c>
      <c r="U5" s="37">
        <f>IF(T5=1,COUNTIF($T$2:T5,1),"")</f>
        <v/>
      </c>
    </row>
    <row r="6">
      <c r="A6" s="37" t="inlineStr">
        <is>
          <t>Amit Chakraborty</t>
        </is>
      </c>
      <c r="B6" s="37" t="inlineStr">
        <is>
          <t>Barasat</t>
        </is>
      </c>
      <c r="C6" s="37" t="inlineStr">
        <is>
          <t>GROW Youth-JPM</t>
        </is>
      </c>
      <c r="D6" s="37" t="inlineStr">
        <is>
          <t>2026-07-06</t>
        </is>
      </c>
      <c r="E6" s="37" t="n">
        <v>6</v>
      </c>
      <c r="F6" s="37" t="n">
        <v>1</v>
      </c>
      <c r="G6" s="37" t="n">
        <v>1</v>
      </c>
      <c r="H6" s="37" t="n">
        <v>5</v>
      </c>
      <c r="I6" s="37" t="n">
        <v>2</v>
      </c>
      <c r="J6" s="37" t="n">
        <v>1</v>
      </c>
      <c r="K6" s="37" t="n">
        <v>12</v>
      </c>
      <c r="L6" s="37" t="n">
        <v>5</v>
      </c>
      <c r="M6" s="37" t="n">
        <v>5</v>
      </c>
      <c r="N6" s="37" t="n">
        <v>9</v>
      </c>
      <c r="O6" s="37" t="n">
        <v>0</v>
      </c>
      <c r="P6" s="37" t="n">
        <v>2</v>
      </c>
      <c r="Q6" s="37" t="inlineStr">
        <is>
          <t>During the visit, I identified and highlighted a few operational areas that were being overlooked in day-to-day activities. The discussion focused on establishing a more organized approach/tracker to monitor these activities through simple tracking regular reviews. Most operational processes at the center are functioning well</t>
        </is>
      </c>
      <c r="R6" s="37" t="inlineStr">
        <is>
          <t>All is Well</t>
        </is>
      </c>
      <c r="S6" s="37" t="inlineStr">
        <is>
          <t>Batch size is the struggle I reviewed the planned batch start date as of now and will keep tracking mobilization pipeline, counselling status and expected joining numbers every week so that I can identify risks at least 1 weeks before the batch start and create an action plan to ensure maintaining expected batch size</t>
        </is>
      </c>
      <c r="T6" s="37">
        <f>IF(AND(OR(Dashboard!$B$5="All Managers",A6=Dashboard!$B$5),OR(Dashboard!$E$5="All Centres",B6=Dashboard!$E$5)),1,0)</f>
        <v/>
      </c>
      <c r="U6" s="37">
        <f>IF(T6=1,COUNTIF($T$2:T6,1),"")</f>
        <v/>
      </c>
    </row>
    <row r="7">
      <c r="A7" s="37" t="inlineStr">
        <is>
          <t>Bhargav Challa</t>
        </is>
      </c>
      <c r="B7" s="37" t="inlineStr">
        <is>
          <t>Warangal</t>
        </is>
      </c>
      <c r="C7" s="37" t="inlineStr">
        <is>
          <t>Grow Youth</t>
        </is>
      </c>
      <c r="D7" s="37" t="inlineStr">
        <is>
          <t>2026-07-07</t>
        </is>
      </c>
      <c r="E7" s="37" t="n">
        <v>5</v>
      </c>
      <c r="F7" s="37" t="n">
        <v>2</v>
      </c>
      <c r="G7" s="37" t="n">
        <v>1</v>
      </c>
      <c r="H7" s="37" t="n">
        <v>6</v>
      </c>
      <c r="I7" s="37" t="n">
        <v>1</v>
      </c>
      <c r="J7" s="37" t="n">
        <v>1</v>
      </c>
      <c r="K7" s="37" t="n">
        <v>6</v>
      </c>
      <c r="L7" s="37" t="n">
        <v>6</v>
      </c>
      <c r="M7" s="37" t="n">
        <v>10</v>
      </c>
      <c r="N7" s="37" t="n">
        <v>9</v>
      </c>
      <c r="O7" s="37" t="n">
        <v>0</v>
      </c>
      <c r="P7" s="37" t="n">
        <v>2</v>
      </c>
      <c r="Q7" s="37" t="n">
        <v/>
      </c>
      <c r="R7" s="37" t="inlineStr">
        <is>
          <t>Connect the centre team with employers and arrange for interviews to make placemnets for batch 14 and remaining students from batch -13</t>
        </is>
      </c>
      <c r="S7" s="37" t="inlineStr">
        <is>
          <t xml:space="preserve"> Have identified and allocated a Tele Caller for next 10 days to do telecalling form the data generated through lokal app and other sources for thestart of Batch-16 at Warangal by 20th July</t>
        </is>
      </c>
      <c r="T7" s="37">
        <f>IF(AND(OR(Dashboard!$B$5="All Managers",A7=Dashboard!$B$5),OR(Dashboard!$E$5="All Centres",B7=Dashboard!$E$5)),1,0)</f>
        <v/>
      </c>
      <c r="U7" s="37">
        <f>IF(T7=1,COUNTIF($T$2:T7,1),"")</f>
        <v/>
      </c>
    </row>
    <row r="8">
      <c r="A8" s="37" t="inlineStr">
        <is>
          <t>Raghavender Rao</t>
        </is>
      </c>
      <c r="B8" s="37" t="inlineStr">
        <is>
          <t>CFRSI-Chandanagar</t>
        </is>
      </c>
      <c r="C8" s="37" t="inlineStr">
        <is>
          <t>CFRSI-Innocation</t>
        </is>
      </c>
      <c r="D8" s="37" t="inlineStr">
        <is>
          <t>2026-07-07</t>
        </is>
      </c>
      <c r="E8" s="37" t="n">
        <v>7</v>
      </c>
      <c r="F8" s="37" t="n">
        <v>0</v>
      </c>
      <c r="G8" s="37" t="n">
        <v>1</v>
      </c>
      <c r="H8" s="37" t="n">
        <v>7</v>
      </c>
      <c r="I8" s="37" t="n">
        <v>0</v>
      </c>
      <c r="J8" s="37" t="n">
        <v>1</v>
      </c>
      <c r="K8" s="37" t="n">
        <v>12</v>
      </c>
      <c r="L8" s="37" t="n">
        <v>7</v>
      </c>
      <c r="M8" s="37" t="n">
        <v>3</v>
      </c>
      <c r="N8" s="37" t="n">
        <v>11</v>
      </c>
      <c r="O8" s="37" t="n">
        <v>0</v>
      </c>
      <c r="P8" s="37" t="n">
        <v>0</v>
      </c>
      <c r="Q8" s="37" t="inlineStr">
        <is>
          <t>we have prepared a structured outreach plan. Based on this plan, we are targeting the inception of the Pharma 3rd Batch. Additionally, the team will place greater emphasis on increasing the Digital batch inception count through focused outreach, mobilization, and candidate conversions to achieve the planned enrollment targets.</t>
        </is>
      </c>
      <c r="R8" s="37" t="inlineStr">
        <is>
          <t>Based on my network, I have shared potential employer leads, coordinated with institutions to conduct campus drives, and forwarded the employer details to the AH team for further follow-up and execution.</t>
        </is>
      </c>
      <c r="S8" s="37" t="inlineStr">
        <is>
          <t>Special focus was given to the Pharma batch. They required a database of Telangana college principals, including contact details of principals from private colleges. I have shared the required database with the team to support their outreach and mobilization efforts.</t>
        </is>
      </c>
      <c r="T8" s="37">
        <f>IF(AND(OR(Dashboard!$B$5="All Managers",A8=Dashboard!$B$5),OR(Dashboard!$E$5="All Centres",B8=Dashboard!$E$5)),1,0)</f>
        <v/>
      </c>
      <c r="U8" s="37">
        <f>IF(T8=1,COUNTIF($T$2:T8,1),"")</f>
        <v/>
      </c>
    </row>
    <row r="9">
      <c r="A9" s="37" t="inlineStr">
        <is>
          <t>Amit Chakraborty</t>
        </is>
      </c>
      <c r="B9" s="37" t="inlineStr">
        <is>
          <t>Dumdum</t>
        </is>
      </c>
      <c r="C9" s="37" t="inlineStr">
        <is>
          <t>GROW Youth-CITI</t>
        </is>
      </c>
      <c r="D9" s="37" t="inlineStr">
        <is>
          <t>2026-07-08</t>
        </is>
      </c>
      <c r="E9" s="37" t="n">
        <v>6</v>
      </c>
      <c r="F9" s="37" t="n">
        <v>1</v>
      </c>
      <c r="G9" s="37" t="n">
        <v>1</v>
      </c>
      <c r="H9" s="37" t="n">
        <v>5</v>
      </c>
      <c r="I9" s="37" t="n">
        <v>2</v>
      </c>
      <c r="J9" s="37" t="n">
        <v>1</v>
      </c>
      <c r="K9" s="37" t="n">
        <v>11</v>
      </c>
      <c r="L9" s="37" t="n">
        <v>6</v>
      </c>
      <c r="M9" s="37" t="n">
        <v>5</v>
      </c>
      <c r="N9" s="37" t="n">
        <v>9</v>
      </c>
      <c r="O9" s="37" t="n">
        <v>0</v>
      </c>
      <c r="P9" s="37" t="n">
        <v>2</v>
      </c>
      <c r="Q9" s="37" t="inlineStr">
        <is>
          <t>Few process understanding Gap- Had a discussion with AH and Trainer giving them Clarity on Mock Interview Process and how it needs to be resolved and organized through following MDP guidelines. Requested AH to go through MDP course in Skilify</t>
        </is>
      </c>
      <c r="R9" s="37" t="inlineStr">
        <is>
          <t>All is well</t>
        </is>
      </c>
      <c r="S9" s="37" t="inlineStr">
        <is>
          <t>All is Well.</t>
        </is>
      </c>
      <c r="T9" s="37">
        <f>IF(AND(OR(Dashboard!$B$5="All Managers",A9=Dashboard!$B$5),OR(Dashboard!$E$5="All Centres",B9=Dashboard!$E$5)),1,0)</f>
        <v/>
      </c>
      <c r="U9" s="37">
        <f>IF(T9=1,COUNTIF($T$2:T9,1),"")</f>
        <v/>
      </c>
    </row>
    <row r="10">
      <c r="A10" s="37" t="inlineStr">
        <is>
          <t>Mahaboob Basha</t>
        </is>
      </c>
      <c r="B10" s="37" t="inlineStr">
        <is>
          <t>Ambattur</t>
        </is>
      </c>
      <c r="C10" s="37" t="inlineStr">
        <is>
          <t>SCGBS-GROW-GREEN-EV</t>
        </is>
      </c>
      <c r="D10" s="37" t="inlineStr">
        <is>
          <t>2026-07-10</t>
        </is>
      </c>
      <c r="E10" s="37" t="n">
        <v>7</v>
      </c>
      <c r="F10" s="37" t="n">
        <v>1</v>
      </c>
      <c r="G10" s="37" t="n">
        <v>0</v>
      </c>
      <c r="H10" s="37" t="n">
        <v>7</v>
      </c>
      <c r="I10" s="37" t="n">
        <v>1</v>
      </c>
      <c r="J10" s="37" t="n">
        <v>0</v>
      </c>
      <c r="K10" s="37" t="n">
        <v>14</v>
      </c>
      <c r="L10" s="37" t="n">
        <v>4</v>
      </c>
      <c r="M10" s="37" t="n">
        <v>4</v>
      </c>
      <c r="N10" s="37" t="n">
        <v>9</v>
      </c>
      <c r="O10" s="37" t="n">
        <v>2</v>
      </c>
      <c r="P10" s="37" t="n">
        <v>0</v>
      </c>
      <c r="Q10" s="37" t="inlineStr">
        <is>
          <t>Prepare for audit (precheck)</t>
        </is>
      </c>
      <c r="R10" s="37" t="inlineStr">
        <is>
          <t xml:space="preserve">Employer connect </t>
        </is>
      </c>
      <c r="S10" s="37" t="inlineStr">
        <is>
          <t xml:space="preserve">Support on outreach </t>
        </is>
      </c>
      <c r="T10" s="37">
        <f>IF(AND(OR(Dashboard!$B$5="All Managers",A10=Dashboard!$B$5),OR(Dashboard!$E$5="All Centres",B10=Dashboard!$E$5)),1,0)</f>
        <v/>
      </c>
      <c r="U10" s="37">
        <f>IF(T10=1,COUNTIF($T$2:T10,1),"")</f>
        <v/>
      </c>
    </row>
    <row r="11">
      <c r="A11" s="37" t="inlineStr">
        <is>
          <t>Amit Chakraborty</t>
        </is>
      </c>
      <c r="B11" s="37" t="inlineStr">
        <is>
          <t>Danapur</t>
        </is>
      </c>
      <c r="C11" s="37" t="inlineStr">
        <is>
          <t>GROW Youth-Accenture</t>
        </is>
      </c>
      <c r="D11" s="37" t="inlineStr">
        <is>
          <t>2026-07-10</t>
        </is>
      </c>
      <c r="E11" s="37" t="n">
        <v>4</v>
      </c>
      <c r="F11" s="37" t="n">
        <v>3</v>
      </c>
      <c r="G11" s="37" t="n">
        <v>1</v>
      </c>
      <c r="H11" s="37" t="n">
        <v>4</v>
      </c>
      <c r="I11" s="37" t="n">
        <v>3</v>
      </c>
      <c r="J11" s="37" t="n">
        <v>1</v>
      </c>
      <c r="K11" s="37" t="n">
        <v>9</v>
      </c>
      <c r="L11" s="37" t="n">
        <v>8</v>
      </c>
      <c r="M11" s="37" t="n">
        <v>5</v>
      </c>
      <c r="N11" s="37" t="n">
        <v>8</v>
      </c>
      <c r="O11" s="37" t="n">
        <v>1</v>
      </c>
      <c r="P11" s="37" t="n">
        <v>2</v>
      </c>
      <c r="Q11" s="37" t="inlineStr">
        <is>
          <t>My Centre visit this time was to identify process non-compliance and veracity issues. Based on the evidence gathered, the findings indicate a serious breach of data integrity was observed under the AH. The visit provided valuable insights into several underlying operational gaps that were not previously visible. These observations have enabled me to make more informed decisions to strengthen the center's operations, ensure alignment with organizational objectives, and implement corrective measures to minimize process deviations and compliance issues.</t>
        </is>
      </c>
      <c r="R11" s="37" t="inlineStr">
        <is>
          <t>With the resignation of the Trainer, there is a risk of delayed placement activities for Batch-80 and a potential impact on placement outcomes. Additionally, as AH also needs to be removed due to veracity issue, need to immediately align AH profiles for the Centre 
Conduct regular follow-ups with the team on the placement progress of Batch-80 and closely monitor daily placement activities. Align the AH-EC also with the center to facilitate timely placement opportunities a</t>
        </is>
      </c>
      <c r="S11" s="37" t="inlineStr">
        <is>
          <t>CA has been taking frequent leaves citing multiple reasons. Despite prior counseling and a formal warning regarding attendance and accountability, the pattern of unplanned leave has continued, impacting Centre operations, mobilization activities, and overall team stability. Action Point- Immediate support will be extended to source suitable CVs for a replacement CA to ensure continuity along.</t>
        </is>
      </c>
      <c r="T11" s="37">
        <f>IF(AND(OR(Dashboard!$B$5="All Managers",A11=Dashboard!$B$5),OR(Dashboard!$E$5="All Centres",B11=Dashboard!$E$5)),1,0)</f>
        <v/>
      </c>
      <c r="U11" s="37">
        <f>IF(T11=1,COUNTIF($T$2:T11,1),"")</f>
        <v/>
      </c>
    </row>
    <row r="12">
      <c r="A12" s="37" t="inlineStr">
        <is>
          <t>Barna</t>
        </is>
      </c>
      <c r="B12" s="37" t="inlineStr">
        <is>
          <t>Daryaganj</t>
        </is>
      </c>
      <c r="C12" s="37" t="inlineStr">
        <is>
          <t>CITI Youth</t>
        </is>
      </c>
      <c r="D12" s="37" t="inlineStr">
        <is>
          <t>2026-07-07</t>
        </is>
      </c>
      <c r="E12" s="37" t="n">
        <v>5</v>
      </c>
      <c r="F12" s="37" t="n">
        <v>2</v>
      </c>
      <c r="G12" s="37" t="n">
        <v>1</v>
      </c>
      <c r="H12" s="37" t="n">
        <v>7</v>
      </c>
      <c r="I12" s="37" t="n">
        <v>0</v>
      </c>
      <c r="J12" s="37" t="n">
        <v>1</v>
      </c>
      <c r="K12" s="37" t="n">
        <v>10</v>
      </c>
      <c r="L12" s="37" t="n">
        <v>7</v>
      </c>
      <c r="M12" s="37" t="n">
        <v>5</v>
      </c>
      <c r="N12" s="37" t="n">
        <v>8</v>
      </c>
      <c r="O12" s="37" t="n">
        <v>0</v>
      </c>
      <c r="P12" s="37" t="n">
        <v>3</v>
      </c>
      <c r="Q12" s="37" t="inlineStr">
        <is>
          <t xml:space="preserve">Explain how to fill and maintain the Alumni Handholding &amp; top 20 format and importance of the process. </t>
        </is>
      </c>
      <c r="R12" s="37" t="inlineStr">
        <is>
          <t>Provide Employer's leads initiate the batch placements for the current financial year.</t>
        </is>
      </c>
      <c r="S12" s="37" t="inlineStr">
        <is>
          <t>Share an outreach activities format where they can plan the weekly activity and number of leads and footfall generated from the activities.</t>
        </is>
      </c>
      <c r="T12" s="37">
        <f>IF(AND(OR(Dashboard!$B$5="All Managers",A12=Dashboard!$B$5),OR(Dashboard!$E$5="All Centres",B12=Dashboard!$E$5)),1,0)</f>
        <v/>
      </c>
      <c r="U12" s="37">
        <f>IF(T12=1,COUNTIF($T$2:T12,1),"")</f>
        <v/>
      </c>
    </row>
    <row r="13">
      <c r="A13" s="37" t="inlineStr">
        <is>
          <t>Barna</t>
        </is>
      </c>
      <c r="B13" s="37" t="inlineStr">
        <is>
          <t>Shahdara</t>
        </is>
      </c>
      <c r="C13" s="37" t="inlineStr">
        <is>
          <t>Accenture (Youth)</t>
        </is>
      </c>
      <c r="D13" s="37" t="inlineStr">
        <is>
          <t>2026-07-08</t>
        </is>
      </c>
      <c r="E13" s="37" t="n">
        <v>5</v>
      </c>
      <c r="F13" s="37" t="n">
        <v>2</v>
      </c>
      <c r="G13" s="37" t="n">
        <v>1</v>
      </c>
      <c r="H13" s="37" t="n">
        <v>7</v>
      </c>
      <c r="I13" s="37" t="n">
        <v>0</v>
      </c>
      <c r="J13" s="37" t="n">
        <v>1</v>
      </c>
      <c r="K13" s="37" t="n">
        <v>9</v>
      </c>
      <c r="L13" s="37" t="n">
        <v>7</v>
      </c>
      <c r="M13" s="37" t="n">
        <v>6</v>
      </c>
      <c r="N13" s="37" t="n">
        <v>8</v>
      </c>
      <c r="O13" s="37" t="n">
        <v>0</v>
      </c>
      <c r="P13" s="37" t="n">
        <v>3</v>
      </c>
      <c r="Q13" s="37" t="inlineStr">
        <is>
          <t>Ensure that the Top 20 Employer List is maintained and regularly updated at the center. Team meetings should be formalized and documented either in the prescribed Team Meeting Format or through email.</t>
        </is>
      </c>
      <c r="R13" s="37" t="inlineStr">
        <is>
          <t>Ensuring that L&amp;D mock interview must be maintained.</t>
        </is>
      </c>
      <c r="S13" s="37" t="inlineStr">
        <is>
          <t>Once again I explain the counselling check list and Pre ESA part.</t>
        </is>
      </c>
      <c r="T13" s="37">
        <f>IF(AND(OR(Dashboard!$B$5="All Managers",A13=Dashboard!$B$5),OR(Dashboard!$E$5="All Centres",B13=Dashboard!$E$5)),1,0)</f>
        <v/>
      </c>
      <c r="U13" s="37">
        <f>IF(T13=1,COUNTIF($T$2:T13,1),"")</f>
        <v/>
      </c>
    </row>
    <row r="14">
      <c r="A14" s="37" t="inlineStr">
        <is>
          <t>Amit Chakraborty</t>
        </is>
      </c>
      <c r="B14" s="37" t="inlineStr">
        <is>
          <t>Kidwainagar</t>
        </is>
      </c>
      <c r="C14" s="37" t="inlineStr">
        <is>
          <t>Grow Youth-Accenture</t>
        </is>
      </c>
      <c r="D14" s="37" t="inlineStr">
        <is>
          <t>2026-07-11</t>
        </is>
      </c>
      <c r="E14" s="37" t="n">
        <v>3</v>
      </c>
      <c r="F14" s="37" t="n">
        <v>4</v>
      </c>
      <c r="G14" s="37" t="n">
        <v>1</v>
      </c>
      <c r="H14" s="37" t="n">
        <v>5</v>
      </c>
      <c r="I14" s="37" t="n">
        <v>2</v>
      </c>
      <c r="J14" s="37" t="n">
        <v>1</v>
      </c>
      <c r="K14" s="37" t="n">
        <v>10</v>
      </c>
      <c r="L14" s="37" t="n">
        <v>7</v>
      </c>
      <c r="M14" s="37" t="n">
        <v>5</v>
      </c>
      <c r="N14" s="37" t="n">
        <v>8</v>
      </c>
      <c r="O14" s="37" t="n">
        <v>1</v>
      </c>
      <c r="P14" s="37" t="n">
        <v>2</v>
      </c>
      <c r="Q14" s="37" t="inlineStr">
        <is>
          <t>As AH had resigned - Sourced few AH CV to immediately close the indent. Completed Day 10 report and removed non eligible candidate, including one underage aspirant where DOB was wrongly updated in Portal. Identified issues in System- 4 system not working and most need repairing of CPU power button</t>
        </is>
      </c>
      <c r="R14" s="37" t="inlineStr">
        <is>
          <t>I shall bre in touch with Batch 84 &amp; 85, already spoken and met with some aspirants of the Batch to complete their Placement- Have shared them WFH opportunity at Startek and also, I shall talk to few more Employers to line up candidate. Weekly once I will connect to team on Placement improvement of the Batch till AH joins and support them with lead- I will also connect Rituparna our AH-EC to support them with local /good leads</t>
        </is>
      </c>
      <c r="S14" s="37" t="inlineStr">
        <is>
          <t xml:space="preserve">All is well till now Batches are starting on time </t>
        </is>
      </c>
      <c r="T14" s="37">
        <f>IF(AND(OR(Dashboard!$B$5="All Managers",A14=Dashboard!$B$5),OR(Dashboard!$E$5="All Centres",B14=Dashboard!$E$5)),1,0)</f>
        <v/>
      </c>
      <c r="U14" s="37">
        <f>IF(T14=1,COUNTIF($T$2:T14,1),"")</f>
        <v/>
      </c>
    </row>
    <row r="15">
      <c r="A15" s="37" t="inlineStr">
        <is>
          <t>Bhargav Challa</t>
        </is>
      </c>
      <c r="B15" s="37" t="inlineStr">
        <is>
          <t>Gachibowli</t>
        </is>
      </c>
      <c r="C15" s="37" t="inlineStr">
        <is>
          <t>Grow Youth</t>
        </is>
      </c>
      <c r="D15" s="37" t="inlineStr">
        <is>
          <t>2026-07-11</t>
        </is>
      </c>
      <c r="E15" s="37" t="n">
        <v>4</v>
      </c>
      <c r="F15" s="37" t="n">
        <v>3</v>
      </c>
      <c r="G15" s="37" t="n">
        <v>1</v>
      </c>
      <c r="H15" s="37" t="n">
        <v>3</v>
      </c>
      <c r="I15" s="37" t="n">
        <v>4</v>
      </c>
      <c r="J15" s="37" t="n">
        <v>1</v>
      </c>
      <c r="K15" s="37" t="n">
        <v>4</v>
      </c>
      <c r="L15" s="37" t="n">
        <v>11</v>
      </c>
      <c r="M15" s="37" t="n">
        <v>7</v>
      </c>
      <c r="N15" s="37" t="n">
        <v>6</v>
      </c>
      <c r="O15" s="37" t="n">
        <v>3</v>
      </c>
      <c r="P15" s="37" t="n">
        <v>2</v>
      </c>
      <c r="Q15" s="37" t="inlineStr">
        <is>
          <t>Have oriented the team on following the mandatory centre processes of Mock Interview, Weekly Team Meeting, 25th day Aspirant report, maintaining hygeine of the centre.</t>
        </is>
      </c>
      <c r="R15" s="37" t="n">
        <v/>
      </c>
      <c r="S15" s="37" t="inlineStr">
        <is>
          <t>Guided the team on the importance of planning for mobilisation, focusing on referrals for upcoming batches, and effectively utilizing the AFR, Field Register, and CA Diary. Thsi would help in streamlining the outrech activities and help the batch start</t>
        </is>
      </c>
      <c r="T15" s="37">
        <f>IF(AND(OR(Dashboard!$B$5="All Managers",A15=Dashboard!$B$5),OR(Dashboard!$E$5="All Centres",B15=Dashboard!$E$5)),1,0)</f>
        <v/>
      </c>
      <c r="U15" s="37">
        <f>IF(T15=1,COUNTIF($T$2:T15,1),"")</f>
        <v/>
      </c>
    </row>
    <row r="16">
      <c r="A16" s="37" t="inlineStr">
        <is>
          <t>Gagandeep Singh Sachar</t>
        </is>
      </c>
      <c r="B16" s="37" t="inlineStr">
        <is>
          <t>Vadodara Citi</t>
        </is>
      </c>
      <c r="C16" s="37" t="inlineStr">
        <is>
          <t>GROW youth</t>
        </is>
      </c>
      <c r="D16" s="37" t="inlineStr">
        <is>
          <t>2026-07-01</t>
        </is>
      </c>
      <c r="E16" s="37" t="n">
        <v>5</v>
      </c>
      <c r="F16" s="37" t="n">
        <v>2</v>
      </c>
      <c r="G16" s="37" t="n">
        <v>1</v>
      </c>
      <c r="H16" s="37" t="n">
        <v>5</v>
      </c>
      <c r="I16" s="37" t="n">
        <v>2</v>
      </c>
      <c r="J16" s="37" t="n">
        <v>1</v>
      </c>
      <c r="K16" s="37" t="n">
        <v>15</v>
      </c>
      <c r="L16" s="37" t="n">
        <v>1</v>
      </c>
      <c r="M16" s="37" t="n">
        <v>6</v>
      </c>
      <c r="N16" s="37" t="n">
        <v>9</v>
      </c>
      <c r="O16" s="37" t="n">
        <v>0</v>
      </c>
      <c r="P16" s="37" t="n">
        <v>2</v>
      </c>
      <c r="Q16" s="37" t="inlineStr">
        <is>
          <t xml:space="preserve">Trainer Resigned, Looked for 2-3 resume and done 1 interview				
</t>
        </is>
      </c>
      <c r="R16" s="37" t="inlineStr">
        <is>
          <t xml:space="preserve">Placement plan disscussed and also 2 employer connect shared				
</t>
        </is>
      </c>
      <c r="S16" s="37" t="inlineStr">
        <is>
          <t xml:space="preserve">New Tools planning done				
</t>
        </is>
      </c>
      <c r="T16" s="37">
        <f>IF(AND(OR(Dashboard!$B$5="All Managers",A16=Dashboard!$B$5),OR(Dashboard!$E$5="All Centres",B16=Dashboard!$E$5)),1,0)</f>
        <v/>
      </c>
      <c r="U16" s="37">
        <f>IF(T16=1,COUNTIF($T$2:T16,1),"")</f>
        <v/>
      </c>
    </row>
    <row r="17">
      <c r="A17" s="37" t="inlineStr">
        <is>
          <t>Gagandeep Singh Sachar</t>
        </is>
      </c>
      <c r="B17" s="37" t="inlineStr">
        <is>
          <t>Vadodara HQHCS</t>
        </is>
      </c>
      <c r="C17" s="37" t="inlineStr">
        <is>
          <t>HQHCS</t>
        </is>
      </c>
      <c r="D17" s="37" t="inlineStr">
        <is>
          <t>2026-07-02</t>
        </is>
      </c>
      <c r="E17" s="37" t="n">
        <v>5</v>
      </c>
      <c r="F17" s="37" t="n">
        <v>3</v>
      </c>
      <c r="G17" s="37" t="n">
        <v>0</v>
      </c>
      <c r="H17" s="37" t="n">
        <v>6</v>
      </c>
      <c r="I17" s="37" t="n">
        <v>1</v>
      </c>
      <c r="J17" s="37" t="n">
        <v>1</v>
      </c>
      <c r="K17" s="37" t="n">
        <v>11</v>
      </c>
      <c r="L17" s="37" t="n">
        <v>6</v>
      </c>
      <c r="M17" s="37" t="n">
        <v>5</v>
      </c>
      <c r="N17" s="37" t="n">
        <v>8</v>
      </c>
      <c r="O17" s="37" t="n">
        <v>2</v>
      </c>
      <c r="P17" s="37" t="n">
        <v>1</v>
      </c>
      <c r="Q17" s="37" t="inlineStr">
        <is>
          <t xml:space="preserve">All Process orientation given and aligned with new project and planning				
</t>
        </is>
      </c>
      <c r="R17" s="37" t="inlineStr">
        <is>
          <t xml:space="preserve">Start seeing the quality of employers				
</t>
        </is>
      </c>
      <c r="S17" s="37" t="inlineStr">
        <is>
          <t xml:space="preserve">Review Mobilisation plan on weekly basis by deepak 				
</t>
        </is>
      </c>
      <c r="T17" s="37">
        <f>IF(AND(OR(Dashboard!$B$5="All Managers",A17=Dashboard!$B$5),OR(Dashboard!$E$5="All Centres",B17=Dashboard!$E$5)),1,0)</f>
        <v/>
      </c>
      <c r="U17" s="37">
        <f>IF(T17=1,COUNTIF($T$2:T17,1),"")</f>
        <v/>
      </c>
    </row>
    <row r="18">
      <c r="A18" s="37" t="inlineStr">
        <is>
          <t>Gagandeep Singh Sachar</t>
        </is>
      </c>
      <c r="B18" s="37" t="inlineStr">
        <is>
          <t>Vasai</t>
        </is>
      </c>
      <c r="C18" s="37" t="inlineStr">
        <is>
          <t>Grow youth</t>
        </is>
      </c>
      <c r="D18" s="37" t="inlineStr">
        <is>
          <t>2026-07-13</t>
        </is>
      </c>
      <c r="E18" s="37" t="n">
        <v>5</v>
      </c>
      <c r="F18" s="37" t="n">
        <v>2</v>
      </c>
      <c r="G18" s="37" t="n">
        <v>1</v>
      </c>
      <c r="H18" s="37" t="n">
        <v>7</v>
      </c>
      <c r="I18" s="37" t="n">
        <v>0</v>
      </c>
      <c r="J18" s="37" t="n">
        <v>1</v>
      </c>
      <c r="K18" s="37" t="n">
        <v>10</v>
      </c>
      <c r="L18" s="37" t="n">
        <v>5</v>
      </c>
      <c r="M18" s="37" t="n">
        <v>7</v>
      </c>
      <c r="N18" s="37" t="n">
        <v>8</v>
      </c>
      <c r="O18" s="37" t="n">
        <v>1</v>
      </c>
      <c r="P18" s="37" t="n">
        <v>2</v>
      </c>
      <c r="Q18" s="37" t="inlineStr">
        <is>
          <t xml:space="preserve">NA Case - 15 pending for Vasai - discuss with Sushma </t>
        </is>
      </c>
      <c r="R18" s="37" t="inlineStr">
        <is>
          <t>Placement to be completed in 15 days.</t>
        </is>
      </c>
      <c r="S18" s="37" t="inlineStr">
        <is>
          <t>its going well, New 1-2 mobilisation tools can be added</t>
        </is>
      </c>
      <c r="T18" s="37">
        <f>IF(AND(OR(Dashboard!$B$5="All Managers",A18=Dashboard!$B$5),OR(Dashboard!$E$5="All Centres",B18=Dashboard!$E$5)),1,0)</f>
        <v/>
      </c>
      <c r="U18" s="37">
        <f>IF(T18=1,COUNTIF($T$2:T18,1),"")</f>
        <v/>
      </c>
    </row>
    <row r="19">
      <c r="A19" s="37" t="inlineStr">
        <is>
          <t>Barna</t>
        </is>
      </c>
      <c r="B19" s="37" t="inlineStr">
        <is>
          <t>Sarita Vihar</t>
        </is>
      </c>
      <c r="C19" s="37" t="inlineStr">
        <is>
          <t>Youth</t>
        </is>
      </c>
      <c r="D19" s="37" t="inlineStr">
        <is>
          <t>2026-07-11</t>
        </is>
      </c>
      <c r="E19" s="37" t="n">
        <v>6</v>
      </c>
      <c r="F19" s="37" t="n">
        <v>1</v>
      </c>
      <c r="G19" s="37" t="n">
        <v>1</v>
      </c>
      <c r="H19" s="37" t="n">
        <v>7</v>
      </c>
      <c r="I19" s="37" t="n">
        <v>0</v>
      </c>
      <c r="J19" s="37" t="n">
        <v>1</v>
      </c>
      <c r="K19" s="37" t="n">
        <v>12</v>
      </c>
      <c r="L19" s="37" t="n">
        <v>6</v>
      </c>
      <c r="M19" s="37" t="n">
        <v>4</v>
      </c>
      <c r="N19" s="37" t="n">
        <v>11</v>
      </c>
      <c r="O19" s="37" t="n">
        <v>0</v>
      </c>
      <c r="P19" s="37" t="n">
        <v>0</v>
      </c>
      <c r="Q19" s="37" t="inlineStr">
        <is>
          <t>Conducting video calls to clear the NA cases.</t>
        </is>
      </c>
      <c r="R19" s="37" t="inlineStr">
        <is>
          <t>Share employer leads with AH</t>
        </is>
      </c>
      <c r="S19" s="37" t="inlineStr">
        <is>
          <t>guided on the new outreach activities to be conducted and how to meassure footfalls and leads generated from the activities.</t>
        </is>
      </c>
      <c r="T19" s="37">
        <f>IF(AND(OR(Dashboard!$B$5="All Managers",A19=Dashboard!$B$5),OR(Dashboard!$E$5="All Centres",B19=Dashboard!$E$5)),1,0)</f>
        <v/>
      </c>
      <c r="U19" s="37">
        <f>IF(T19=1,COUNTIF($T$2:T19,1),"")</f>
        <v/>
      </c>
    </row>
    <row r="20">
      <c r="A20" s="37" t="inlineStr">
        <is>
          <t>Barna</t>
        </is>
      </c>
      <c r="B20" s="37" t="inlineStr">
        <is>
          <t>NOIDA Sec 63</t>
        </is>
      </c>
      <c r="C20" s="37" t="inlineStr">
        <is>
          <t>GROW Youth</t>
        </is>
      </c>
      <c r="D20" s="37" t="inlineStr">
        <is>
          <t>2026-07-13</t>
        </is>
      </c>
      <c r="E20" s="37" t="n">
        <v>3</v>
      </c>
      <c r="F20" s="37" t="n">
        <v>2</v>
      </c>
      <c r="G20" s="37" t="n">
        <v>3</v>
      </c>
      <c r="H20" s="37" t="n">
        <v>6</v>
      </c>
      <c r="I20" s="37" t="n">
        <v>1</v>
      </c>
      <c r="J20" s="37" t="n">
        <v>1</v>
      </c>
      <c r="K20" s="37" t="n">
        <v>6</v>
      </c>
      <c r="L20" s="37" t="n">
        <v>8</v>
      </c>
      <c r="M20" s="37" t="n">
        <v>8</v>
      </c>
      <c r="N20" s="37" t="n">
        <v>0</v>
      </c>
      <c r="O20" s="37" t="n">
        <v>0</v>
      </c>
      <c r="P20" s="37" t="n">
        <v>11</v>
      </c>
      <c r="Q20" s="37" t="inlineStr">
        <is>
          <t>Discuss with CA review the outreach efforts.</t>
        </is>
      </c>
      <c r="R20" s="37" t="inlineStr">
        <is>
          <t>Clarity given on the collection of Placement evidences.</t>
        </is>
      </c>
      <c r="S20" s="37" t="inlineStr">
        <is>
          <t>Reviewing the outreach activities.</t>
        </is>
      </c>
      <c r="T20" s="37">
        <f>IF(AND(OR(Dashboard!$B$5="All Managers",A20=Dashboard!$B$5),OR(Dashboard!$E$5="All Centres",B20=Dashboard!$E$5)),1,0)</f>
        <v/>
      </c>
      <c r="U20" s="37">
        <f>IF(T20=1,COUNTIF($T$2:T20,1),"")</f>
        <v/>
      </c>
    </row>
    <row r="21">
      <c r="A21" s="37" t="inlineStr">
        <is>
          <t>Amit Chakraborty</t>
        </is>
      </c>
      <c r="B21" s="37" t="inlineStr">
        <is>
          <t>Alambagh</t>
        </is>
      </c>
      <c r="C21" s="37" t="inlineStr">
        <is>
          <t>GROW Youth-Accenture</t>
        </is>
      </c>
      <c r="D21" s="37" t="inlineStr">
        <is>
          <t>2026-07-13</t>
        </is>
      </c>
      <c r="E21" s="37" t="n">
        <v>4</v>
      </c>
      <c r="F21" s="37" t="n">
        <v>3</v>
      </c>
      <c r="G21" s="37" t="n">
        <v>1</v>
      </c>
      <c r="H21" s="37" t="n">
        <v>3</v>
      </c>
      <c r="I21" s="37" t="n">
        <v>3</v>
      </c>
      <c r="J21" s="37" t="n">
        <v>2</v>
      </c>
      <c r="K21" s="37" t="n">
        <v>15</v>
      </c>
      <c r="L21" s="37" t="n">
        <v>2</v>
      </c>
      <c r="M21" s="37" t="n">
        <v>5</v>
      </c>
      <c r="N21" s="37" t="n">
        <v>9</v>
      </c>
      <c r="O21" s="37" t="n">
        <v>0</v>
      </c>
      <c r="P21" s="37" t="n">
        <v>2</v>
      </c>
      <c r="Q21" s="37" t="inlineStr">
        <is>
          <t>1 Trainer Resigned had interview 3 Profile and finalized 2 and shared CV with Trainer</t>
        </is>
      </c>
      <c r="R21" s="37" t="inlineStr">
        <is>
          <t>Present performance of FY 26-27 is good only need to keep on tracking FY 25-26 and support team with new Employers</t>
        </is>
      </c>
      <c r="S21" s="37" t="inlineStr">
        <is>
          <t xml:space="preserve">All is well. Present batch is delayed starting by 3-4 days and average B2 be around 7 days . Had a discussion with team on Planned batch start date which is delayed it shall start in next 3 days  </t>
        </is>
      </c>
      <c r="T21" s="37">
        <f>IF(AND(OR(Dashboard!$B$5="All Managers",A21=Dashboard!$B$5),OR(Dashboard!$E$5="All Centres",B21=Dashboard!$E$5)),1,0)</f>
        <v/>
      </c>
      <c r="U21" s="37">
        <f>IF(T21=1,COUNTIF($T$2:T21,1),"")</f>
        <v/>
      </c>
    </row>
    <row r="22">
      <c r="A22" s="37" t="inlineStr">
        <is>
          <t>Gagandeep Singh Sachar</t>
        </is>
      </c>
      <c r="B22" s="37" t="inlineStr">
        <is>
          <t>Thane</t>
        </is>
      </c>
      <c r="C22" s="37" t="inlineStr">
        <is>
          <t>Youth</t>
        </is>
      </c>
      <c r="D22" s="37" t="inlineStr">
        <is>
          <t>2026-07-14</t>
        </is>
      </c>
      <c r="E22" s="37" t="n">
        <v>5</v>
      </c>
      <c r="F22" s="37" t="n">
        <v>2</v>
      </c>
      <c r="G22" s="37" t="n">
        <v>1</v>
      </c>
      <c r="H22" s="37" t="n">
        <v>4</v>
      </c>
      <c r="I22" s="37" t="n">
        <v>2</v>
      </c>
      <c r="J22" s="37" t="n">
        <v>2</v>
      </c>
      <c r="K22" s="37" t="n">
        <v>10</v>
      </c>
      <c r="L22" s="37" t="n">
        <v>5</v>
      </c>
      <c r="M22" s="37" t="n">
        <v>7</v>
      </c>
      <c r="N22" s="37" t="n">
        <v>8</v>
      </c>
      <c r="O22" s="37" t="n">
        <v>1</v>
      </c>
      <c r="P22" s="37" t="n">
        <v>2</v>
      </c>
      <c r="Q22" s="37" t="inlineStr">
        <is>
          <t>AH interview for Belapur Done  - Akshay</t>
        </is>
      </c>
      <c r="R22" s="37" t="inlineStr">
        <is>
          <t>NA case discussion</t>
        </is>
      </c>
      <c r="S22" s="37" t="inlineStr">
        <is>
          <t xml:space="preserve">No issue </t>
        </is>
      </c>
      <c r="T22" s="37">
        <f>IF(AND(OR(Dashboard!$B$5="All Managers",A22=Dashboard!$B$5),OR(Dashboard!$E$5="All Centres",B22=Dashboard!$E$5)),1,0)</f>
        <v/>
      </c>
      <c r="U22" s="37">
        <f>IF(T22=1,COUNTIF($T$2:T22,1),"")</f>
        <v/>
      </c>
    </row>
    <row r="23">
      <c r="A23" s="37" t="inlineStr">
        <is>
          <t>Amit Chakraborty</t>
        </is>
      </c>
      <c r="B23" s="37" t="inlineStr">
        <is>
          <t>Lucknow-Indiranagar</t>
        </is>
      </c>
      <c r="C23" s="37" t="inlineStr">
        <is>
          <t>GROW Youth-CITI</t>
        </is>
      </c>
      <c r="D23" s="37" t="inlineStr">
        <is>
          <t>2026-07-14</t>
        </is>
      </c>
      <c r="E23" s="37" t="n">
        <v>6</v>
      </c>
      <c r="F23" s="37" t="n">
        <v>1</v>
      </c>
      <c r="G23" s="37" t="n">
        <v>1</v>
      </c>
      <c r="H23" s="37" t="n">
        <v>7</v>
      </c>
      <c r="I23" s="37" t="n">
        <v>0</v>
      </c>
      <c r="J23" s="37" t="n">
        <v>1</v>
      </c>
      <c r="K23" s="37" t="n">
        <v>17</v>
      </c>
      <c r="L23" s="37" t="n">
        <v>0</v>
      </c>
      <c r="M23" s="37" t="n">
        <v>5</v>
      </c>
      <c r="N23" s="37" t="n">
        <v>9</v>
      </c>
      <c r="O23" s="37" t="n">
        <v>0</v>
      </c>
      <c r="P23" s="37" t="n">
        <v>2</v>
      </c>
      <c r="Q23" s="37" t="inlineStr">
        <is>
          <t>Guided them on New QAE Pilot on Lucknow Indiranagar, gave them clarity on FCRA challenge they were facing</t>
        </is>
      </c>
      <c r="R23" s="37" t="inlineStr">
        <is>
          <t>All is Well- Benchmark Salary is a concern-Guided team on Planning well on Each Aspirants to ensure Placement is aligned</t>
        </is>
      </c>
      <c r="S23" s="37" t="inlineStr">
        <is>
          <t>All is well</t>
        </is>
      </c>
      <c r="T23" s="37">
        <f>IF(AND(OR(Dashboard!$B$5="All Managers",A23=Dashboard!$B$5),OR(Dashboard!$E$5="All Centres",B23=Dashboard!$E$5)),1,0)</f>
        <v/>
      </c>
      <c r="U23" s="37">
        <f>IF(T23=1,COUNTIF($T$2:T23,1),"")</f>
        <v/>
      </c>
    </row>
    <row r="24">
      <c r="A24" s="37" t="inlineStr">
        <is>
          <t>Mahaboob Basha</t>
        </is>
      </c>
      <c r="B24" s="37" t="inlineStr">
        <is>
          <t xml:space="preserve">Velachery-Accenture Additional Grant </t>
        </is>
      </c>
      <c r="C24" s="37" t="inlineStr">
        <is>
          <t>GROW-Youth</t>
        </is>
      </c>
      <c r="D24" s="37" t="inlineStr">
        <is>
          <t>2026-07-15</t>
        </is>
      </c>
      <c r="E24" s="37" t="n">
        <v>7</v>
      </c>
      <c r="F24" s="37" t="n">
        <v>0</v>
      </c>
      <c r="G24" s="37" t="n">
        <v>1</v>
      </c>
      <c r="H24" s="37" t="n">
        <v>5</v>
      </c>
      <c r="I24" s="37" t="n">
        <v>1</v>
      </c>
      <c r="J24" s="37" t="n">
        <v>2</v>
      </c>
      <c r="K24" s="37" t="n">
        <v>15</v>
      </c>
      <c r="L24" s="37" t="n">
        <v>4</v>
      </c>
      <c r="M24" s="37" t="n">
        <v>3</v>
      </c>
      <c r="N24" s="37" t="n">
        <v>9</v>
      </c>
      <c r="O24" s="37" t="n">
        <v>2</v>
      </c>
      <c r="P24" s="37" t="n">
        <v>0</v>
      </c>
      <c r="Q24" s="37" t="inlineStr">
        <is>
          <t xml:space="preserve">Meeting with CA on performance </t>
        </is>
      </c>
      <c r="R24" s="37" t="inlineStr">
        <is>
          <t xml:space="preserve">Employer connect </t>
        </is>
      </c>
      <c r="S24" s="37" t="inlineStr">
        <is>
          <t xml:space="preserve">Data collection and outreach plan </t>
        </is>
      </c>
      <c r="T24" s="37">
        <f>IF(AND(OR(Dashboard!$B$5="All Managers",A24=Dashboard!$B$5),OR(Dashboard!$E$5="All Centres",B24=Dashboard!$E$5)),1,0)</f>
        <v/>
      </c>
      <c r="U24" s="37">
        <f>IF(T24=1,COUNTIF($T$2:T24,1),"")</f>
        <v/>
      </c>
    </row>
    <row r="25">
      <c r="A25" s="37" t="inlineStr">
        <is>
          <t>Gagandeep Singh Sachar</t>
        </is>
      </c>
      <c r="B25" s="37" t="inlineStr">
        <is>
          <t>Swargate</t>
        </is>
      </c>
      <c r="C25" s="37" t="inlineStr">
        <is>
          <t>GROW</t>
        </is>
      </c>
      <c r="D25" s="37" t="inlineStr">
        <is>
          <t>2026-07-15</t>
        </is>
      </c>
      <c r="E25" s="37" t="n">
        <v>6</v>
      </c>
      <c r="F25" s="37" t="n">
        <v>1</v>
      </c>
      <c r="G25" s="37" t="n">
        <v>1</v>
      </c>
      <c r="H25" s="37" t="n">
        <v>7</v>
      </c>
      <c r="I25" s="37" t="n">
        <v>0</v>
      </c>
      <c r="J25" s="37" t="n">
        <v>1</v>
      </c>
      <c r="K25" s="37" t="n">
        <v>16</v>
      </c>
      <c r="L25" s="37" t="n">
        <v>0</v>
      </c>
      <c r="M25" s="37" t="n">
        <v>6</v>
      </c>
      <c r="N25" s="37" t="n">
        <v>10</v>
      </c>
      <c r="O25" s="37" t="n">
        <v>0</v>
      </c>
      <c r="P25" s="37" t="n">
        <v>1</v>
      </c>
      <c r="Q25" s="37" t="inlineStr">
        <is>
          <t>NA cases - Rejected due to BBM approval and Discuss with vendor on door repair</t>
        </is>
      </c>
      <c r="R25" s="37" t="inlineStr">
        <is>
          <t>Discuss aspirants 1-1 for all un placed</t>
        </is>
      </c>
      <c r="S25" s="37" t="inlineStr">
        <is>
          <t xml:space="preserve">Batch to start on time - We have discussed on the use of multiple tools </t>
        </is>
      </c>
      <c r="T25" s="37">
        <f>IF(AND(OR(Dashboard!$B$5="All Managers",A25=Dashboard!$B$5),OR(Dashboard!$E$5="All Centres",B25=Dashboard!$E$5)),1,0)</f>
        <v/>
      </c>
      <c r="U25" s="37">
        <f>IF(T25=1,COUNTIF($T$2:T25,1),"")</f>
        <v/>
      </c>
    </row>
    <row r="26">
      <c r="A26" s="37" t="inlineStr">
        <is>
          <t>Sanjay Kumar Tarai</t>
        </is>
      </c>
      <c r="B26" s="37" t="inlineStr">
        <is>
          <t>Berhampur</t>
        </is>
      </c>
      <c r="C26" s="37" t="inlineStr">
        <is>
          <t>CITI</t>
        </is>
      </c>
      <c r="D26" s="37" t="inlineStr">
        <is>
          <t>2026-07-14</t>
        </is>
      </c>
      <c r="E26" s="37" t="n">
        <v>4</v>
      </c>
      <c r="F26" s="37" t="n">
        <v>3</v>
      </c>
      <c r="G26" s="37" t="n">
        <v>1</v>
      </c>
      <c r="H26" s="37" t="n">
        <v>5</v>
      </c>
      <c r="I26" s="37" t="n">
        <v>2</v>
      </c>
      <c r="J26" s="37" t="n">
        <v>1</v>
      </c>
      <c r="K26" s="37" t="n">
        <v>10</v>
      </c>
      <c r="L26" s="37" t="n">
        <v>8</v>
      </c>
      <c r="M26" s="37" t="n">
        <v>4</v>
      </c>
      <c r="N26" s="37" t="n">
        <v>8</v>
      </c>
      <c r="O26" s="37" t="n">
        <v>1</v>
      </c>
      <c r="P26" s="37" t="n">
        <v>2</v>
      </c>
      <c r="Q26" s="37" t="inlineStr">
        <is>
          <t>Weak process ownership and supervisory control at the centre level, leading to poor compliance, inconsistent training quality, delayed execution, and lack of accountability.
New AH- Lack of managerial supervision by the Area Head (AH), still he needs handhold for couple of months till one complete batch cycle end.  The centre currently lacks a disciplined Review, Feedback , Follow-up, Closure mechanism. I have clearly discussed with all team members and ensure all follows the agreed action points. 
Daily checklist review (HK, Trainer, CA).
15-minute morning planning meeting.
End-of-day review of pending activities.
Weekly classroom observation.
Weekly documentation audit.
Weekly placement and employer review.
Weekly action tracker with target dates and closure status.</t>
        </is>
      </c>
      <c r="R26" s="37" t="inlineStr">
        <is>
          <t>As a second-level manager, I can improve placement percentage by institutionalizing a weekly placement management system that reviews the employer pipeline, candidate readiness. I can send weekly atlease one placement opportunity where Berhampur candidates can be placed.</t>
        </is>
      </c>
      <c r="S26" s="37" t="inlineStr">
        <is>
          <t>I engage myself in morning to discuss daily outreach planning, tools to be used for the day, areas with my suggestion wherever required to do it in better way and do review in daily evening for 10 min with CA and AH.</t>
        </is>
      </c>
      <c r="T26" s="37">
        <f>IF(AND(OR(Dashboard!$B$5="All Managers",A26=Dashboard!$B$5),OR(Dashboard!$E$5="All Centres",B26=Dashboard!$E$5)),1,0)</f>
        <v/>
      </c>
      <c r="U26" s="37">
        <f>IF(T26=1,COUNTIF($T$2:T26,1),"")</f>
        <v/>
      </c>
    </row>
    <row r="27">
      <c r="A27" s="37" t="inlineStr">
        <is>
          <t>Bhargav Challa</t>
        </is>
      </c>
      <c r="B27" s="37" t="inlineStr">
        <is>
          <t>Bachupally</t>
        </is>
      </c>
      <c r="C27" s="37" t="inlineStr">
        <is>
          <t>Grow Youth</t>
        </is>
      </c>
      <c r="D27" s="37" t="inlineStr">
        <is>
          <t>2026-07-15</t>
        </is>
      </c>
      <c r="E27" s="37" t="n">
        <v>5</v>
      </c>
      <c r="F27" s="37" t="n">
        <v>2</v>
      </c>
      <c r="G27" s="37" t="n">
        <v>1</v>
      </c>
      <c r="H27" s="37" t="n">
        <v>6</v>
      </c>
      <c r="I27" s="37" t="n">
        <v>1</v>
      </c>
      <c r="J27" s="37" t="n">
        <v>1</v>
      </c>
      <c r="K27" s="37" t="n">
        <v>14</v>
      </c>
      <c r="L27" s="37" t="n">
        <v>2</v>
      </c>
      <c r="M27" s="37" t="n">
        <v>6</v>
      </c>
      <c r="N27" s="37" t="n">
        <v>7</v>
      </c>
      <c r="O27" s="37" t="n">
        <v>2</v>
      </c>
      <c r="P27" s="37" t="n">
        <v>2</v>
      </c>
      <c r="Q27" s="37" t="inlineStr">
        <is>
          <t>Oriented the centre on the need to follow the key process to be followed- Regularity and punctuality of the students, Transparent reporting of the data and their understanding of the programme</t>
        </is>
      </c>
      <c r="R27" s="37" t="inlineStr">
        <is>
          <t>Counseled the Batch-11 students to understand their career aspirations and preferred job roles. Developed a placement plan and interview line up's to ensure all students are placed within the next two weeks, in coordination with Sachin and the batch trainer.</t>
        </is>
      </c>
      <c r="S27" s="37" t="n">
        <v/>
      </c>
      <c r="T27" s="37">
        <f>IF(AND(OR(Dashboard!$B$5="All Managers",A27=Dashboard!$B$5),OR(Dashboard!$E$5="All Centres",B27=Dashboard!$E$5)),1,0)</f>
        <v/>
      </c>
      <c r="U27" s="37">
        <f>IF(T27=1,COUNTIF($T$2:T27,1),"")</f>
        <v/>
      </c>
    </row>
    <row r="28">
      <c r="A28" s="37" t="inlineStr">
        <is>
          <t>Barna</t>
        </is>
      </c>
      <c r="B28" s="37" t="inlineStr">
        <is>
          <t>Nehru Nagar Durg</t>
        </is>
      </c>
      <c r="C28" s="37" t="inlineStr">
        <is>
          <t>Youth Accenture</t>
        </is>
      </c>
      <c r="D28" s="37" t="inlineStr">
        <is>
          <t>2026-07-15</t>
        </is>
      </c>
      <c r="E28" s="37" t="n">
        <v>4</v>
      </c>
      <c r="F28" s="37" t="n">
        <v>3</v>
      </c>
      <c r="G28" s="37" t="n">
        <v>1</v>
      </c>
      <c r="H28" s="37" t="n">
        <v>5</v>
      </c>
      <c r="I28" s="37" t="n">
        <v>2</v>
      </c>
      <c r="J28" s="37" t="n">
        <v>1</v>
      </c>
      <c r="K28" s="37" t="n">
        <v>8</v>
      </c>
      <c r="L28" s="37" t="n">
        <v>7</v>
      </c>
      <c r="M28" s="37" t="n">
        <v>7</v>
      </c>
      <c r="N28" s="37" t="n">
        <v>9</v>
      </c>
      <c r="O28" s="37" t="n">
        <v>0</v>
      </c>
      <c r="P28" s="37" t="n">
        <v>2</v>
      </c>
      <c r="Q28" s="37" t="inlineStr">
        <is>
          <t>Explained the assets Verification process</t>
        </is>
      </c>
      <c r="R28" s="37" t="inlineStr">
        <is>
          <t>Share Placement leads to conduct a campus drive at center.</t>
        </is>
      </c>
      <c r="S28" s="37" t="inlineStr">
        <is>
          <t>share a weekly outreach activity format Planned Vs Actuals. In that sheet defined 20+ outreach activities which needs to be carried out on weekly basis. Also Prepared a google form which capture basic information of the jobless candidates. It can be shared along with Whatsapp flyer.</t>
        </is>
      </c>
      <c r="T28" s="37">
        <f>IF(AND(OR(Dashboard!$B$5="All Managers",A28=Dashboard!$B$5),OR(Dashboard!$E$5="All Centres",B28=Dashboard!$E$5)),1,0)</f>
        <v/>
      </c>
      <c r="U28" s="37">
        <f>IF(T28=1,COUNTIF($T$2:T28,1),"")</f>
        <v/>
      </c>
    </row>
    <row r="29">
      <c r="A29" s="37" t="inlineStr">
        <is>
          <t>Barna</t>
        </is>
      </c>
      <c r="B29" s="37" t="inlineStr">
        <is>
          <t>Gurgaon</t>
        </is>
      </c>
      <c r="C29" s="37" t="inlineStr">
        <is>
          <t>Youth (CITI)</t>
        </is>
      </c>
      <c r="D29" s="37" t="inlineStr">
        <is>
          <t>2026-07-10</t>
        </is>
      </c>
      <c r="E29" s="37" t="n">
        <v>7</v>
      </c>
      <c r="F29" s="37" t="n">
        <v>0</v>
      </c>
      <c r="G29" s="37" t="n">
        <v>1</v>
      </c>
      <c r="H29" s="37" t="n">
        <v>6</v>
      </c>
      <c r="I29" s="37" t="n">
        <v>1</v>
      </c>
      <c r="J29" s="37" t="n">
        <v>1</v>
      </c>
      <c r="K29" s="37" t="n">
        <v>10</v>
      </c>
      <c r="L29" s="37" t="n">
        <v>7</v>
      </c>
      <c r="M29" s="37" t="n">
        <v>5</v>
      </c>
      <c r="N29" s="37" t="n">
        <v>9</v>
      </c>
      <c r="O29" s="37" t="n">
        <v>0</v>
      </c>
      <c r="P29" s="37" t="n">
        <v>2</v>
      </c>
      <c r="Q29" s="37" t="inlineStr">
        <is>
          <t>NA cases discussed with AH. So that she can cleared it as soon as possible.</t>
        </is>
      </c>
      <c r="R29" s="37" t="inlineStr">
        <is>
          <t>Two employer leads shared with AH</t>
        </is>
      </c>
      <c r="S29" s="37" t="inlineStr">
        <is>
          <t>Weekly outreach sheet shared with the AH and CA. It will help them to planning the outreach activities</t>
        </is>
      </c>
      <c r="T29" s="37">
        <f>IF(AND(OR(Dashboard!$B$5="All Managers",A29=Dashboard!$B$5),OR(Dashboard!$E$5="All Centres",B29=Dashboard!$E$5)),1,0)</f>
        <v/>
      </c>
      <c r="U29" s="37">
        <f>IF(T29=1,COUNTIF($T$2:T29,1),"")</f>
        <v/>
      </c>
    </row>
    <row r="30">
      <c r="A30" s="37" t="inlineStr">
        <is>
          <t>Barna</t>
        </is>
      </c>
      <c r="B30" s="37" t="inlineStr">
        <is>
          <t>Peeragarhi</t>
        </is>
      </c>
      <c r="C30" s="37" t="inlineStr">
        <is>
          <t>Youth CITI</t>
        </is>
      </c>
      <c r="D30" s="37" t="inlineStr">
        <is>
          <t>2026-07-09</t>
        </is>
      </c>
      <c r="E30" s="37" t="n">
        <v>5</v>
      </c>
      <c r="F30" s="37" t="n">
        <v>2</v>
      </c>
      <c r="G30" s="37" t="n">
        <v>1</v>
      </c>
      <c r="H30" s="37" t="n">
        <v>7</v>
      </c>
      <c r="I30" s="37" t="n">
        <v>0</v>
      </c>
      <c r="J30" s="37" t="n">
        <v>1</v>
      </c>
      <c r="K30" s="37" t="n">
        <v>9</v>
      </c>
      <c r="L30" s="37" t="n">
        <v>7</v>
      </c>
      <c r="M30" s="37" t="n">
        <v>6</v>
      </c>
      <c r="N30" s="37" t="n">
        <v>9</v>
      </c>
      <c r="O30" s="37" t="n">
        <v>0</v>
      </c>
      <c r="P30" s="37" t="n">
        <v>2</v>
      </c>
      <c r="Q30" s="37" t="inlineStr">
        <is>
          <t>Explain and aligned AH how placements and skill shift will takes place.</t>
        </is>
      </c>
      <c r="R30" s="37" t="inlineStr">
        <is>
          <t>Planning is done for the placements and discuss the dates for the batchwise placement closure reports to be shared.</t>
        </is>
      </c>
      <c r="S30" s="37" t="inlineStr">
        <is>
          <t>Explaining the Weekly outreach format and ensuring that it should be implemented as per the plan.</t>
        </is>
      </c>
      <c r="T30" s="37">
        <f>IF(AND(OR(Dashboard!$B$5="All Managers",A30=Dashboard!$B$5),OR(Dashboard!$E$5="All Centres",B30=Dashboard!$E$5)),1,0)</f>
        <v/>
      </c>
      <c r="U30" s="37">
        <f>IF(T30=1,COUNTIF($T$2:T30,1),"")</f>
        <v/>
      </c>
    </row>
    <row r="31">
      <c r="A31" s="37" t="inlineStr">
        <is>
          <t>Gagandeep Singh Sachar</t>
        </is>
      </c>
      <c r="B31" s="37" t="inlineStr">
        <is>
          <t>Chinchwad - Pune</t>
        </is>
      </c>
      <c r="C31" s="37" t="inlineStr">
        <is>
          <t xml:space="preserve">Youth </t>
        </is>
      </c>
      <c r="D31" s="37" t="inlineStr">
        <is>
          <t>2026-07-16</t>
        </is>
      </c>
      <c r="E31" s="37" t="n">
        <v>6</v>
      </c>
      <c r="F31" s="37" t="n">
        <v>1</v>
      </c>
      <c r="G31" s="37" t="n">
        <v>1</v>
      </c>
      <c r="H31" s="37" t="n">
        <v>6</v>
      </c>
      <c r="I31" s="37" t="n">
        <v>1</v>
      </c>
      <c r="J31" s="37" t="n">
        <v>1</v>
      </c>
      <c r="K31" s="37" t="n">
        <v>10</v>
      </c>
      <c r="L31" s="37" t="n">
        <v>7</v>
      </c>
      <c r="M31" s="37" t="n">
        <v>5</v>
      </c>
      <c r="N31" s="37" t="n">
        <v>10</v>
      </c>
      <c r="O31" s="37" t="n">
        <v>0</v>
      </c>
      <c r="P31" s="37" t="n">
        <v>1</v>
      </c>
      <c r="Q31" s="37" t="inlineStr">
        <is>
          <t>Issue for light - Need to give a backup generator and Train will join from 20th July at center</t>
        </is>
      </c>
      <c r="R31" s="37" t="inlineStr">
        <is>
          <t xml:space="preserve">EC more need to be done. </t>
        </is>
      </c>
      <c r="S31" s="37" t="inlineStr">
        <is>
          <t>Data collection and Training to CA</t>
        </is>
      </c>
      <c r="T31" s="37">
        <f>IF(AND(OR(Dashboard!$B$5="All Managers",A31=Dashboard!$B$5),OR(Dashboard!$E$5="All Centres",B31=Dashboard!$E$5)),1,0)</f>
        <v/>
      </c>
      <c r="U31" s="37">
        <f>IF(T31=1,COUNTIF($T$2:T31,1),"")</f>
        <v/>
      </c>
    </row>
    <row r="32">
      <c r="A32" s="37" t="inlineStr">
        <is>
          <t>Amit Chakraborty</t>
        </is>
      </c>
      <c r="B32" s="37" t="inlineStr">
        <is>
          <t>Bareilly</t>
        </is>
      </c>
      <c r="C32" s="37" t="inlineStr">
        <is>
          <t>GROW Youth- Accenture</t>
        </is>
      </c>
      <c r="D32" s="37" t="inlineStr">
        <is>
          <t>2026-07-15</t>
        </is>
      </c>
      <c r="E32" s="37" t="n">
        <v>6</v>
      </c>
      <c r="F32" s="37" t="n">
        <v>1</v>
      </c>
      <c r="G32" s="37" t="n">
        <v>1</v>
      </c>
      <c r="H32" s="37" t="n">
        <v>3</v>
      </c>
      <c r="I32" s="37" t="n">
        <v>4</v>
      </c>
      <c r="J32" s="37" t="n">
        <v>1</v>
      </c>
      <c r="K32" s="37" t="n">
        <v>13</v>
      </c>
      <c r="L32" s="37" t="n">
        <v>4</v>
      </c>
      <c r="M32" s="37" t="n">
        <v>5</v>
      </c>
      <c r="N32" s="37" t="n">
        <v>5</v>
      </c>
      <c r="O32" s="37" t="n">
        <v>4</v>
      </c>
      <c r="P32" s="37" t="n">
        <v>2</v>
      </c>
      <c r="Q32" s="37" t="inlineStr">
        <is>
          <t>1)Identified process gap and trained team on Process 2) Qulaity Placement is a concern so guided team to share aspirant wise placement plan 3) Conducted session with Aspirants and cleared them on importance of Skillify courses and Refferal policy 4) AH session and Mock Interview found missing- Will track the same 5) In present batch it was found around 14 candidate are not regular and alligned-Attendance found poor- Removed all unserious candidate and discussed and guided team on Counselling process</t>
        </is>
      </c>
      <c r="R32" s="37" t="inlineStr">
        <is>
          <t>1) Every week discussion and Plan on unplaced candidate shall be done with Bareilly Team 2) Will arrange a Personal counselling on relocation to Delhi/Noida will do</t>
        </is>
      </c>
      <c r="S32" s="37" t="inlineStr">
        <is>
          <t>Batch start is not a challenge huge dropout/removal has been a challenge - So I will personally monitor Day 1 report and if needed 1 to 1 interaction with Aspirant in next Batch</t>
        </is>
      </c>
      <c r="T32" s="37">
        <f>IF(AND(OR(Dashboard!$B$5="All Managers",A32=Dashboard!$B$5),OR(Dashboard!$E$5="All Centres",B32=Dashboard!$E$5)),1,0)</f>
        <v/>
      </c>
      <c r="U32" s="37">
        <f>IF(T32=1,COUNTIF($T$2:T32,1),"")</f>
        <v/>
      </c>
    </row>
    <row r="33">
      <c r="A33" s="37" t="inlineStr">
        <is>
          <t>Barna</t>
        </is>
      </c>
      <c r="B33" s="37" t="inlineStr">
        <is>
          <t>Narmada Nagar Bilaspur</t>
        </is>
      </c>
      <c r="C33" s="37" t="inlineStr">
        <is>
          <t>Youth Accenture</t>
        </is>
      </c>
      <c r="D33" s="37" t="inlineStr">
        <is>
          <t>2026-07-16</t>
        </is>
      </c>
      <c r="E33" s="37" t="n">
        <v>7</v>
      </c>
      <c r="F33" s="37" t="n">
        <v>0</v>
      </c>
      <c r="G33" s="37" t="n">
        <v>1</v>
      </c>
      <c r="H33" s="37" t="n">
        <v>5</v>
      </c>
      <c r="I33" s="37" t="n">
        <v>2</v>
      </c>
      <c r="J33" s="37" t="n">
        <v>1</v>
      </c>
      <c r="K33" s="37" t="n">
        <v>9</v>
      </c>
      <c r="L33" s="37" t="n">
        <v>7</v>
      </c>
      <c r="M33" s="37" t="n">
        <v>6</v>
      </c>
      <c r="N33" s="37" t="n">
        <v>9</v>
      </c>
      <c r="O33" s="37" t="n">
        <v>0</v>
      </c>
      <c r="P33" s="37" t="n">
        <v>2</v>
      </c>
      <c r="Q33" s="37" t="inlineStr">
        <is>
          <t>Discussed on all the old NA cases</t>
        </is>
      </c>
      <c r="R33" s="37" t="inlineStr">
        <is>
          <t>Provided Leads for the placements</t>
        </is>
      </c>
      <c r="S33" s="37" t="inlineStr">
        <is>
          <t xml:space="preserve">Share and discussed the Weekly outreach sheet and ensure that all the mentioned activities must be implemented as per the plan. </t>
        </is>
      </c>
      <c r="T33" s="37">
        <f>IF(AND(OR(Dashboard!$B$5="All Managers",A33=Dashboard!$B$5),OR(Dashboard!$E$5="All Centres",B33=Dashboard!$E$5)),1,0)</f>
        <v/>
      </c>
      <c r="U33" s="37">
        <f>IF(T33=1,COUNTIF($T$2:T33,1),"")</f>
        <v/>
      </c>
    </row>
    <row r="34">
      <c r="A34" s="37" t="inlineStr">
        <is>
          <t>Amit Chakraborty</t>
        </is>
      </c>
      <c r="B34" s="37" t="inlineStr">
        <is>
          <t>Baccha Park</t>
        </is>
      </c>
      <c r="C34" s="37" t="inlineStr">
        <is>
          <t>GROW Youth-Accenture</t>
        </is>
      </c>
      <c r="D34" s="37" t="inlineStr">
        <is>
          <t>2026-07-16</t>
        </is>
      </c>
      <c r="E34" s="37" t="n">
        <v>6</v>
      </c>
      <c r="F34" s="37" t="n">
        <v>0</v>
      </c>
      <c r="G34" s="37" t="n">
        <v>2</v>
      </c>
      <c r="H34" s="37" t="n">
        <v>4</v>
      </c>
      <c r="I34" s="37" t="n">
        <v>3</v>
      </c>
      <c r="J34" s="37" t="n">
        <v>1</v>
      </c>
      <c r="K34" s="37" t="n">
        <v>15</v>
      </c>
      <c r="L34" s="37" t="n">
        <v>2</v>
      </c>
      <c r="M34" s="37" t="n">
        <v>5</v>
      </c>
      <c r="N34" s="37" t="n">
        <v>9</v>
      </c>
      <c r="O34" s="37" t="n">
        <v>0</v>
      </c>
      <c r="P34" s="37" t="n">
        <v>2</v>
      </c>
      <c r="Q34" s="37" t="inlineStr">
        <is>
          <t>No major challenge observed in Centre. I conducted a session of Batch 88 on explaining Local and Out location opportunities in Meerut and around and benefit of joining Quality Organization</t>
        </is>
      </c>
      <c r="R34" s="37" t="inlineStr">
        <is>
          <t>Local placement opportunities continue to be a challenge in the region. To address this, I have already shared available job opportunities from Digitide and Tech Mahindra with the centre team. I will conduct an awareness and counselling session with the aspirants to help them understand the benefits of relocation, including better career prospects, higher employability, and long-term career growth. This will encourage greater willingness among aspirants to explore opportunities outside their local area</t>
        </is>
      </c>
      <c r="S34" s="37" t="inlineStr">
        <is>
          <t>All is well</t>
        </is>
      </c>
      <c r="T34" s="37">
        <f>IF(AND(OR(Dashboard!$B$5="All Managers",A34=Dashboard!$B$5),OR(Dashboard!$E$5="All Centres",B34=Dashboard!$E$5)),1,0)</f>
        <v/>
      </c>
      <c r="U34" s="37">
        <f>IF(T34=1,COUNTIF($T$2:T34,1),"")</f>
        <v/>
      </c>
    </row>
    <row r="35">
      <c r="A35" s="37" t="inlineStr">
        <is>
          <t>Barna</t>
        </is>
      </c>
      <c r="B35" s="37" t="inlineStr">
        <is>
          <t>Lakhe Nagar Raipur</t>
        </is>
      </c>
      <c r="C35" s="37" t="inlineStr">
        <is>
          <t>Youth Accenture</t>
        </is>
      </c>
      <c r="D35" s="37" t="inlineStr">
        <is>
          <t>2026-07-14</t>
        </is>
      </c>
      <c r="E35" s="37" t="n">
        <v>5</v>
      </c>
      <c r="F35" s="37" t="n">
        <v>2</v>
      </c>
      <c r="G35" s="37" t="n">
        <v>1</v>
      </c>
      <c r="H35" s="37" t="n">
        <v>6</v>
      </c>
      <c r="I35" s="37" t="n">
        <v>1</v>
      </c>
      <c r="J35" s="37" t="n">
        <v>1</v>
      </c>
      <c r="K35" s="37" t="n">
        <v>9</v>
      </c>
      <c r="L35" s="37" t="n">
        <v>7</v>
      </c>
      <c r="M35" s="37" t="n">
        <v>6</v>
      </c>
      <c r="N35" s="37" t="n">
        <v>10</v>
      </c>
      <c r="O35" s="37" t="n">
        <v>0</v>
      </c>
      <c r="P35" s="37" t="n">
        <v>1</v>
      </c>
      <c r="Q35" s="37" t="inlineStr">
        <is>
          <t>Ensuring CA should collect the 10th Class marksheet for DOB. Team is collecting only last higher education proofs.</t>
        </is>
      </c>
      <c r="R35" s="37" t="inlineStr">
        <is>
          <t xml:space="preserve">Ensuring daily 8-10 interviews must be scheduled for both the programs. Also Shared employer connect lead  </t>
        </is>
      </c>
      <c r="S35" s="37" t="inlineStr">
        <is>
          <t>The team is facing challenges in conducting online outreach. We discussed and planned the outreach strategy, and explained how they should carry forward the outreach activities to ensure timely batch starts.</t>
        </is>
      </c>
      <c r="T35" s="37">
        <f>IF(AND(OR(Dashboard!$B$5="All Managers",A35=Dashboard!$B$5),OR(Dashboard!$E$5="All Centres",B35=Dashboard!$E$5)),1,0)</f>
        <v/>
      </c>
      <c r="U35" s="37">
        <f>IF(T35=1,COUNTIF($T$2:T35,1),"")</f>
        <v/>
      </c>
    </row>
    <row r="36">
      <c r="A36" s="37" t="inlineStr">
        <is>
          <t>Mahaboob Basha</t>
        </is>
      </c>
      <c r="B36" s="37" t="inlineStr">
        <is>
          <t>Coimbatore</t>
        </is>
      </c>
      <c r="C36" s="37" t="inlineStr">
        <is>
          <t>GROW-Youth-CITI</t>
        </is>
      </c>
      <c r="D36" s="37" t="inlineStr">
        <is>
          <t>2026-07-17</t>
        </is>
      </c>
      <c r="E36" s="37" t="n">
        <v>3</v>
      </c>
      <c r="F36" s="37" t="n">
        <v>4</v>
      </c>
      <c r="G36" s="37" t="n">
        <v>1</v>
      </c>
      <c r="H36" s="37" t="n">
        <v>7</v>
      </c>
      <c r="I36" s="37" t="n">
        <v>0</v>
      </c>
      <c r="J36" s="37" t="n">
        <v>1</v>
      </c>
      <c r="K36" s="37" t="n">
        <v>15</v>
      </c>
      <c r="L36" s="37" t="n">
        <v>1</v>
      </c>
      <c r="M36" s="37" t="n">
        <v>6</v>
      </c>
      <c r="N36" s="37" t="n">
        <v>10</v>
      </c>
      <c r="O36" s="37" t="n">
        <v>0</v>
      </c>
      <c r="P36" s="37" t="n">
        <v>1</v>
      </c>
      <c r="Q36" s="37" t="inlineStr">
        <is>
          <t xml:space="preserve">Met 2 employer at their place with AH, Found some gap in registration form, Check list  and corrected </t>
        </is>
      </c>
      <c r="R36" s="37" t="inlineStr">
        <is>
          <t>Connect with the employer and set the aspirant mindset on day 1</t>
        </is>
      </c>
      <c r="S36" s="37" t="inlineStr">
        <is>
          <t xml:space="preserve">Connect with community </t>
        </is>
      </c>
      <c r="T36" s="37">
        <f>IF(AND(OR(Dashboard!$B$5="All Managers",A36=Dashboard!$B$5),OR(Dashboard!$E$5="All Centres",B36=Dashboard!$E$5)),1,0)</f>
        <v/>
      </c>
      <c r="U36" s="37">
        <f>IF(T36=1,COUNTIF($T$2:T36,1),"")</f>
        <v/>
      </c>
    </row>
    <row r="37">
      <c r="A37" s="37" t="inlineStr">
        <is>
          <t>Gagandeep Singh Sachar</t>
        </is>
      </c>
      <c r="B37" s="37" t="inlineStr">
        <is>
          <t xml:space="preserve">Pune Green </t>
        </is>
      </c>
      <c r="C37" s="37" t="inlineStr">
        <is>
          <t>Grow Green</t>
        </is>
      </c>
      <c r="D37" s="37" t="inlineStr">
        <is>
          <t>2026-07-17</t>
        </is>
      </c>
      <c r="E37" s="37" t="n">
        <v>4</v>
      </c>
      <c r="F37" s="37" t="n">
        <v>1</v>
      </c>
      <c r="G37" s="37" t="n">
        <v>3</v>
      </c>
      <c r="H37" s="37" t="n">
        <v>5</v>
      </c>
      <c r="I37" s="37" t="n">
        <v>2</v>
      </c>
      <c r="J37" s="37" t="n">
        <v>1</v>
      </c>
      <c r="K37" s="37" t="n">
        <v>7</v>
      </c>
      <c r="L37" s="37" t="n">
        <v>4</v>
      </c>
      <c r="M37" s="37" t="n">
        <v>11</v>
      </c>
      <c r="N37" s="37" t="n">
        <v>6</v>
      </c>
      <c r="O37" s="37" t="n">
        <v>4</v>
      </c>
      <c r="P37" s="37" t="n">
        <v>1</v>
      </c>
      <c r="Q37" s="37" t="inlineStr">
        <is>
          <t>Infra Readiness mail and discussion done with abhishek, Discuss with hostel vendor to proper quality service</t>
        </is>
      </c>
      <c r="R37" s="37" t="inlineStr">
        <is>
          <t xml:space="preserve">EC - Need to improve and will share 2 EC lead generated today </t>
        </is>
      </c>
      <c r="S37" s="37" t="inlineStr">
        <is>
          <t xml:space="preserve">We have discuss different mobilization strategies and we agreed to focus entirely on ITI, Diploma and polytechnical </t>
        </is>
      </c>
      <c r="T37" s="37">
        <f>IF(AND(OR(Dashboard!$B$5="All Managers",A37=Dashboard!$B$5),OR(Dashboard!$E$5="All Centres",B37=Dashboard!$E$5)),1,0)</f>
        <v/>
      </c>
      <c r="U37" s="37">
        <f>IF(T37=1,COUNTIF($T$2:T37,1),"")</f>
        <v/>
      </c>
    </row>
    <row r="38">
      <c r="A38" s="37" t="inlineStr">
        <is>
          <t>Gagandeep Singh Sachar</t>
        </is>
      </c>
      <c r="B38" s="37" t="inlineStr">
        <is>
          <t>Bund Garden Pune</t>
        </is>
      </c>
      <c r="C38" s="37" t="inlineStr">
        <is>
          <t>GROW</t>
        </is>
      </c>
      <c r="D38" s="37" t="inlineStr">
        <is>
          <t>2026-07-18</t>
        </is>
      </c>
      <c r="E38" s="37" t="n">
        <v>7</v>
      </c>
      <c r="F38" s="37" t="n">
        <v>0</v>
      </c>
      <c r="G38" s="37" t="n">
        <v>1</v>
      </c>
      <c r="H38" s="37" t="n">
        <v>4</v>
      </c>
      <c r="I38" s="37" t="n">
        <v>2</v>
      </c>
      <c r="J38" s="37" t="n">
        <v>2</v>
      </c>
      <c r="K38" s="37" t="n">
        <v>14</v>
      </c>
      <c r="L38" s="37" t="n">
        <v>2</v>
      </c>
      <c r="M38" s="37" t="n">
        <v>6</v>
      </c>
      <c r="N38" s="37" t="n">
        <v>9</v>
      </c>
      <c r="O38" s="37" t="n">
        <v>1</v>
      </c>
      <c r="P38" s="37" t="n">
        <v>1</v>
      </c>
      <c r="Q38" s="37" t="inlineStr">
        <is>
          <t>Training to both new CA and make them understand about outreach and mobilization, Discussion on process</t>
        </is>
      </c>
      <c r="R38" s="37" t="inlineStr">
        <is>
          <t>Need to support in EC and also discuss 1-1 aspirants</t>
        </is>
      </c>
      <c r="S38" s="37" t="inlineStr">
        <is>
          <t xml:space="preserve">Training Give to CA and importance of Right candidate </t>
        </is>
      </c>
      <c r="T38" s="37">
        <f>IF(AND(OR(Dashboard!$B$5="All Managers",A38=Dashboard!$B$5),OR(Dashboard!$E$5="All Centres",B38=Dashboard!$E$5)),1,0)</f>
        <v/>
      </c>
      <c r="U38" s="37">
        <f>IF(T38=1,COUNTIF($T$2:T38,1),"")</f>
        <v/>
      </c>
    </row>
    <row r="39">
      <c r="A39" s="37" t="inlineStr">
        <is>
          <t>Gagandeep Singh Sachar</t>
        </is>
      </c>
      <c r="B39" s="37" t="inlineStr">
        <is>
          <t>Jogeshwari</t>
        </is>
      </c>
      <c r="C39" s="37" t="inlineStr">
        <is>
          <t>GROW</t>
        </is>
      </c>
      <c r="D39" s="37" t="inlineStr">
        <is>
          <t>2026-07-20</t>
        </is>
      </c>
      <c r="E39" s="37" t="n">
        <v>5</v>
      </c>
      <c r="F39" s="37" t="n">
        <v>2</v>
      </c>
      <c r="G39" s="37" t="n">
        <v>1</v>
      </c>
      <c r="H39" s="37" t="n">
        <v>7</v>
      </c>
      <c r="I39" s="37" t="n">
        <v>0</v>
      </c>
      <c r="J39" s="37" t="n">
        <v>1</v>
      </c>
      <c r="K39" s="37" t="n">
        <v>11</v>
      </c>
      <c r="L39" s="37" t="n">
        <v>5</v>
      </c>
      <c r="M39" s="37" t="n">
        <v>6</v>
      </c>
      <c r="N39" s="37" t="n">
        <v>7</v>
      </c>
      <c r="O39" s="37" t="n">
        <v>3</v>
      </c>
      <c r="P39" s="37" t="n">
        <v>1</v>
      </c>
      <c r="Q39" s="37" t="inlineStr">
        <is>
          <t xml:space="preserve">NA Cases - Discuss with Sarita and 7 (5+2) got clear </t>
        </is>
      </c>
      <c r="R39" s="37" t="inlineStr">
        <is>
          <t>Unplaced - Discussion done - 1-1</t>
        </is>
      </c>
      <c r="S39" s="37" t="inlineStr">
        <is>
          <t xml:space="preserve">Data purchase with Job Hai to be plan and Nikita </t>
        </is>
      </c>
      <c r="T39" s="37">
        <f>IF(AND(OR(Dashboard!$B$5="All Managers",A39=Dashboard!$B$5),OR(Dashboard!$E$5="All Centres",B39=Dashboard!$E$5)),1,0)</f>
        <v/>
      </c>
      <c r="U39" s="37">
        <f>IF(T39=1,COUNTIF($T$2:T39,1),"")</f>
        <v/>
      </c>
    </row>
    <row r="40">
      <c r="A40" s="37" t="inlineStr">
        <is>
          <t>Gagandeep Singh Sachar</t>
        </is>
      </c>
      <c r="B40" s="37" t="inlineStr">
        <is>
          <t>Belapur</t>
        </is>
      </c>
      <c r="C40" s="37" t="inlineStr">
        <is>
          <t>GROW</t>
        </is>
      </c>
      <c r="D40" s="37" t="inlineStr">
        <is>
          <t>2026-07-21</t>
        </is>
      </c>
      <c r="E40" s="37" t="n">
        <v>2</v>
      </c>
      <c r="F40" s="37" t="n">
        <v>5</v>
      </c>
      <c r="G40" s="37" t="n">
        <v>1</v>
      </c>
      <c r="H40" s="37" t="n">
        <v>6</v>
      </c>
      <c r="I40" s="37" t="n">
        <v>1</v>
      </c>
      <c r="J40" s="37" t="n">
        <v>1</v>
      </c>
      <c r="K40" s="37" t="n">
        <v>11</v>
      </c>
      <c r="L40" s="37" t="n">
        <v>6</v>
      </c>
      <c r="M40" s="37" t="n">
        <v>5</v>
      </c>
      <c r="N40" s="37" t="n">
        <v>10</v>
      </c>
      <c r="O40" s="37" t="n">
        <v>0</v>
      </c>
      <c r="P40" s="37" t="n">
        <v>1</v>
      </c>
      <c r="Q40" s="37" t="inlineStr">
        <is>
          <t xml:space="preserve">Process Training  and CA Transfer to be done, NA Case to be clear </t>
        </is>
      </c>
      <c r="R40" s="37" t="inlineStr">
        <is>
          <t xml:space="preserve">We need to give timely placement and need to monitor aspirants batch wise </t>
        </is>
      </c>
      <c r="S40" s="37" t="inlineStr">
        <is>
          <t>CA Transfer and Training, Guided CA on focusing on right candidate</t>
        </is>
      </c>
      <c r="T40" s="37">
        <f>IF(AND(OR(Dashboard!$B$5="All Managers",A40=Dashboard!$B$5),OR(Dashboard!$E$5="All Centres",B40=Dashboard!$E$5)),1,0)</f>
        <v/>
      </c>
      <c r="U40" s="37">
        <f>IF(T40=1,COUNTIF($T$2:T40,1),"")</f>
        <v/>
      </c>
    </row>
    <row r="41">
      <c r="A41" s="37" t="inlineStr">
        <is>
          <t>Amit Chakraborty</t>
        </is>
      </c>
      <c r="B41" s="37" t="inlineStr">
        <is>
          <t>Ghaziabad</t>
        </is>
      </c>
      <c r="C41" s="37" t="inlineStr">
        <is>
          <t>GROW Youth-CITI</t>
        </is>
      </c>
      <c r="D41" s="37" t="inlineStr">
        <is>
          <t>2026-07-17</t>
        </is>
      </c>
      <c r="E41" s="37" t="n">
        <v>3</v>
      </c>
      <c r="F41" s="37" t="n">
        <v>4</v>
      </c>
      <c r="G41" s="37" t="n">
        <v>1</v>
      </c>
      <c r="H41" s="37" t="n">
        <v>6</v>
      </c>
      <c r="I41" s="37" t="n">
        <v>1</v>
      </c>
      <c r="J41" s="37" t="n">
        <v>1</v>
      </c>
      <c r="K41" s="37" t="n">
        <v>10</v>
      </c>
      <c r="L41" s="37" t="n">
        <v>6</v>
      </c>
      <c r="M41" s="37" t="n">
        <v>6</v>
      </c>
      <c r="N41" s="37" t="n">
        <v>7</v>
      </c>
      <c r="O41" s="37" t="n">
        <v>2</v>
      </c>
      <c r="P41" s="37" t="n">
        <v>2</v>
      </c>
      <c r="Q41" s="37" t="inlineStr">
        <is>
          <t xml:space="preserve">1) CA interview and Finalization 2) Placement Discrepancy found during Placement verification 3) AH Disciplinary issue observed -Action Point for SM is to first find a quality CV of AH for Centre and Initiate disciplinary action on AH for above points post thorough verification </t>
        </is>
      </c>
      <c r="R41" s="37" t="inlineStr">
        <is>
          <t xml:space="preserve">I need to connect more Employer to support Team and keep reverifying Placement veracity on every visit </t>
        </is>
      </c>
      <c r="S41" s="37" t="inlineStr">
        <is>
          <t>CA Hiring on immediate note</t>
        </is>
      </c>
      <c r="T41" s="37">
        <f>IF(AND(OR(Dashboard!$B$5="All Managers",A41=Dashboard!$B$5),OR(Dashboard!$E$5="All Centres",B41=Dashboard!$E$5)),1,0)</f>
        <v/>
      </c>
      <c r="U41" s="37">
        <f>IF(T41=1,COUNTIF($T$2:T41,1),"")</f>
        <v/>
      </c>
    </row>
    <row r="42">
      <c r="A42" s="37" t="inlineStr">
        <is>
          <t>Sanjay Kumar Tarai</t>
        </is>
      </c>
      <c r="B42" s="37" t="inlineStr">
        <is>
          <t>Baramunda(Bhubaneswar)</t>
        </is>
      </c>
      <c r="C42" s="37" t="inlineStr">
        <is>
          <t>GROW-Youth</t>
        </is>
      </c>
      <c r="D42" s="37" t="inlineStr">
        <is>
          <t>2026-07-22</t>
        </is>
      </c>
      <c r="E42" s="37" t="n">
        <v>4</v>
      </c>
      <c r="F42" s="37" t="n">
        <v>3</v>
      </c>
      <c r="G42" s="37" t="n">
        <v>1</v>
      </c>
      <c r="H42" s="37" t="n">
        <v>4</v>
      </c>
      <c r="I42" s="37" t="n">
        <v>3</v>
      </c>
      <c r="J42" s="37" t="n">
        <v>1</v>
      </c>
      <c r="K42" s="37" t="n">
        <v>11</v>
      </c>
      <c r="L42" s="37" t="n">
        <v>6</v>
      </c>
      <c r="M42" s="37" t="n">
        <v>5</v>
      </c>
      <c r="N42" s="37" t="n">
        <v>9</v>
      </c>
      <c r="O42" s="37" t="n">
        <v>0</v>
      </c>
      <c r="P42" s="37" t="n">
        <v>2</v>
      </c>
      <c r="Q42" s="37" t="inlineStr">
        <is>
          <t>Resolved the lack of ownership and process compliance by reviewing the critical observations with the Centre team, assigning clear action points with timelines, and aligning the team on immediate corrective measures to improve centre operations and readiness.</t>
        </is>
      </c>
      <c r="R42" s="37" t="inlineStr">
        <is>
          <t>Support the centre in strengthening employer engagement by reviewing the placement pipeline, identifying placement-ready candidates, coaching the team on candidate tracking and interview preparation, and facilitating connections with relevant employers to improve placement outcomes.</t>
        </is>
      </c>
      <c r="S42" s="37" t="inlineStr">
        <is>
          <t>Conduct weekly enrolment reviews with the Area Head, closely monitor the counselling-to-enrolment conversion pipeline, and provide timely handholding on mobilization planning so that the required batch strength is achieved before the scheduled start date.</t>
        </is>
      </c>
      <c r="T42" s="37">
        <f>IF(AND(OR(Dashboard!$B$5="All Managers",A42=Dashboard!$B$5),OR(Dashboard!$E$5="All Centres",B42=Dashboard!$E$5)),1,0)</f>
        <v/>
      </c>
      <c r="U42" s="37">
        <f>IF(T42=1,COUNTIF($T$2:T42,1),"")</f>
        <v/>
      </c>
    </row>
    <row r="43">
      <c r="A43" s="37" t="inlineStr">
        <is>
          <t>Amit Chakraborty</t>
        </is>
      </c>
      <c r="B43" s="37" t="inlineStr">
        <is>
          <t>Dankuni</t>
        </is>
      </c>
      <c r="C43" s="37" t="inlineStr">
        <is>
          <t>Grow Youth-CITI</t>
        </is>
      </c>
      <c r="D43" s="37" t="inlineStr">
        <is>
          <t>2026-07-21</t>
        </is>
      </c>
      <c r="E43" s="37" t="n">
        <v>6</v>
      </c>
      <c r="F43" s="37" t="n">
        <v>0</v>
      </c>
      <c r="G43" s="37" t="n">
        <v>2</v>
      </c>
      <c r="H43" s="37" t="n">
        <v>6</v>
      </c>
      <c r="I43" s="37" t="n">
        <v>1</v>
      </c>
      <c r="J43" s="37" t="n">
        <v>1</v>
      </c>
      <c r="K43" s="37" t="n">
        <v>16</v>
      </c>
      <c r="L43" s="37" t="n">
        <v>1</v>
      </c>
      <c r="M43" s="37" t="n">
        <v>5</v>
      </c>
      <c r="N43" s="37" t="n">
        <v>9</v>
      </c>
      <c r="O43" s="37" t="n">
        <v>0</v>
      </c>
      <c r="P43" s="37" t="n">
        <v>2</v>
      </c>
      <c r="Q43" s="37" t="inlineStr">
        <is>
          <t>7 NA was cleared and discussed on Plan to clear NA by next 1 week</t>
        </is>
      </c>
      <c r="R43" s="37" t="inlineStr">
        <is>
          <t>NA clearance is one most priority for Dankuni centre</t>
        </is>
      </c>
      <c r="S43" s="37" t="inlineStr">
        <is>
          <t>All is well and Batches are starting on time</t>
        </is>
      </c>
      <c r="T43" s="37">
        <f>IF(AND(OR(Dashboard!$B$5="All Managers",A43=Dashboard!$B$5),OR(Dashboard!$E$5="All Centres",B43=Dashboard!$E$5)),1,0)</f>
        <v/>
      </c>
      <c r="U43" s="37">
        <f>IF(T43=1,COUNTIF($T$2:T43,1),"")</f>
        <v/>
      </c>
    </row>
    <row r="44">
      <c r="A44" s="37" t="inlineStr">
        <is>
          <t>Bhargav Challa</t>
        </is>
      </c>
      <c r="B44" s="37" t="inlineStr">
        <is>
          <t>Nalgonda</t>
        </is>
      </c>
      <c r="C44" s="37" t="inlineStr">
        <is>
          <t>Grow Youth</t>
        </is>
      </c>
      <c r="D44" s="37" t="inlineStr">
        <is>
          <t>2026-07-20</t>
        </is>
      </c>
      <c r="E44" s="37" t="n">
        <v>7</v>
      </c>
      <c r="F44" s="37" t="n">
        <v>0</v>
      </c>
      <c r="G44" s="37" t="n">
        <v>1</v>
      </c>
      <c r="H44" s="37" t="n">
        <v>5</v>
      </c>
      <c r="I44" s="37" t="n">
        <v>2</v>
      </c>
      <c r="J44" s="37" t="n">
        <v>1</v>
      </c>
      <c r="K44" s="37" t="n">
        <v>16</v>
      </c>
      <c r="L44" s="37" t="n">
        <v>1</v>
      </c>
      <c r="M44" s="37" t="n">
        <v>5</v>
      </c>
      <c r="N44" s="37" t="n">
        <v>7</v>
      </c>
      <c r="O44" s="37" t="n">
        <v>2</v>
      </c>
      <c r="P44" s="37" t="n">
        <v>2</v>
      </c>
      <c r="Q44" s="37" t="n">
        <v/>
      </c>
      <c r="R44" s="37" t="n">
        <v/>
      </c>
      <c r="S44" s="37" t="n">
        <v/>
      </c>
      <c r="T44" s="37">
        <f>IF(AND(OR(Dashboard!$B$5="All Managers",A44=Dashboard!$B$5),OR(Dashboard!$E$5="All Centres",B44=Dashboard!$E$5)),1,0)</f>
        <v/>
      </c>
      <c r="U44" s="37">
        <f>IF(T44=1,COUNTIF($T$2:T44,1),"")</f>
        <v/>
      </c>
    </row>
    <row r="45">
      <c r="A45" s="37" t="inlineStr">
        <is>
          <t>Bhargav Challa</t>
        </is>
      </c>
      <c r="B45" s="37" t="inlineStr">
        <is>
          <t>Secunderabad</t>
        </is>
      </c>
      <c r="C45" s="37" t="inlineStr">
        <is>
          <t>Youth</t>
        </is>
      </c>
      <c r="D45" s="37" t="inlineStr">
        <is>
          <t>2026-07-21</t>
        </is>
      </c>
      <c r="E45" s="37" t="n">
        <v>5</v>
      </c>
      <c r="F45" s="37" t="n">
        <v>2</v>
      </c>
      <c r="G45" s="37" t="n">
        <v>1</v>
      </c>
      <c r="H45" s="37" t="n">
        <v>7</v>
      </c>
      <c r="I45" s="37" t="n">
        <v>0</v>
      </c>
      <c r="J45" s="37" t="n">
        <v>1</v>
      </c>
      <c r="K45" s="37" t="n">
        <v>15</v>
      </c>
      <c r="L45" s="37" t="n">
        <v>3</v>
      </c>
      <c r="M45" s="37" t="n">
        <v>4</v>
      </c>
      <c r="N45" s="37" t="n">
        <v>8</v>
      </c>
      <c r="O45" s="37" t="n">
        <v>1</v>
      </c>
      <c r="P45" s="37" t="n">
        <v>2</v>
      </c>
      <c r="Q45" s="37" t="n">
        <v/>
      </c>
      <c r="R45" s="37" t="inlineStr">
        <is>
          <t>*Have worked on the placement plan and mapping of aspirants for interviews from the April batch
*Spoke to the survelliance company to clear NA cases given the issues in the offer letter</t>
        </is>
      </c>
      <c r="S45" s="37" t="inlineStr">
        <is>
          <t>*Supporting the Centre team in hiring of the CA and sourcing of profiles is in process</t>
        </is>
      </c>
      <c r="T45" s="37">
        <f>IF(AND(OR(Dashboard!$B$5="All Managers",A45=Dashboard!$B$5),OR(Dashboard!$E$5="All Centres",B45=Dashboard!$E$5)),1,0)</f>
        <v/>
      </c>
      <c r="U45" s="37">
        <f>IF(T45=1,COUNTIF($T$2:T45,1),"")</f>
        <v/>
      </c>
    </row>
    <row r="46">
      <c r="A46" s="37" t="inlineStr">
        <is>
          <t>Raghavender Rao</t>
        </is>
      </c>
      <c r="B46" s="37" t="inlineStr">
        <is>
          <t>Tech jobs-Miyapur</t>
        </is>
      </c>
      <c r="C46" s="37" t="inlineStr">
        <is>
          <t>Tech jobs</t>
        </is>
      </c>
      <c r="D46" s="37" t="inlineStr">
        <is>
          <t>2026-07-22</t>
        </is>
      </c>
      <c r="E46" s="37" t="n">
        <v>7</v>
      </c>
      <c r="F46" s="37" t="n">
        <v>0</v>
      </c>
      <c r="G46" s="37" t="n">
        <v>1</v>
      </c>
      <c r="H46" s="37" t="n">
        <v>6</v>
      </c>
      <c r="I46" s="37" t="n">
        <v>0</v>
      </c>
      <c r="J46" s="37" t="n">
        <v>2</v>
      </c>
      <c r="K46" s="37" t="n">
        <v>18</v>
      </c>
      <c r="L46" s="37" t="n">
        <v>1</v>
      </c>
      <c r="M46" s="37" t="n">
        <v>3</v>
      </c>
      <c r="N46" s="37" t="n">
        <v>8</v>
      </c>
      <c r="O46" s="37" t="n">
        <v>1</v>
      </c>
      <c r="P46" s="37" t="n">
        <v>2</v>
      </c>
      <c r="Q46" s="37" t="inlineStr">
        <is>
          <t>More focus on employer connect instead of cold calling</t>
        </is>
      </c>
      <c r="R46" s="37" t="inlineStr">
        <is>
          <t xml:space="preserve">More focus on startups </t>
        </is>
      </c>
      <c r="S46" s="37" t="inlineStr">
        <is>
          <t>Here mobilization is not a challenge, major  challenge is righ  candidate selection&amp; Pre assesment score</t>
        </is>
      </c>
      <c r="T46" s="37">
        <f>IF(AND(OR(Dashboard!$B$5="All Managers",A46=Dashboard!$B$5),OR(Dashboard!$E$5="All Centres",B46=Dashboard!$E$5)),1,0)</f>
        <v/>
      </c>
      <c r="U46" s="37">
        <f>IF(T46=1,COUNTIF($T$2:T46,1),"")</f>
        <v/>
      </c>
    </row>
    <row r="47">
      <c r="A47" s="37" t="inlineStr">
        <is>
          <t>Barna</t>
        </is>
      </c>
      <c r="B47" s="37" t="inlineStr">
        <is>
          <t>Shanti Nagar Raipur CITI</t>
        </is>
      </c>
      <c r="C47" s="37" t="inlineStr">
        <is>
          <t>Youth</t>
        </is>
      </c>
      <c r="D47" s="37" t="inlineStr">
        <is>
          <t>2026-07-17</t>
        </is>
      </c>
      <c r="E47" s="37" t="n">
        <v>6</v>
      </c>
      <c r="F47" s="37" t="n">
        <v>1</v>
      </c>
      <c r="G47" s="37" t="n">
        <v>1</v>
      </c>
      <c r="H47" s="37" t="n">
        <v>6</v>
      </c>
      <c r="I47" s="37" t="n">
        <v>1</v>
      </c>
      <c r="J47" s="37" t="n">
        <v>1</v>
      </c>
      <c r="K47" s="37" t="n">
        <v>15</v>
      </c>
      <c r="L47" s="37" t="n">
        <v>3</v>
      </c>
      <c r="M47" s="37" t="n">
        <v>4</v>
      </c>
      <c r="N47" s="37" t="n">
        <v>9</v>
      </c>
      <c r="O47" s="37" t="n">
        <v>0</v>
      </c>
      <c r="P47" s="37" t="n">
        <v>2</v>
      </c>
      <c r="Q47" s="37" t="inlineStr">
        <is>
          <t>Team meeting register not found at center guided team to request for the same</t>
        </is>
      </c>
      <c r="R47" s="37" t="inlineStr">
        <is>
          <t>Leads provided for Kalyan Jwellers, zudio and Quess corp (Grahak Mitra)</t>
        </is>
      </c>
      <c r="S47" s="37" t="inlineStr">
        <is>
          <t>Shared a list of outreach activity to get maximum footfalls at center.</t>
        </is>
      </c>
      <c r="T47" s="37">
        <f>IF(AND(OR(Dashboard!$B$5="All Managers",A47=Dashboard!$B$5),OR(Dashboard!$E$5="All Centres",B47=Dashboard!$E$5)),1,0)</f>
        <v/>
      </c>
      <c r="U47" s="37">
        <f>IF(T47=1,COUNTIF($T$2:T47,1),"")</f>
        <v/>
      </c>
    </row>
    <row r="48">
      <c r="A48" s="37" t="inlineStr">
        <is>
          <t>Barna</t>
        </is>
      </c>
      <c r="B48" s="37" t="inlineStr">
        <is>
          <t>Nanda Nagar center</t>
        </is>
      </c>
      <c r="C48" s="37" t="inlineStr">
        <is>
          <t>Youth</t>
        </is>
      </c>
      <c r="D48" s="37" t="inlineStr">
        <is>
          <t>2026-07-20</t>
        </is>
      </c>
      <c r="E48" s="37" t="n">
        <v>7</v>
      </c>
      <c r="F48" s="37" t="n">
        <v>0</v>
      </c>
      <c r="G48" s="37" t="n">
        <v>1</v>
      </c>
      <c r="H48" s="37" t="n">
        <v>6</v>
      </c>
      <c r="I48" s="37" t="n">
        <v>1</v>
      </c>
      <c r="J48" s="37" t="n">
        <v>1</v>
      </c>
      <c r="K48" s="37" t="n">
        <v>14</v>
      </c>
      <c r="L48" s="37" t="n">
        <v>2</v>
      </c>
      <c r="M48" s="37" t="n">
        <v>6</v>
      </c>
      <c r="N48" s="37" t="n">
        <v>9</v>
      </c>
      <c r="O48" s="37" t="n">
        <v>0</v>
      </c>
      <c r="P48" s="37" t="n">
        <v>2</v>
      </c>
      <c r="Q48" s="37" t="inlineStr">
        <is>
          <t>discussion done on NA cases for all the center</t>
        </is>
      </c>
      <c r="R48" s="37" t="inlineStr">
        <is>
          <t>Discussion done on categorization of employers and Placements on women center.</t>
        </is>
      </c>
      <c r="S48" s="37" t="inlineStr">
        <is>
          <t>I discussed with Gokul regarding batch start plan for GDY and Indore Tech (College Seminars)</t>
        </is>
      </c>
      <c r="T48" s="37">
        <f>IF(AND(OR(Dashboard!$B$5="All Managers",A48=Dashboard!$B$5),OR(Dashboard!$E$5="All Centres",B48=Dashboard!$E$5)),1,0)</f>
        <v/>
      </c>
      <c r="U48" s="37">
        <f>IF(T48=1,COUNTIF($T$2:T48,1),"")</f>
        <v/>
      </c>
    </row>
    <row r="49">
      <c r="A49" s="37" t="inlineStr">
        <is>
          <t>Bhargav Challa</t>
        </is>
      </c>
      <c r="B49" s="37" t="inlineStr">
        <is>
          <t>Uppal</t>
        </is>
      </c>
      <c r="C49" s="37" t="inlineStr">
        <is>
          <t>Grow Youth</t>
        </is>
      </c>
      <c r="D49" s="37" t="inlineStr">
        <is>
          <t>2026-07-23</t>
        </is>
      </c>
      <c r="E49" s="37" t="n">
        <v>6</v>
      </c>
      <c r="F49" s="37" t="n">
        <v>1</v>
      </c>
      <c r="G49" s="37" t="n">
        <v>1</v>
      </c>
      <c r="H49" s="37" t="n">
        <v>4</v>
      </c>
      <c r="I49" s="37" t="n">
        <v>3</v>
      </c>
      <c r="J49" s="37" t="n">
        <v>1</v>
      </c>
      <c r="K49" s="37" t="n">
        <v>15</v>
      </c>
      <c r="L49" s="37" t="n">
        <v>2</v>
      </c>
      <c r="M49" s="37" t="n">
        <v>5</v>
      </c>
      <c r="N49" s="37" t="n">
        <v>9</v>
      </c>
      <c r="O49" s="37" t="n">
        <v>0</v>
      </c>
      <c r="P49" s="37" t="n">
        <v>2</v>
      </c>
      <c r="Q49" s="37" t="n">
        <v/>
      </c>
      <c r="R49" s="37" t="inlineStr">
        <is>
          <t>Connected with all unplaced students of Batch-92, collected their interest to go for the job with a plan to line up for the placements</t>
        </is>
      </c>
      <c r="S49" s="37" t="inlineStr">
        <is>
          <t>Made an Outreach plan with the support of AH and CA to diversify the channels of mobilisation and pace up the speed of mobilisation</t>
        </is>
      </c>
      <c r="T49" s="37">
        <f>IF(AND(OR(Dashboard!$B$5="All Managers",A49=Dashboard!$B$5),OR(Dashboard!$E$5="All Centres",B49=Dashboard!$E$5)),1,0)</f>
        <v/>
      </c>
      <c r="U49" s="37">
        <f>IF(T49=1,COUNTIF($T$2:T49,1),"")</f>
        <v/>
      </c>
    </row>
    <row r="50">
      <c r="A50" s="37" t="inlineStr">
        <is>
          <t>S Jakir</t>
        </is>
      </c>
      <c r="B50" s="37" t="inlineStr">
        <is>
          <t>Nelamangala</t>
        </is>
      </c>
      <c r="C50" s="37" t="inlineStr">
        <is>
          <t>GROW Green Jobs ( Solar )</t>
        </is>
      </c>
      <c r="D50" s="37" t="inlineStr">
        <is>
          <t>2026-07-23</t>
        </is>
      </c>
      <c r="E50" s="37" t="n">
        <v>7</v>
      </c>
      <c r="F50" s="37" t="n">
        <v>1</v>
      </c>
      <c r="G50" s="37" t="n">
        <v>0</v>
      </c>
      <c r="H50" s="37" t="n">
        <v>7</v>
      </c>
      <c r="I50" s="37" t="n">
        <v>1</v>
      </c>
      <c r="J50" s="37" t="n">
        <v>0</v>
      </c>
      <c r="K50" s="37" t="n">
        <v>17</v>
      </c>
      <c r="L50" s="37" t="n">
        <v>2</v>
      </c>
      <c r="M50" s="37" t="n">
        <v>3</v>
      </c>
      <c r="N50" s="37" t="n">
        <v>10</v>
      </c>
      <c r="O50" s="37" t="n">
        <v>1</v>
      </c>
      <c r="P50" s="37" t="n">
        <v>0</v>
      </c>
      <c r="Q50" s="37" t="inlineStr">
        <is>
          <t>Visted the hostel and discussed with Hostel management regarding few observations . Mainly about the cleanliness and they committed that they will rectify . 2 ) Also discussed placement plan with AH and shared interview lineup inputs .</t>
        </is>
      </c>
      <c r="R50" s="37" t="inlineStr">
        <is>
          <t>Job drives need to organize by categorizing the unplaced aspirants . Discussed with AH and guided . I will extend my support .</t>
        </is>
      </c>
      <c r="S50" s="37" t="inlineStr">
        <is>
          <t>Team is doing good in mobilization and need to ensure the regular efforts as per the plan .</t>
        </is>
      </c>
      <c r="T50" s="37">
        <f>IF(AND(OR(Dashboard!$B$5="All Managers",A50=Dashboard!$B$5),OR(Dashboard!$E$5="All Centres",B50=Dashboard!$E$5)),1,0)</f>
        <v/>
      </c>
      <c r="U50" s="37">
        <f>IF(T50=1,COUNTIF($T$2:T50,1),"")</f>
        <v/>
      </c>
    </row>
    <row r="51">
      <c r="A51" s="37" t="inlineStr">
        <is>
          <t>S Jakir</t>
        </is>
      </c>
      <c r="B51" s="37" t="inlineStr">
        <is>
          <t>Electronic City</t>
        </is>
      </c>
      <c r="C51" s="37" t="inlineStr">
        <is>
          <t>GROW Green Jobs ( EV )</t>
        </is>
      </c>
      <c r="D51" s="37" t="inlineStr">
        <is>
          <t>2026-07-22</t>
        </is>
      </c>
      <c r="E51" s="37" t="n">
        <v>7</v>
      </c>
      <c r="F51" s="37" t="n">
        <v>1</v>
      </c>
      <c r="G51" s="37" t="n">
        <v>0</v>
      </c>
      <c r="H51" s="37" t="n">
        <v>8</v>
      </c>
      <c r="I51" s="37" t="n">
        <v>0</v>
      </c>
      <c r="J51" s="37" t="n">
        <v>0</v>
      </c>
      <c r="K51" s="37" t="n">
        <v>16</v>
      </c>
      <c r="L51" s="37" t="n">
        <v>3</v>
      </c>
      <c r="M51" s="37" t="n">
        <v>3</v>
      </c>
      <c r="N51" s="37" t="n">
        <v>11</v>
      </c>
      <c r="O51" s="37" t="n">
        <v>0</v>
      </c>
      <c r="P51" s="37" t="n">
        <v>0</v>
      </c>
      <c r="Q51" s="37" t="inlineStr">
        <is>
          <t xml:space="preserve">Had a discussion with CA Mr Naveen regarding his willingness to resign and guided . Also discussed a hring plan with AH regarding CA hiring ( Additional ) &amp; replacemnet hiring of Naveen incase he decide to resign . </t>
        </is>
      </c>
      <c r="R51" s="37" t="inlineStr">
        <is>
          <t>Arranging new employer leads , Close monitoring and regular followup calls with AH .</t>
        </is>
      </c>
      <c r="S51" s="37" t="inlineStr">
        <is>
          <t>CA Hiring and completing the induction training soon after the CA joining . Idenfidied few profiles and will complete their interview in next 3 days .</t>
        </is>
      </c>
      <c r="T51" s="37">
        <f>IF(AND(OR(Dashboard!$B$5="All Managers",A51=Dashboard!$B$5),OR(Dashboard!$E$5="All Centres",B51=Dashboard!$E$5)),1,0)</f>
        <v/>
      </c>
      <c r="U51" s="37">
        <f>IF(T51=1,COUNTIF($T$2:T51,1),"")</f>
        <v/>
      </c>
    </row>
    <row r="52">
      <c r="A52" s="37" t="inlineStr">
        <is>
          <t>S Jakir</t>
        </is>
      </c>
      <c r="B52" s="37" t="inlineStr">
        <is>
          <t xml:space="preserve">Bommanahalli </t>
        </is>
      </c>
      <c r="C52" s="37" t="inlineStr">
        <is>
          <t>GROW Youth</t>
        </is>
      </c>
      <c r="D52" s="37" t="inlineStr">
        <is>
          <t>2026-07-22</t>
        </is>
      </c>
      <c r="E52" s="37" t="n">
        <v>4</v>
      </c>
      <c r="F52" s="37" t="n">
        <v>3</v>
      </c>
      <c r="G52" s="37" t="n">
        <v>1</v>
      </c>
      <c r="H52" s="37" t="n">
        <v>3</v>
      </c>
      <c r="I52" s="37" t="n">
        <v>4</v>
      </c>
      <c r="J52" s="37" t="n">
        <v>1</v>
      </c>
      <c r="K52" s="37" t="n">
        <v>17</v>
      </c>
      <c r="L52" s="37" t="n">
        <v>1</v>
      </c>
      <c r="M52" s="37" t="n">
        <v>4</v>
      </c>
      <c r="N52" s="37" t="n">
        <v>9</v>
      </c>
      <c r="O52" s="37" t="n">
        <v>0</v>
      </c>
      <c r="P52" s="37" t="n">
        <v>2</v>
      </c>
      <c r="Q52" s="37" t="inlineStr">
        <is>
          <t>EP Guidlines reinforced &amp; NA cases status discussed .</t>
        </is>
      </c>
      <c r="R52" s="37" t="inlineStr">
        <is>
          <t xml:space="preserve">Regular followup's with AH </t>
        </is>
      </c>
      <c r="S52" s="37" t="inlineStr">
        <is>
          <t xml:space="preserve">No issues in mobilization </t>
        </is>
      </c>
      <c r="T52" s="37">
        <f>IF(AND(OR(Dashboard!$B$5="All Managers",A52=Dashboard!$B$5),OR(Dashboard!$E$5="All Centres",B52=Dashboard!$E$5)),1,0)</f>
        <v/>
      </c>
      <c r="U52" s="37">
        <f>IF(T52=1,COUNTIF($T$2:T52,1),"")</f>
        <v/>
      </c>
    </row>
    <row r="53">
      <c r="A53" s="37" t="inlineStr">
        <is>
          <t>S Jakir</t>
        </is>
      </c>
      <c r="B53" s="37" t="inlineStr">
        <is>
          <t>Jalahalli</t>
        </is>
      </c>
      <c r="C53" s="37" t="inlineStr">
        <is>
          <t>GROW Youth</t>
        </is>
      </c>
      <c r="D53" s="37" t="inlineStr">
        <is>
          <t>2026-07-20</t>
        </is>
      </c>
      <c r="E53" s="37" t="n">
        <v>7</v>
      </c>
      <c r="F53" s="37" t="n">
        <v>0</v>
      </c>
      <c r="G53" s="37" t="n">
        <v>1</v>
      </c>
      <c r="H53" s="37" t="n">
        <v>4</v>
      </c>
      <c r="I53" s="37" t="n">
        <v>3</v>
      </c>
      <c r="J53" s="37" t="n">
        <v>1</v>
      </c>
      <c r="K53" s="37" t="n">
        <v>16</v>
      </c>
      <c r="L53" s="37" t="n">
        <v>2</v>
      </c>
      <c r="M53" s="37" t="n">
        <v>4</v>
      </c>
      <c r="N53" s="37" t="n">
        <v>9</v>
      </c>
      <c r="O53" s="37" t="n">
        <v>0</v>
      </c>
      <c r="P53" s="37" t="n">
        <v>2</v>
      </c>
      <c r="Q53" s="37" t="inlineStr">
        <is>
          <t>Discussed with EP Guidlines , AFR filling  and NA Cases .Process reinforced once gain . Also conducted Bangalore HK staff refresher training cum meeting conducted in the 2nd half .</t>
        </is>
      </c>
      <c r="R53" s="37" t="inlineStr">
        <is>
          <t>Sharing new employer leads especially noth Bangalore region .</t>
        </is>
      </c>
      <c r="S53" s="37" t="inlineStr">
        <is>
          <t xml:space="preserve">Mobilization part team is good </t>
        </is>
      </c>
      <c r="T53" s="37">
        <f>IF(AND(OR(Dashboard!$B$5="All Managers",A53=Dashboard!$B$5),OR(Dashboard!$E$5="All Centres",B53=Dashboard!$E$5)),1,0)</f>
        <v/>
      </c>
      <c r="U53" s="37">
        <f>IF(T53=1,COUNTIF($T$2:T53,1),"")</f>
        <v/>
      </c>
    </row>
    <row r="54">
      <c r="A54" s="37" t="inlineStr">
        <is>
          <t>S Jakir</t>
        </is>
      </c>
      <c r="B54" s="37" t="inlineStr">
        <is>
          <t>Hebbal</t>
        </is>
      </c>
      <c r="C54" s="37" t="inlineStr">
        <is>
          <t>GROW Plus</t>
        </is>
      </c>
      <c r="D54" s="37" t="inlineStr">
        <is>
          <t>2026-07-17</t>
        </is>
      </c>
      <c r="E54" s="37" t="n">
        <v>5</v>
      </c>
      <c r="F54" s="37" t="n">
        <v>2</v>
      </c>
      <c r="G54" s="37" t="n">
        <v>1</v>
      </c>
      <c r="H54" s="37" t="n">
        <v>5</v>
      </c>
      <c r="I54" s="37" t="n">
        <v>2</v>
      </c>
      <c r="J54" s="37" t="n">
        <v>1</v>
      </c>
      <c r="K54" s="37" t="n">
        <v>16</v>
      </c>
      <c r="L54" s="37" t="n">
        <v>1</v>
      </c>
      <c r="M54" s="37" t="n">
        <v>5</v>
      </c>
      <c r="N54" s="37" t="n">
        <v>9</v>
      </c>
      <c r="O54" s="37" t="n">
        <v>0</v>
      </c>
      <c r="P54" s="37" t="n">
        <v>2</v>
      </c>
      <c r="Q54" s="37" t="inlineStr">
        <is>
          <t>Key processes reinfoced to team ( Trainer newly joined )  . Conducted a training session on employer connect topic .</t>
        </is>
      </c>
      <c r="R54" s="37" t="inlineStr">
        <is>
          <t>New employer leads needs to share and exclusive job drives need to organize  .</t>
        </is>
      </c>
      <c r="S54" s="37" t="inlineStr">
        <is>
          <t>I will guide CA and Area mapping will revise for better outreach . CA reinforcement training is organizing on 8th August .</t>
        </is>
      </c>
      <c r="T54" s="37">
        <f>IF(AND(OR(Dashboard!$B$5="All Managers",A54=Dashboard!$B$5),OR(Dashboard!$E$5="All Centres",B54=Dashboard!$E$5)),1,0)</f>
        <v/>
      </c>
      <c r="U54" s="37">
        <f>IF(T54=1,COUNTIF($T$2:T54,1),"")</f>
        <v/>
      </c>
    </row>
    <row r="55">
      <c r="A55" s="37" t="inlineStr">
        <is>
          <t>S Jakir</t>
        </is>
      </c>
      <c r="B55" s="37" t="inlineStr">
        <is>
          <t>Uttarahalli</t>
        </is>
      </c>
      <c r="C55" s="37" t="inlineStr">
        <is>
          <t>GROW Youth</t>
        </is>
      </c>
      <c r="D55" s="37" t="inlineStr">
        <is>
          <t>2026-07-16</t>
        </is>
      </c>
      <c r="E55" s="37" t="n">
        <v>6</v>
      </c>
      <c r="F55" s="37" t="n">
        <v>1</v>
      </c>
      <c r="G55" s="37" t="n">
        <v>1</v>
      </c>
      <c r="H55" s="37" t="n">
        <v>4</v>
      </c>
      <c r="I55" s="37" t="n">
        <v>3</v>
      </c>
      <c r="J55" s="37" t="n">
        <v>1</v>
      </c>
      <c r="K55" s="37" t="n">
        <v>16</v>
      </c>
      <c r="L55" s="37" t="n">
        <v>2</v>
      </c>
      <c r="M55" s="37" t="n">
        <v>4</v>
      </c>
      <c r="N55" s="37" t="n">
        <v>10</v>
      </c>
      <c r="O55" s="37" t="n">
        <v>0</v>
      </c>
      <c r="P55" s="37" t="n">
        <v>1</v>
      </c>
      <c r="Q55" s="37" t="inlineStr">
        <is>
          <t>Neelu ( Sr AH )  submitted a resignation is Darwin due to better opportunity . I had a detailed discussion with employee , coordinated with Gagan sir and Kalyani mam . Arranged a discussion with Kalyani mam also . Post discussion he asked 1 day time to finalize his decession .</t>
        </is>
      </c>
      <c r="R55" s="37" t="inlineStr">
        <is>
          <t xml:space="preserve">Regular placement discussion needed . </t>
        </is>
      </c>
      <c r="S55" s="37" t="inlineStr">
        <is>
          <t>New CA induction training need to complete . I will conduct on 8th August  .</t>
        </is>
      </c>
      <c r="T55" s="37">
        <f>IF(AND(OR(Dashboard!$B$5="All Managers",A55=Dashboard!$B$5),OR(Dashboard!$E$5="All Centres",B55=Dashboard!$E$5)),1,0)</f>
        <v/>
      </c>
      <c r="U55" s="37">
        <f>IF(T55=1,COUNTIF($T$2:T55,1),"")</f>
        <v/>
      </c>
    </row>
    <row r="56">
      <c r="A56" s="37" t="inlineStr">
        <is>
          <t>S Jakir</t>
        </is>
      </c>
      <c r="B56" s="37" t="inlineStr">
        <is>
          <t>Hubli</t>
        </is>
      </c>
      <c r="C56" s="37" t="inlineStr">
        <is>
          <t>GROW Youth</t>
        </is>
      </c>
      <c r="D56" s="37" t="inlineStr">
        <is>
          <t>2026-07-08</t>
        </is>
      </c>
      <c r="E56" s="37" t="n">
        <v>6</v>
      </c>
      <c r="F56" s="37" t="n">
        <v>1</v>
      </c>
      <c r="G56" s="37" t="n">
        <v>1</v>
      </c>
      <c r="H56" s="37" t="n">
        <v>7</v>
      </c>
      <c r="I56" s="37" t="n">
        <v>0</v>
      </c>
      <c r="J56" s="37" t="n">
        <v>1</v>
      </c>
      <c r="K56" s="37" t="n">
        <v>16</v>
      </c>
      <c r="L56" s="37" t="n">
        <v>2</v>
      </c>
      <c r="M56" s="37" t="n">
        <v>4</v>
      </c>
      <c r="N56" s="37" t="n">
        <v>11</v>
      </c>
      <c r="O56" s="37" t="n">
        <v>0</v>
      </c>
      <c r="P56" s="37" t="n">
        <v>0</v>
      </c>
      <c r="Q56" s="37" t="inlineStr">
        <is>
          <t xml:space="preserve">Key process reinforced to team &amp; CCTV issue resolved </t>
        </is>
      </c>
      <c r="R56" s="37" t="inlineStr">
        <is>
          <t xml:space="preserve">Need to generate new employer leads and share </t>
        </is>
      </c>
      <c r="S56" s="37" t="inlineStr">
        <is>
          <t>Referrals need to improve . Need monitor closely the referral generation activities .</t>
        </is>
      </c>
      <c r="T56" s="37">
        <f>IF(AND(OR(Dashboard!$B$5="All Managers",A56=Dashboard!$B$5),OR(Dashboard!$E$5="All Centres",B56=Dashboard!$E$5)),1,0)</f>
        <v/>
      </c>
      <c r="U56" s="37">
        <f>IF(T56=1,COUNTIF($T$2:T56,1),"")</f>
        <v/>
      </c>
    </row>
    <row r="57">
      <c r="A57" s="37" t="inlineStr">
        <is>
          <t>S Jakir</t>
        </is>
      </c>
      <c r="B57" s="37" t="inlineStr">
        <is>
          <t>Hoskote</t>
        </is>
      </c>
      <c r="C57" s="37" t="inlineStr">
        <is>
          <t>HHQCS</t>
        </is>
      </c>
      <c r="D57" s="37" t="inlineStr">
        <is>
          <t>2026-07-15</t>
        </is>
      </c>
      <c r="E57" s="37" t="n">
        <v>6</v>
      </c>
      <c r="F57" s="37" t="n">
        <v>2</v>
      </c>
      <c r="G57" s="37" t="n">
        <v>0</v>
      </c>
      <c r="H57" s="37" t="n">
        <v>6</v>
      </c>
      <c r="I57" s="37" t="n">
        <v>2</v>
      </c>
      <c r="J57" s="37" t="n">
        <v>0</v>
      </c>
      <c r="K57" s="37" t="n">
        <v>12</v>
      </c>
      <c r="L57" s="37" t="n">
        <v>5</v>
      </c>
      <c r="M57" s="37" t="n">
        <v>5</v>
      </c>
      <c r="N57" s="37" t="n">
        <v>8</v>
      </c>
      <c r="O57" s="37" t="n">
        <v>2</v>
      </c>
      <c r="P57" s="37" t="n">
        <v>1</v>
      </c>
      <c r="Q57" s="37" t="inlineStr">
        <is>
          <t xml:space="preserve">Coducted one to one discussion with all new batch aspirants , identified documentation and counselling gaps . Shared detailed feedback with AH and reinforced the process . </t>
        </is>
      </c>
      <c r="R57" s="37" t="inlineStr">
        <is>
          <t>New employers need to identify to improve further placement quality .</t>
        </is>
      </c>
      <c r="S57" s="37" t="inlineStr">
        <is>
          <t>CA Offer letter will release by monday ( Discussed with HR Team ) and will conduct CA indcution training soon after that .</t>
        </is>
      </c>
      <c r="T57" s="37">
        <f>IF(AND(OR(Dashboard!$B$5="All Managers",A57=Dashboard!$B$5),OR(Dashboard!$E$5="All Centres",B57=Dashboard!$E$5)),1,0)</f>
        <v/>
      </c>
      <c r="U57" s="37">
        <f>IF(T57=1,COUNTIF($T$2:T57,1),"")</f>
        <v/>
      </c>
    </row>
    <row r="58">
      <c r="A58" s="37" t="inlineStr">
        <is>
          <t>S Jakir</t>
        </is>
      </c>
      <c r="B58" s="37" t="inlineStr">
        <is>
          <t>Thanisandra</t>
        </is>
      </c>
      <c r="C58" s="37" t="inlineStr">
        <is>
          <t>GROW Youth</t>
        </is>
      </c>
      <c r="D58" s="37" t="inlineStr">
        <is>
          <t>2026-07-14</t>
        </is>
      </c>
      <c r="E58" s="37" t="n">
        <v>5</v>
      </c>
      <c r="F58" s="37" t="n">
        <v>2</v>
      </c>
      <c r="G58" s="37" t="n">
        <v>1</v>
      </c>
      <c r="H58" s="37" t="n">
        <v>6</v>
      </c>
      <c r="I58" s="37" t="n">
        <v>1</v>
      </c>
      <c r="J58" s="37" t="n">
        <v>1</v>
      </c>
      <c r="K58" s="37" t="n">
        <v>14</v>
      </c>
      <c r="L58" s="37" t="n">
        <v>4</v>
      </c>
      <c r="M58" s="37" t="n">
        <v>4</v>
      </c>
      <c r="N58" s="37" t="n">
        <v>10</v>
      </c>
      <c r="O58" s="37" t="n">
        <v>0</v>
      </c>
      <c r="P58" s="37" t="n">
        <v>1</v>
      </c>
      <c r="Q58" s="37" t="inlineStr">
        <is>
          <t xml:space="preserve">Conducted process reinforcement discussion with team and clarified their doubts ( Here AH promoted from Trainer role &amp; Smith - New trainer joined recently ) . </t>
        </is>
      </c>
      <c r="R58" s="37" t="inlineStr">
        <is>
          <t xml:space="preserve">Providing employer leads  &amp; regular discusion with AH regarding placements </t>
        </is>
      </c>
      <c r="S58" s="37" t="inlineStr">
        <is>
          <t>Area mapping need to reinforce and Mobilization budget utilization need to ensure .</t>
        </is>
      </c>
      <c r="T58" s="37">
        <f>IF(AND(OR(Dashboard!$B$5="All Managers",A58=Dashboard!$B$5),OR(Dashboard!$E$5="All Centres",B58=Dashboard!$E$5)),1,0)</f>
        <v/>
      </c>
      <c r="U58" s="37">
        <f>IF(T58=1,COUNTIF($T$2:T58,1),"")</f>
        <v/>
      </c>
    </row>
    <row r="59">
      <c r="A59" s="37" t="inlineStr">
        <is>
          <t>S Jakir</t>
        </is>
      </c>
      <c r="B59" s="37" t="inlineStr">
        <is>
          <t xml:space="preserve">K R Puram </t>
        </is>
      </c>
      <c r="C59" s="37" t="inlineStr">
        <is>
          <t>GROW Youth</t>
        </is>
      </c>
      <c r="D59" s="37" t="inlineStr">
        <is>
          <t>2026-07-07</t>
        </is>
      </c>
      <c r="E59" s="37" t="n">
        <v>6</v>
      </c>
      <c r="F59" s="37" t="n">
        <v>1</v>
      </c>
      <c r="G59" s="37" t="n">
        <v>1</v>
      </c>
      <c r="H59" s="37" t="n">
        <v>4</v>
      </c>
      <c r="I59" s="37" t="n">
        <v>2</v>
      </c>
      <c r="J59" s="37" t="n">
        <v>2</v>
      </c>
      <c r="K59" s="37" t="n">
        <v>14</v>
      </c>
      <c r="L59" s="37" t="n">
        <v>3</v>
      </c>
      <c r="M59" s="37" t="n">
        <v>5</v>
      </c>
      <c r="N59" s="37" t="n">
        <v>10</v>
      </c>
      <c r="O59" s="37" t="n">
        <v>0</v>
      </c>
      <c r="P59" s="37" t="n">
        <v>1</v>
      </c>
      <c r="Q59" s="37" t="inlineStr">
        <is>
          <t>1 ) Discussed with digital trainer profile and conducted a demo session ( replacement for Digital trainer Mrs Chethana - Planned to go on Maternity leave ) . 2 ) Discussed with newly joined trainer Ms Roopa , understood how she is handling the batch and feedback shared .</t>
        </is>
      </c>
      <c r="R59" s="37" t="inlineStr">
        <is>
          <t xml:space="preserve">I will make sure to revise their top 20 employer list and share new potential employers </t>
        </is>
      </c>
      <c r="S59" s="37" t="inlineStr">
        <is>
          <t>i will discuss CA and AH , help him them to revise the are mapping to increase KR Puram surroungs footfalls .</t>
        </is>
      </c>
      <c r="T59" s="37">
        <f>IF(AND(OR(Dashboard!$B$5="All Managers",A59=Dashboard!$B$5),OR(Dashboard!$E$5="All Centres",B59=Dashboard!$E$5)),1,0)</f>
        <v/>
      </c>
      <c r="U59" s="37">
        <f>IF(T59=1,COUNTIF($T$2:T59,1),"")</f>
        <v/>
      </c>
    </row>
    <row r="60">
      <c r="A60" s="37" t="inlineStr">
        <is>
          <t>S Jakir</t>
        </is>
      </c>
      <c r="B60" s="37" t="inlineStr">
        <is>
          <t>Marathahalli</t>
        </is>
      </c>
      <c r="C60" s="37" t="inlineStr">
        <is>
          <t>GROW Youth</t>
        </is>
      </c>
      <c r="D60" s="37" t="inlineStr">
        <is>
          <t>2026-07-06</t>
        </is>
      </c>
      <c r="E60" s="37" t="n">
        <v>5</v>
      </c>
      <c r="F60" s="37" t="n">
        <v>2</v>
      </c>
      <c r="G60" s="37" t="n">
        <v>1</v>
      </c>
      <c r="H60" s="37" t="n">
        <v>5</v>
      </c>
      <c r="I60" s="37" t="n">
        <v>2</v>
      </c>
      <c r="J60" s="37" t="n">
        <v>1</v>
      </c>
      <c r="K60" s="37" t="n">
        <v>15</v>
      </c>
      <c r="L60" s="37" t="n">
        <v>6</v>
      </c>
      <c r="M60" s="37" t="n">
        <v>1</v>
      </c>
      <c r="N60" s="37" t="n">
        <v>10</v>
      </c>
      <c r="O60" s="37" t="n">
        <v>0</v>
      </c>
      <c r="P60" s="37" t="n">
        <v>1</v>
      </c>
      <c r="Q60" s="37" t="inlineStr">
        <is>
          <t xml:space="preserve">Soft skill trainer hiring is completed , Key process reinforced , NA Cases &amp; Unplaced aspirants followup is done and status updated . </t>
        </is>
      </c>
      <c r="R60" s="37" t="inlineStr">
        <is>
          <t xml:space="preserve">Need to generate new employer leads and ensure regular status check with AH </t>
        </is>
      </c>
      <c r="S60" s="37" t="inlineStr">
        <is>
          <t>Quality of the aspirants need to improve . Feedback shared with CA &amp; AH .</t>
        </is>
      </c>
      <c r="T60" s="37">
        <f>IF(AND(OR(Dashboard!$B$5="All Managers",A60=Dashboard!$B$5),OR(Dashboard!$E$5="All Centres",B60=Dashboard!$E$5)),1,0)</f>
        <v/>
      </c>
      <c r="U60" s="37">
        <f>IF(T60=1,COUNTIF($T$2:T60,1),"")</f>
        <v/>
      </c>
    </row>
    <row r="61">
      <c r="A61" s="37" t="inlineStr">
        <is>
          <t>S Jakir</t>
        </is>
      </c>
      <c r="B61" s="37" t="inlineStr">
        <is>
          <t xml:space="preserve">Yelahanka </t>
        </is>
      </c>
      <c r="C61" s="37" t="inlineStr">
        <is>
          <t xml:space="preserve">GROW Youth </t>
        </is>
      </c>
      <c r="D61" s="37" t="inlineStr">
        <is>
          <t>2026-07-11</t>
        </is>
      </c>
      <c r="E61" s="37" t="n">
        <v>6</v>
      </c>
      <c r="F61" s="37" t="n">
        <v>1</v>
      </c>
      <c r="G61" s="37" t="n">
        <v>1</v>
      </c>
      <c r="H61" s="37" t="n">
        <v>5</v>
      </c>
      <c r="I61" s="37" t="n">
        <v>2</v>
      </c>
      <c r="J61" s="37" t="n">
        <v>1</v>
      </c>
      <c r="K61" s="37" t="n">
        <v>15</v>
      </c>
      <c r="L61" s="37" t="n">
        <v>3</v>
      </c>
      <c r="M61" s="37" t="n">
        <v>4</v>
      </c>
      <c r="N61" s="37" t="n">
        <v>10</v>
      </c>
      <c r="O61" s="37" t="n">
        <v>0</v>
      </c>
      <c r="P61" s="37" t="n">
        <v>1</v>
      </c>
      <c r="Q61" s="37" t="inlineStr">
        <is>
          <t>All key process reinfoced ( AH promoted from Trainer role ) , Conducted training session on employer connect .</t>
        </is>
      </c>
      <c r="R61" s="37" t="inlineStr">
        <is>
          <t xml:space="preserve">Employer leads need to share and do regular followup's with AH </t>
        </is>
      </c>
      <c r="S61" s="37" t="inlineStr">
        <is>
          <t xml:space="preserve">Doing good in mobilization </t>
        </is>
      </c>
      <c r="T61" s="37">
        <f>IF(AND(OR(Dashboard!$B$5="All Managers",A61=Dashboard!$B$5),OR(Dashboard!$E$5="All Centres",B61=Dashboard!$E$5)),1,0)</f>
        <v/>
      </c>
      <c r="U61" s="37">
        <f>IF(T61=1,COUNTIF($T$2:T61,1),"")</f>
        <v/>
      </c>
    </row>
    <row r="62">
      <c r="A62" s="37" t="inlineStr">
        <is>
          <t>S Jakir</t>
        </is>
      </c>
      <c r="B62" s="37" t="inlineStr">
        <is>
          <t>CFRSI - Bengaluru</t>
        </is>
      </c>
      <c r="C62" s="37" t="inlineStr">
        <is>
          <t xml:space="preserve">CFRSI </t>
        </is>
      </c>
      <c r="D62" s="37" t="inlineStr">
        <is>
          <t>2026-07-14</t>
        </is>
      </c>
      <c r="E62" s="37" t="n">
        <v>7</v>
      </c>
      <c r="F62" s="37" t="n">
        <v>0</v>
      </c>
      <c r="G62" s="37" t="n">
        <v>1</v>
      </c>
      <c r="H62" s="37" t="n">
        <v>7</v>
      </c>
      <c r="I62" s="37" t="n">
        <v>1</v>
      </c>
      <c r="J62" s="37" t="n">
        <v>0</v>
      </c>
      <c r="K62" s="37" t="n">
        <v>20</v>
      </c>
      <c r="L62" s="37" t="n">
        <v>1</v>
      </c>
      <c r="M62" s="37" t="n">
        <v>1</v>
      </c>
      <c r="N62" s="37" t="n">
        <v>11</v>
      </c>
      <c r="O62" s="37" t="n">
        <v>0</v>
      </c>
      <c r="P62" s="37" t="n">
        <v>0</v>
      </c>
      <c r="Q62" s="37" t="inlineStr">
        <is>
          <t>Key process reinforced and conducted one to discussion with team to understand their challenges .</t>
        </is>
      </c>
      <c r="R62" s="37" t="inlineStr">
        <is>
          <t xml:space="preserve">Employer leads need to generate and share </t>
        </is>
      </c>
      <c r="S62" s="37" t="inlineStr">
        <is>
          <t>Doing good in mobilization .</t>
        </is>
      </c>
      <c r="T62" s="37">
        <f>IF(AND(OR(Dashboard!$B$5="All Managers",A62=Dashboard!$B$5),OR(Dashboard!$E$5="All Centres",B62=Dashboard!$E$5)),1,0)</f>
        <v/>
      </c>
      <c r="U62" s="37">
        <f>IF(T62=1,COUNTIF($T$2:T62,1),"")</f>
        <v/>
      </c>
    </row>
    <row r="63">
      <c r="A63" s="37" t="inlineStr">
        <is>
          <t>Phani</t>
        </is>
      </c>
      <c r="B63" s="37" t="inlineStr">
        <is>
          <t>Krishnalanka</t>
        </is>
      </c>
      <c r="C63" s="37" t="inlineStr">
        <is>
          <t>Grow Youth</t>
        </is>
      </c>
      <c r="D63" s="37" t="inlineStr">
        <is>
          <t>2026-07-07</t>
        </is>
      </c>
      <c r="E63" s="37" t="n">
        <v>3</v>
      </c>
      <c r="F63" s="37" t="n">
        <v>4</v>
      </c>
      <c r="G63" s="37" t="n">
        <v>1</v>
      </c>
      <c r="H63" s="37" t="n">
        <v>2</v>
      </c>
      <c r="I63" s="37" t="n">
        <v>5</v>
      </c>
      <c r="J63" s="37" t="n">
        <v>1</v>
      </c>
      <c r="K63" s="37" t="n">
        <v>6</v>
      </c>
      <c r="L63" s="37" t="n">
        <v>10</v>
      </c>
      <c r="M63" s="37" t="n">
        <v>6</v>
      </c>
      <c r="N63" s="37" t="n">
        <v>4</v>
      </c>
      <c r="O63" s="37" t="n">
        <v>7</v>
      </c>
      <c r="P63" s="37" t="n">
        <v>0</v>
      </c>
      <c r="Q63" s="37" t="inlineStr">
        <is>
          <t>Disposed all scrap at the center, repaired washrooms, arranged trainer from other center</t>
        </is>
      </c>
      <c r="R63" s="37" t="inlineStr">
        <is>
          <t>I have shared placement leads. Uploaded 7 placements in last one week and arranged interviews for 6 students and all selected waiting for joining</t>
        </is>
      </c>
      <c r="S63" s="37" t="inlineStr">
        <is>
          <t>I have arranged CA from other center and also extra budget for ad</t>
        </is>
      </c>
      <c r="T63" s="37">
        <f>IF(AND(OR(Dashboard!$B$5="All Managers",A63=Dashboard!$B$5),OR(Dashboard!$E$5="All Centres",B63=Dashboard!$E$5)),1,0)</f>
        <v/>
      </c>
      <c r="U63" s="37">
        <f>IF(T63=1,COUNTIF($T$2:T63,1),"")</f>
        <v/>
      </c>
    </row>
    <row r="64">
      <c r="A64" s="37" t="inlineStr">
        <is>
          <t>Phani</t>
        </is>
      </c>
      <c r="B64" s="37" t="inlineStr">
        <is>
          <t>Guntur</t>
        </is>
      </c>
      <c r="C64" s="37" t="inlineStr">
        <is>
          <t>Grow Youth</t>
        </is>
      </c>
      <c r="D64" s="37" t="inlineStr">
        <is>
          <t>2026-07-07</t>
        </is>
      </c>
      <c r="E64" s="37" t="n">
        <v>6</v>
      </c>
      <c r="F64" s="37" t="n">
        <v>1</v>
      </c>
      <c r="G64" s="37" t="n">
        <v>1</v>
      </c>
      <c r="H64" s="37" t="n">
        <v>6</v>
      </c>
      <c r="I64" s="37" t="n">
        <v>1</v>
      </c>
      <c r="J64" s="37" t="n">
        <v>1</v>
      </c>
      <c r="K64" s="37" t="n">
        <v>15</v>
      </c>
      <c r="L64" s="37" t="n">
        <v>1</v>
      </c>
      <c r="M64" s="37" t="n">
        <v>6</v>
      </c>
      <c r="N64" s="37" t="n">
        <v>8</v>
      </c>
      <c r="O64" s="37" t="n">
        <v>1</v>
      </c>
      <c r="P64" s="37" t="n">
        <v>2</v>
      </c>
      <c r="Q64" s="37" t="inlineStr">
        <is>
          <t xml:space="preserve">Identified local vendor for fire extinguisher gas filling and sent HK on the same day and filled the gas </t>
        </is>
      </c>
      <c r="R64" s="37" t="inlineStr">
        <is>
          <t>shared the employer leads and clearing the N/A cases</t>
        </is>
      </c>
      <c r="S64" s="37" t="inlineStr">
        <is>
          <t>Given extra budget for Lokal app ad</t>
        </is>
      </c>
      <c r="T64" s="37">
        <f>IF(AND(OR(Dashboard!$B$5="All Managers",A64=Dashboard!$B$5),OR(Dashboard!$E$5="All Centres",B64=Dashboard!$E$5)),1,0)</f>
        <v/>
      </c>
      <c r="U64" s="37">
        <f>IF(T64=1,COUNTIF($T$2:T64,1),"")</f>
        <v/>
      </c>
    </row>
    <row r="65">
      <c r="A65" s="37" t="inlineStr">
        <is>
          <t>Phani</t>
        </is>
      </c>
      <c r="B65" s="37" t="inlineStr">
        <is>
          <t>MG Road (Vijayawada)</t>
        </is>
      </c>
      <c r="C65" s="37" t="inlineStr">
        <is>
          <t>Grow Youth</t>
        </is>
      </c>
      <c r="D65" s="37" t="inlineStr">
        <is>
          <t>2026-07-03</t>
        </is>
      </c>
      <c r="E65" s="37" t="n">
        <v>7</v>
      </c>
      <c r="F65" s="37" t="n">
        <v>0</v>
      </c>
      <c r="G65" s="37" t="n">
        <v>1</v>
      </c>
      <c r="H65" s="37" t="n">
        <v>6</v>
      </c>
      <c r="I65" s="37" t="n">
        <v>1</v>
      </c>
      <c r="J65" s="37" t="n">
        <v>1</v>
      </c>
      <c r="K65" s="37" t="n">
        <v>14</v>
      </c>
      <c r="L65" s="37" t="n">
        <v>2</v>
      </c>
      <c r="M65" s="37" t="n">
        <v>6</v>
      </c>
      <c r="N65" s="37" t="n">
        <v>10</v>
      </c>
      <c r="O65" s="37" t="n">
        <v>0</v>
      </c>
      <c r="P65" s="37" t="n">
        <v>1</v>
      </c>
      <c r="Q65" s="37" t="inlineStr">
        <is>
          <t>Took CA interview</t>
        </is>
      </c>
      <c r="R65" s="37" t="inlineStr">
        <is>
          <t>Shared employer leads</t>
        </is>
      </c>
      <c r="S65" s="37" t="inlineStr">
        <is>
          <t>Shared outreach strategies of other centers</t>
        </is>
      </c>
      <c r="T65" s="37">
        <f>IF(AND(OR(Dashboard!$B$5="All Managers",A65=Dashboard!$B$5),OR(Dashboard!$E$5="All Centres",B65=Dashboard!$E$5)),1,0)</f>
        <v/>
      </c>
      <c r="U65" s="37">
        <f>IF(T65=1,COUNTIF($T$2:T65,1),"")</f>
        <v/>
      </c>
    </row>
    <row r="66">
      <c r="A66" s="37" t="inlineStr">
        <is>
          <t>Phani</t>
        </is>
      </c>
      <c r="B66" s="37" t="inlineStr">
        <is>
          <t>Trivendrum CITI</t>
        </is>
      </c>
      <c r="C66" s="37" t="inlineStr">
        <is>
          <t>Grow Youth</t>
        </is>
      </c>
      <c r="D66" s="37" t="inlineStr">
        <is>
          <t>2026-07-09</t>
        </is>
      </c>
      <c r="E66" s="37" t="n">
        <v>3</v>
      </c>
      <c r="F66" s="37" t="n">
        <v>2</v>
      </c>
      <c r="G66" s="37" t="n">
        <v>3</v>
      </c>
      <c r="H66" s="37" t="n">
        <v>6</v>
      </c>
      <c r="I66" s="37" t="n">
        <v>1</v>
      </c>
      <c r="J66" s="37" t="n">
        <v>1</v>
      </c>
      <c r="K66" s="37" t="n">
        <v>13</v>
      </c>
      <c r="L66" s="37" t="n">
        <v>2</v>
      </c>
      <c r="M66" s="37" t="n">
        <v>7</v>
      </c>
      <c r="N66" s="37" t="n">
        <v>9</v>
      </c>
      <c r="O66" s="37" t="n">
        <v>0</v>
      </c>
      <c r="P66" s="37" t="n">
        <v>2</v>
      </c>
      <c r="Q66" s="37" t="inlineStr">
        <is>
          <t>Went to door to door outreach and build capacity of CA, taken AH to PwD center and informed AH and CA for support they have given employer exchange contact, i have given famous paper ad quotation</t>
        </is>
      </c>
      <c r="R66" s="37" t="inlineStr">
        <is>
          <t>I will participate in employer connect along with AH in August</t>
        </is>
      </c>
      <c r="S66" s="37" t="inlineStr">
        <is>
          <t>Paper Ad, Approval for 30 age women, Employer exchange registration for job seekers leads.</t>
        </is>
      </c>
      <c r="T66" s="37">
        <f>IF(AND(OR(Dashboard!$B$5="All Managers",A66=Dashboard!$B$5),OR(Dashboard!$E$5="All Centres",B66=Dashboard!$E$5)),1,0)</f>
        <v/>
      </c>
      <c r="U66" s="37">
        <f>IF(T66=1,COUNTIF($T$2:T66,1),"")</f>
        <v/>
      </c>
    </row>
    <row r="67">
      <c r="A67" s="37" t="inlineStr">
        <is>
          <t>Phani</t>
        </is>
      </c>
      <c r="B67" s="37" t="inlineStr">
        <is>
          <t>Kochi CITI</t>
        </is>
      </c>
      <c r="C67" s="37" t="inlineStr">
        <is>
          <t>Grow Youth</t>
        </is>
      </c>
      <c r="D67" s="37" t="inlineStr">
        <is>
          <t>2026-07-10</t>
        </is>
      </c>
      <c r="E67" s="37" t="n">
        <v>5</v>
      </c>
      <c r="F67" s="37" t="n">
        <v>0</v>
      </c>
      <c r="G67" s="37" t="n">
        <v>3</v>
      </c>
      <c r="H67" s="37" t="n">
        <v>4</v>
      </c>
      <c r="I67" s="37" t="n">
        <v>3</v>
      </c>
      <c r="J67" s="37" t="n">
        <v>1</v>
      </c>
      <c r="K67" s="37" t="n">
        <v>12</v>
      </c>
      <c r="L67" s="37" t="n">
        <v>3</v>
      </c>
      <c r="M67" s="37" t="n">
        <v>7</v>
      </c>
      <c r="N67" s="37" t="n">
        <v>8</v>
      </c>
      <c r="O67" s="37" t="n">
        <v>1</v>
      </c>
      <c r="P67" s="37" t="n">
        <v>2</v>
      </c>
      <c r="Q67" s="37" t="inlineStr">
        <is>
          <t>I have arranged CA for this center, and went door to door outreach with her and build her capacity in updating AFR</t>
        </is>
      </c>
      <c r="R67" s="37" t="inlineStr">
        <is>
          <t>I will go to employer connect along with AH in August</t>
        </is>
      </c>
      <c r="S67" s="37" t="inlineStr">
        <is>
          <t>I have arranged CA for this center, and went door to door outreach with her and build her capacity in updating AFR, Spoke to admin and arranged paper ad</t>
        </is>
      </c>
      <c r="T67" s="37">
        <f>IF(AND(OR(Dashboard!$B$5="All Managers",A67=Dashboard!$B$5),OR(Dashboard!$E$5="All Centres",B67=Dashboard!$E$5)),1,0)</f>
        <v/>
      </c>
      <c r="U67" s="37">
        <f>IF(T67=1,COUNTIF($T$2:T67,1),"")</f>
        <v/>
      </c>
    </row>
    <row r="68">
      <c r="A68" s="37" t="inlineStr">
        <is>
          <t>Phani</t>
        </is>
      </c>
      <c r="B68" s="37" t="inlineStr">
        <is>
          <t>Kochi Women</t>
        </is>
      </c>
      <c r="C68" s="37" t="inlineStr">
        <is>
          <t>Grow Women</t>
        </is>
      </c>
      <c r="D68" s="37" t="inlineStr">
        <is>
          <t>2026-07-10</t>
        </is>
      </c>
      <c r="E68" s="37" t="n">
        <v>7</v>
      </c>
      <c r="F68" s="37" t="n">
        <v>0</v>
      </c>
      <c r="G68" s="37" t="n">
        <v>1</v>
      </c>
      <c r="H68" s="37" t="n">
        <v>7</v>
      </c>
      <c r="I68" s="37" t="n">
        <v>0</v>
      </c>
      <c r="J68" s="37" t="n">
        <v>1</v>
      </c>
      <c r="K68" s="37" t="n">
        <v>13</v>
      </c>
      <c r="L68" s="37" t="n">
        <v>1</v>
      </c>
      <c r="M68" s="37" t="n">
        <v>8</v>
      </c>
      <c r="N68" s="37" t="n">
        <v>9</v>
      </c>
      <c r="O68" s="37" t="n">
        <v>0</v>
      </c>
      <c r="P68" s="37" t="n">
        <v>2</v>
      </c>
      <c r="Q68" s="37" t="n">
        <v/>
      </c>
      <c r="R68" s="37" t="inlineStr">
        <is>
          <t>Made AH to update 12 placements</t>
        </is>
      </c>
      <c r="S68" s="37" t="n">
        <v/>
      </c>
      <c r="T68" s="37">
        <f>IF(AND(OR(Dashboard!$B$5="All Managers",A68=Dashboard!$B$5),OR(Dashboard!$E$5="All Centres",B68=Dashboard!$E$5)),1,0)</f>
        <v/>
      </c>
      <c r="U68" s="37">
        <f>IF(T68=1,COUNTIF($T$2:T68,1),"")</f>
        <v/>
      </c>
    </row>
    <row r="69">
      <c r="A69" s="37" t="inlineStr">
        <is>
          <t>Phani</t>
        </is>
      </c>
      <c r="B69" s="37" t="inlineStr">
        <is>
          <t>CFRSI Chennai</t>
        </is>
      </c>
      <c r="C69" s="37" t="inlineStr">
        <is>
          <t>CFRSI Tech</t>
        </is>
      </c>
      <c r="D69" s="37" t="inlineStr">
        <is>
          <t>2026-07-14</t>
        </is>
      </c>
      <c r="E69" s="37" t="n">
        <v>5</v>
      </c>
      <c r="F69" s="37" t="n">
        <v>0</v>
      </c>
      <c r="G69" s="37" t="n">
        <v>3</v>
      </c>
      <c r="H69" s="37" t="n">
        <v>7</v>
      </c>
      <c r="I69" s="37" t="n">
        <v>0</v>
      </c>
      <c r="J69" s="37" t="n">
        <v>1</v>
      </c>
      <c r="K69" s="37" t="n">
        <v>12</v>
      </c>
      <c r="L69" s="37" t="n">
        <v>3</v>
      </c>
      <c r="M69" s="37" t="n">
        <v>7</v>
      </c>
      <c r="N69" s="37" t="n">
        <v>8</v>
      </c>
      <c r="O69" s="37" t="n">
        <v>1</v>
      </c>
      <c r="P69" s="37" t="n">
        <v>2</v>
      </c>
      <c r="Q69" s="37" t="inlineStr">
        <is>
          <t xml:space="preserve">Informed to arrange shoe rack </t>
        </is>
      </c>
      <c r="R69" s="37" t="inlineStr">
        <is>
          <t>I will go to employer connect with AH in August</t>
        </is>
      </c>
      <c r="S69" s="37" t="n">
        <v/>
      </c>
      <c r="T69" s="37">
        <f>IF(AND(OR(Dashboard!$B$5="All Managers",A69=Dashboard!$B$5),OR(Dashboard!$E$5="All Centres",B69=Dashboard!$E$5)),1,0)</f>
        <v/>
      </c>
      <c r="U69" s="37">
        <f>IF(T69=1,COUNTIF($T$2:T69,1),"")</f>
        <v/>
      </c>
    </row>
    <row r="70">
      <c r="A70" s="37" t="inlineStr">
        <is>
          <t>Phani</t>
        </is>
      </c>
      <c r="B70" s="37" t="inlineStr">
        <is>
          <t>Grow Green Ambattur</t>
        </is>
      </c>
      <c r="C70" s="37" t="inlineStr">
        <is>
          <t>Grow Green EV</t>
        </is>
      </c>
      <c r="D70" s="37" t="inlineStr">
        <is>
          <t>2026-07-08</t>
        </is>
      </c>
      <c r="E70" s="37" t="n">
        <v>7</v>
      </c>
      <c r="F70" s="37" t="n">
        <v>1</v>
      </c>
      <c r="G70" s="37" t="n">
        <v>0</v>
      </c>
      <c r="H70" s="37" t="n">
        <v>7</v>
      </c>
      <c r="I70" s="37" t="n">
        <v>1</v>
      </c>
      <c r="J70" s="37" t="n">
        <v>0</v>
      </c>
      <c r="K70" s="37" t="n">
        <v>13</v>
      </c>
      <c r="L70" s="37" t="n">
        <v>4</v>
      </c>
      <c r="M70" s="37" t="n">
        <v>5</v>
      </c>
      <c r="N70" s="37" t="n">
        <v>9</v>
      </c>
      <c r="O70" s="37" t="n">
        <v>1</v>
      </c>
      <c r="P70" s="37" t="n">
        <v>1</v>
      </c>
      <c r="Q70" s="37" t="inlineStr">
        <is>
          <t>I have arranged everything and made center ready for partner visit</t>
        </is>
      </c>
      <c r="R70" s="37" t="inlineStr">
        <is>
          <t>Clear N/A cases</t>
        </is>
      </c>
      <c r="S70" s="37" t="inlineStr">
        <is>
          <t>Provide Hostel admissions</t>
        </is>
      </c>
      <c r="T70" s="37">
        <f>IF(AND(OR(Dashboard!$B$5="All Managers",A70=Dashboard!$B$5),OR(Dashboard!$E$5="All Centres",B70=Dashboard!$E$5)),1,0)</f>
        <v/>
      </c>
      <c r="U70" s="37">
        <f>IF(T70=1,COUNTIF($T$2:T70,1),"")</f>
        <v/>
      </c>
    </row>
    <row r="71">
      <c r="A71" s="37" t="inlineStr">
        <is>
          <t>Phani</t>
        </is>
      </c>
      <c r="B71" s="37" t="inlineStr">
        <is>
          <t>Guindy Solar</t>
        </is>
      </c>
      <c r="C71" s="37" t="inlineStr">
        <is>
          <t>Grow Green - Solar</t>
        </is>
      </c>
      <c r="D71" s="37" t="inlineStr">
        <is>
          <t>2026-07-07</t>
        </is>
      </c>
      <c r="E71" s="37" t="n">
        <v>8</v>
      </c>
      <c r="F71" s="37" t="n">
        <v>0</v>
      </c>
      <c r="G71" s="37" t="n">
        <v>0</v>
      </c>
      <c r="H71" s="37" t="n">
        <v>8</v>
      </c>
      <c r="I71" s="37" t="n">
        <v>0</v>
      </c>
      <c r="J71" s="37" t="n">
        <v>0</v>
      </c>
      <c r="K71" s="37" t="n">
        <v>14</v>
      </c>
      <c r="L71" s="37" t="n">
        <v>4</v>
      </c>
      <c r="M71" s="37" t="n">
        <v>4</v>
      </c>
      <c r="N71" s="37" t="n">
        <v>11</v>
      </c>
      <c r="O71" s="37" t="n">
        <v>0</v>
      </c>
      <c r="P71" s="37" t="n">
        <v>0</v>
      </c>
      <c r="Q71" s="37" t="inlineStr">
        <is>
          <t>Arranged center for partner visit</t>
        </is>
      </c>
      <c r="R71" s="37" t="inlineStr">
        <is>
          <t>Clear N/A Cases</t>
        </is>
      </c>
      <c r="S71" s="37" t="inlineStr">
        <is>
          <t xml:space="preserve">Extra budget </t>
        </is>
      </c>
      <c r="T71" s="37">
        <f>IF(AND(OR(Dashboard!$B$5="All Managers",A71=Dashboard!$B$5),OR(Dashboard!$E$5="All Centres",B71=Dashboard!$E$5)),1,0)</f>
        <v/>
      </c>
      <c r="U71" s="37">
        <f>IF(T71=1,COUNTIF($T$2:T71,1),"")</f>
        <v/>
      </c>
    </row>
    <row r="72">
      <c r="A72" s="37" t="inlineStr">
        <is>
          <t>Phani</t>
        </is>
      </c>
      <c r="B72" s="37" t="inlineStr">
        <is>
          <t>Gajuwaka</t>
        </is>
      </c>
      <c r="C72" s="37" t="inlineStr">
        <is>
          <t>Grow Youth</t>
        </is>
      </c>
      <c r="D72" s="37" t="inlineStr">
        <is>
          <t>2026-07-16</t>
        </is>
      </c>
      <c r="E72" s="37" t="n">
        <v>5</v>
      </c>
      <c r="F72" s="37" t="n">
        <v>0</v>
      </c>
      <c r="G72" s="37" t="n">
        <v>3</v>
      </c>
      <c r="H72" s="37" t="n">
        <v>5</v>
      </c>
      <c r="I72" s="37" t="n">
        <v>2</v>
      </c>
      <c r="J72" s="37" t="n">
        <v>1</v>
      </c>
      <c r="K72" s="37" t="n">
        <v>8</v>
      </c>
      <c r="L72" s="37" t="n">
        <v>2</v>
      </c>
      <c r="M72" s="37" t="n">
        <v>12</v>
      </c>
      <c r="N72" s="37" t="n">
        <v>8</v>
      </c>
      <c r="O72" s="37" t="n">
        <v>0</v>
      </c>
      <c r="P72" s="37" t="n">
        <v>3</v>
      </c>
      <c r="Q72" s="37" t="inlineStr">
        <is>
          <t>Water dispenser purchase is stuck i spoke to admin and finance and on the same day purchased and arranged at center</t>
        </is>
      </c>
      <c r="R72" s="37" t="n">
        <v/>
      </c>
      <c r="S72" s="37" t="inlineStr">
        <is>
          <t>I have provided school team support for outreach</t>
        </is>
      </c>
      <c r="T72" s="37">
        <f>IF(AND(OR(Dashboard!$B$5="All Managers",A72=Dashboard!$B$5),OR(Dashboard!$E$5="All Centres",B72=Dashboard!$E$5)),1,0)</f>
        <v/>
      </c>
      <c r="U72" s="37">
        <f>IF(T72=1,COUNTIF($T$2:T72,1),"")</f>
        <v/>
      </c>
    </row>
    <row r="73">
      <c r="A73" s="37" t="inlineStr">
        <is>
          <t>Phani</t>
        </is>
      </c>
      <c r="B73" s="37" t="inlineStr">
        <is>
          <t>Akkayapalem</t>
        </is>
      </c>
      <c r="C73" s="37" t="inlineStr">
        <is>
          <t>Grow Youth</t>
        </is>
      </c>
      <c r="D73" s="37" t="inlineStr">
        <is>
          <t>2026-07-20</t>
        </is>
      </c>
      <c r="E73" s="37" t="n">
        <v>7</v>
      </c>
      <c r="F73" s="37" t="n">
        <v>0</v>
      </c>
      <c r="G73" s="37" t="n">
        <v>1</v>
      </c>
      <c r="H73" s="37" t="n">
        <v>7</v>
      </c>
      <c r="I73" s="37" t="n">
        <v>0</v>
      </c>
      <c r="J73" s="37" t="n">
        <v>1</v>
      </c>
      <c r="K73" s="37" t="n">
        <v>17</v>
      </c>
      <c r="L73" s="37" t="n">
        <v>0</v>
      </c>
      <c r="M73" s="37" t="n">
        <v>5</v>
      </c>
      <c r="N73" s="37" t="n">
        <v>9</v>
      </c>
      <c r="O73" s="37" t="n">
        <v>0</v>
      </c>
      <c r="P73" s="37" t="n">
        <v>2</v>
      </c>
      <c r="Q73" s="37" t="inlineStr">
        <is>
          <t>Explained IOP to new trainer, arranged trainer material</t>
        </is>
      </c>
      <c r="R73" s="37" t="inlineStr">
        <is>
          <t>Given Noida city employer leads</t>
        </is>
      </c>
      <c r="S73" s="37" t="inlineStr">
        <is>
          <t>On track</t>
        </is>
      </c>
      <c r="T73" s="37">
        <f>IF(AND(OR(Dashboard!$B$5="All Managers",A73=Dashboard!$B$5),OR(Dashboard!$E$5="All Centres",B73=Dashboard!$E$5)),1,0)</f>
        <v/>
      </c>
      <c r="U73" s="37">
        <f>IF(T73=1,COUNTIF($T$2:T73,1),"")</f>
        <v/>
      </c>
    </row>
    <row r="74">
      <c r="A74" s="37" t="inlineStr">
        <is>
          <t>Phani</t>
        </is>
      </c>
      <c r="B74" s="37" t="inlineStr">
        <is>
          <t>Anakapalli</t>
        </is>
      </c>
      <c r="C74" s="37" t="inlineStr">
        <is>
          <t>Grow Youth</t>
        </is>
      </c>
      <c r="D74" s="37" t="inlineStr">
        <is>
          <t>2026-07-22</t>
        </is>
      </c>
      <c r="E74" s="37" t="n">
        <v>7</v>
      </c>
      <c r="F74" s="37" t="n">
        <v>0</v>
      </c>
      <c r="G74" s="37" t="n">
        <v>1</v>
      </c>
      <c r="H74" s="37" t="n">
        <v>7</v>
      </c>
      <c r="I74" s="37" t="n">
        <v>0</v>
      </c>
      <c r="J74" s="37" t="n">
        <v>1</v>
      </c>
      <c r="K74" s="37" t="n">
        <v>17</v>
      </c>
      <c r="L74" s="37" t="n">
        <v>1</v>
      </c>
      <c r="M74" s="37" t="n">
        <v>4</v>
      </c>
      <c r="N74" s="37" t="n">
        <v>10</v>
      </c>
      <c r="O74" s="37" t="n">
        <v>0</v>
      </c>
      <c r="P74" s="37" t="n">
        <v>1</v>
      </c>
      <c r="Q74" s="37" t="n">
        <v/>
      </c>
      <c r="R74" s="37" t="inlineStr">
        <is>
          <t>On track</t>
        </is>
      </c>
      <c r="S74" s="37" t="inlineStr">
        <is>
          <t>On track</t>
        </is>
      </c>
      <c r="T74" s="37">
        <f>IF(AND(OR(Dashboard!$B$5="All Managers",A74=Dashboard!$B$5),OR(Dashboard!$E$5="All Centres",B74=Dashboard!$E$5)),1,0)</f>
        <v/>
      </c>
      <c r="U74" s="37">
        <f>IF(T74=1,COUNTIF($T$2:T74,1),"")</f>
        <v/>
      </c>
    </row>
    <row r="75">
      <c r="A75" s="37" t="inlineStr">
        <is>
          <t>Phani</t>
        </is>
      </c>
      <c r="B75" s="37" t="inlineStr">
        <is>
          <t>Srikakulam</t>
        </is>
      </c>
      <c r="C75" s="37" t="inlineStr">
        <is>
          <t>Grow Youth</t>
        </is>
      </c>
      <c r="D75" s="37" t="inlineStr">
        <is>
          <t>2026-07-02</t>
        </is>
      </c>
      <c r="E75" s="37" t="n">
        <v>7</v>
      </c>
      <c r="F75" s="37" t="n">
        <v>0</v>
      </c>
      <c r="G75" s="37" t="n">
        <v>1</v>
      </c>
      <c r="H75" s="37" t="n">
        <v>4</v>
      </c>
      <c r="I75" s="37" t="n">
        <v>3</v>
      </c>
      <c r="J75" s="37" t="n">
        <v>1</v>
      </c>
      <c r="K75" s="37" t="n">
        <v>17</v>
      </c>
      <c r="L75" s="37" t="n">
        <v>0</v>
      </c>
      <c r="M75" s="37" t="n">
        <v>5</v>
      </c>
      <c r="N75" s="37" t="n">
        <v>9</v>
      </c>
      <c r="O75" s="37" t="n">
        <v>0</v>
      </c>
      <c r="P75" s="37" t="n">
        <v>2</v>
      </c>
      <c r="Q75" s="37" t="inlineStr">
        <is>
          <t>Monitors are not working informed AH to take quotation for new monitors</t>
        </is>
      </c>
      <c r="R75" s="37" t="inlineStr">
        <is>
          <t>Clearing NA cases</t>
        </is>
      </c>
      <c r="S75" s="37" t="inlineStr">
        <is>
          <t>Providing support of school teams</t>
        </is>
      </c>
      <c r="T75" s="37">
        <f>IF(AND(OR(Dashboard!$B$5="All Managers",A75=Dashboard!$B$5),OR(Dashboard!$E$5="All Centres",B75=Dashboard!$E$5)),1,0)</f>
        <v/>
      </c>
      <c r="U75" s="37">
        <f>IF(T75=1,COUNTIF($T$2:T75,1),"")</f>
        <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3627"/>
  <sheetViews>
    <sheetView workbookViewId="0">
      <selection activeCell="A1" sqref="A1"/>
    </sheetView>
  </sheetViews>
  <sheetFormatPr baseColWidth="8" defaultRowHeight="15"/>
  <cols>
    <col width="20" customWidth="1" min="1" max="1"/>
    <col width="22" customWidth="1" min="2" max="2"/>
    <col width="20" customWidth="1" min="3" max="3"/>
    <col width="12" customWidth="1" min="4" max="4"/>
    <col width="18" customWidth="1" min="5" max="5"/>
    <col width="70" customWidth="1" min="6" max="6"/>
    <col width="16" customWidth="1" min="7" max="7"/>
  </cols>
  <sheetData>
    <row r="1">
      <c r="A1" s="36" t="inlineStr">
        <is>
          <t>Manager</t>
        </is>
      </c>
      <c r="B1" s="36" t="inlineStr">
        <is>
          <t>Centre</t>
        </is>
      </c>
      <c r="C1" s="36" t="inlineStr">
        <is>
          <t>Program</t>
        </is>
      </c>
      <c r="D1" s="36" t="inlineStr">
        <is>
          <t>Date</t>
        </is>
      </c>
      <c r="E1" s="36" t="inlineStr">
        <is>
          <t>Section</t>
        </is>
      </c>
      <c r="F1" s="36" t="inlineStr">
        <is>
          <t>Item</t>
        </is>
      </c>
      <c r="G1" s="36" t="inlineStr">
        <is>
          <t>Status</t>
        </is>
      </c>
    </row>
    <row r="2">
      <c r="A2" s="37" t="inlineStr">
        <is>
          <t>Phani</t>
        </is>
      </c>
      <c r="B2" s="37" t="inlineStr">
        <is>
          <t>Vijayanagaram</t>
        </is>
      </c>
      <c r="C2" s="37" t="inlineStr">
        <is>
          <t>Grow Youth</t>
        </is>
      </c>
      <c r="D2" s="37" t="inlineStr">
        <is>
          <t>2026-07-02</t>
        </is>
      </c>
      <c r="E2" s="37" t="inlineStr">
        <is>
          <t>Data Check</t>
        </is>
      </c>
      <c r="F2" s="37" t="inlineStr">
        <is>
          <t>Reach the centre on time (unannounced) — confirm the centre opened on time.</t>
        </is>
      </c>
      <c r="G2" s="37" t="inlineStr">
        <is>
          <t>All is Well</t>
        </is>
      </c>
    </row>
    <row r="3">
      <c r="A3" s="37" t="inlineStr">
        <is>
          <t>Phani</t>
        </is>
      </c>
      <c r="B3" s="37" t="inlineStr">
        <is>
          <t>Vijayanagaram</t>
        </is>
      </c>
      <c r="C3" s="37" t="inlineStr">
        <is>
          <t>Grow Youth</t>
        </is>
      </c>
      <c r="D3" s="37" t="inlineStr">
        <is>
          <t>2026-07-02</t>
        </is>
      </c>
      <c r="E3" s="37" t="inlineStr">
        <is>
          <t>Data Check</t>
        </is>
      </c>
      <c r="F3" s="37" t="inlineStr">
        <is>
          <t>Check the staff attendance register, the Google Sheet, and geo-tagged photos for aspirants.</t>
        </is>
      </c>
      <c r="G3" s="37" t="inlineStr">
        <is>
          <t>All is Well</t>
        </is>
      </c>
    </row>
    <row r="4">
      <c r="A4" s="37" t="inlineStr">
        <is>
          <t>Phani</t>
        </is>
      </c>
      <c r="B4" s="37" t="inlineStr">
        <is>
          <t>Vijayanagaram</t>
        </is>
      </c>
      <c r="C4" s="37" t="inlineStr">
        <is>
          <t>Grow Youth</t>
        </is>
      </c>
      <c r="D4" s="37" t="inlineStr">
        <is>
          <t>2026-07-02</t>
        </is>
      </c>
      <c r="E4" s="37" t="inlineStr">
        <is>
          <t>Data Check</t>
        </is>
      </c>
      <c r="F4" s="37" t="inlineStr">
        <is>
          <t>Check Counselling and Screening Forms of recently started batches.</t>
        </is>
      </c>
      <c r="G4" s="37" t="inlineStr">
        <is>
          <t>All is Well</t>
        </is>
      </c>
    </row>
    <row r="5">
      <c r="A5" s="37" t="inlineStr">
        <is>
          <t>Phani</t>
        </is>
      </c>
      <c r="B5" s="37" t="inlineStr">
        <is>
          <t>Vijayanagaram</t>
        </is>
      </c>
      <c r="C5" s="37" t="inlineStr">
        <is>
          <t>Grow Youth</t>
        </is>
      </c>
      <c r="D5" s="37" t="inlineStr">
        <is>
          <t>2026-07-02</t>
        </is>
      </c>
      <c r="E5" s="37" t="inlineStr">
        <is>
          <t>Data Check</t>
        </is>
      </c>
      <c r="F5" s="37" t="inlineStr">
        <is>
          <t>Check Aspirant Registration Forms and related documents.</t>
        </is>
      </c>
      <c r="G5" s="37" t="inlineStr">
        <is>
          <t>All is Well</t>
        </is>
      </c>
    </row>
    <row r="6">
      <c r="A6" s="37" t="inlineStr">
        <is>
          <t>Phani</t>
        </is>
      </c>
      <c r="B6" s="37" t="inlineStr">
        <is>
          <t>Vijayanagaram</t>
        </is>
      </c>
      <c r="C6" s="37" t="inlineStr">
        <is>
          <t>Grow Youth</t>
        </is>
      </c>
      <c r="D6" s="37" t="inlineStr">
        <is>
          <t>2026-07-02</t>
        </is>
      </c>
      <c r="E6" s="37" t="inlineStr">
        <is>
          <t>Data Check</t>
        </is>
      </c>
      <c r="F6" s="37" t="inlineStr">
        <is>
          <t>On the GROW portal, confirm all student profile details and batch updates are currect.</t>
        </is>
      </c>
      <c r="G6" s="37" t="inlineStr">
        <is>
          <t>All is Well</t>
        </is>
      </c>
    </row>
    <row r="7">
      <c r="A7" s="37" t="inlineStr">
        <is>
          <t>Phani</t>
        </is>
      </c>
      <c r="B7" s="37" t="inlineStr">
        <is>
          <t>Vijayanagaram</t>
        </is>
      </c>
      <c r="C7" s="37" t="inlineStr">
        <is>
          <t>Grow Youth</t>
        </is>
      </c>
      <c r="D7" s="37" t="inlineStr">
        <is>
          <t>2026-07-02</t>
        </is>
      </c>
      <c r="E7" s="37" t="inlineStr">
        <is>
          <t>Data Check</t>
        </is>
      </c>
      <c r="F7" s="37" t="inlineStr">
        <is>
          <t>Verify placement data — randomly call 3–4 alumni placed in the last 3 months to confirm veracity (random selection is essential).</t>
        </is>
      </c>
      <c r="G7" s="37" t="inlineStr">
        <is>
          <t>All is Well</t>
        </is>
      </c>
    </row>
    <row r="8">
      <c r="A8" s="37" t="inlineStr">
        <is>
          <t>Phani</t>
        </is>
      </c>
      <c r="B8" s="37" t="inlineStr">
        <is>
          <t>Vijayanagaram</t>
        </is>
      </c>
      <c r="C8" s="37" t="inlineStr">
        <is>
          <t>Grow Youth</t>
        </is>
      </c>
      <c r="D8" s="37" t="inlineStr">
        <is>
          <t>2026-07-02</t>
        </is>
      </c>
      <c r="E8" s="37" t="inlineStr">
        <is>
          <t>Data Check</t>
        </is>
      </c>
      <c r="F8" s="37" t="inlineStr">
        <is>
          <t>Verify retention — check the Alumni Hand-holding Format is being updated as designed.</t>
        </is>
      </c>
      <c r="G8" s="37" t="inlineStr">
        <is>
          <t>All is Well</t>
        </is>
      </c>
    </row>
    <row r="9">
      <c r="A9" s="37" t="inlineStr">
        <is>
          <t>Phani</t>
        </is>
      </c>
      <c r="B9" s="37" t="inlineStr">
        <is>
          <t>Vijayanagaram</t>
        </is>
      </c>
      <c r="C9" s="37" t="inlineStr">
        <is>
          <t>Grow Youth</t>
        </is>
      </c>
      <c r="D9" s="37" t="inlineStr">
        <is>
          <t>2026-07-02</t>
        </is>
      </c>
      <c r="E9" s="37" t="inlineStr">
        <is>
          <t>Data Check</t>
        </is>
      </c>
      <c r="F9" s="37" t="inlineStr">
        <is>
          <t>Check aspirant Hostel Forms are properly filled or not.</t>
        </is>
      </c>
      <c r="G9" s="37" t="inlineStr">
        <is>
          <t>Not Applicable</t>
        </is>
      </c>
    </row>
    <row r="10">
      <c r="A10" s="37" t="inlineStr">
        <is>
          <t>Phani</t>
        </is>
      </c>
      <c r="B10" s="37" t="inlineStr">
        <is>
          <t>Vijayanagaram</t>
        </is>
      </c>
      <c r="C10" s="37" t="inlineStr">
        <is>
          <t>Grow Youth</t>
        </is>
      </c>
      <c r="D10" s="37" t="inlineStr">
        <is>
          <t>2026-07-02</t>
        </is>
      </c>
      <c r="E10" s="37" t="inlineStr">
        <is>
          <t>Infra Check</t>
        </is>
      </c>
      <c r="F10" s="37" t="inlineStr">
        <is>
          <t>Check all CCTV cameras; if any are not working, ask the AH to troubleshoot or call the vendor.</t>
        </is>
      </c>
      <c r="G10" s="37" t="inlineStr">
        <is>
          <t>All is Well</t>
        </is>
      </c>
    </row>
    <row r="11">
      <c r="A11" s="37" t="inlineStr">
        <is>
          <t>Phani</t>
        </is>
      </c>
      <c r="B11" s="37" t="inlineStr">
        <is>
          <t>Vijayanagaram</t>
        </is>
      </c>
      <c r="C11" s="37" t="inlineStr">
        <is>
          <t>Grow Youth</t>
        </is>
      </c>
      <c r="D11" s="37" t="inlineStr">
        <is>
          <t>2026-07-02</t>
        </is>
      </c>
      <c r="E11" s="37" t="inlineStr">
        <is>
          <t>Infra Check</t>
        </is>
      </c>
      <c r="F11" s="37" t="inlineStr">
        <is>
          <t>Check for any scrap material and get it cleared, with support of Admin</t>
        </is>
      </c>
      <c r="G11" s="37" t="inlineStr">
        <is>
          <t>Need Improvement</t>
        </is>
      </c>
    </row>
    <row r="12">
      <c r="A12" s="37" t="inlineStr">
        <is>
          <t>Phani</t>
        </is>
      </c>
      <c r="B12" s="37" t="inlineStr">
        <is>
          <t>Vijayanagaram</t>
        </is>
      </c>
      <c r="C12" s="37" t="inlineStr">
        <is>
          <t>Grow Youth</t>
        </is>
      </c>
      <c r="D12" s="37" t="inlineStr">
        <is>
          <t>2026-07-02</t>
        </is>
      </c>
      <c r="E12" s="37" t="inlineStr">
        <is>
          <t>Infra Check</t>
        </is>
      </c>
      <c r="F12" s="37" t="inlineStr">
        <is>
          <t>Check for any pending infra repairs.</t>
        </is>
      </c>
      <c r="G12" s="37" t="inlineStr">
        <is>
          <t>Need Improvement</t>
        </is>
      </c>
    </row>
    <row r="13">
      <c r="A13" s="37" t="inlineStr">
        <is>
          <t>Phani</t>
        </is>
      </c>
      <c r="B13" s="37" t="inlineStr">
        <is>
          <t>Vijayanagaram</t>
        </is>
      </c>
      <c r="C13" s="37" t="inlineStr">
        <is>
          <t>Grow Youth</t>
        </is>
      </c>
      <c r="D13" s="37" t="inlineStr">
        <is>
          <t>2026-07-02</t>
        </is>
      </c>
      <c r="E13" s="37" t="inlineStr">
        <is>
          <t>Infra Check</t>
        </is>
      </c>
      <c r="F13" s="37" t="inlineStr">
        <is>
          <t>Check whether any fire extinguishers have expired (check the needle and expiry date both).</t>
        </is>
      </c>
      <c r="G13" s="37" t="inlineStr">
        <is>
          <t>All is Well</t>
        </is>
      </c>
    </row>
    <row r="14">
      <c r="A14" s="37" t="inlineStr">
        <is>
          <t>Phani</t>
        </is>
      </c>
      <c r="B14" s="37" t="inlineStr">
        <is>
          <t>Vijayanagaram</t>
        </is>
      </c>
      <c r="C14" s="37" t="inlineStr">
        <is>
          <t>Grow Youth</t>
        </is>
      </c>
      <c r="D14" s="37" t="inlineStr">
        <is>
          <t>2026-07-02</t>
        </is>
      </c>
      <c r="E14" s="37" t="inlineStr">
        <is>
          <t>Infra Check</t>
        </is>
      </c>
      <c r="F14" s="37" t="inlineStr">
        <is>
          <t>Check basic cleanliness of the washrooms and the centre.</t>
        </is>
      </c>
      <c r="G14" s="37" t="inlineStr">
        <is>
          <t>All is Well</t>
        </is>
      </c>
    </row>
    <row r="15">
      <c r="A15" s="37" t="inlineStr">
        <is>
          <t>Phani</t>
        </is>
      </c>
      <c r="B15" s="37" t="inlineStr">
        <is>
          <t>Vijayanagaram</t>
        </is>
      </c>
      <c r="C15" s="37" t="inlineStr">
        <is>
          <t>Grow Youth</t>
        </is>
      </c>
      <c r="D15" s="37" t="inlineStr">
        <is>
          <t>2026-07-02</t>
        </is>
      </c>
      <c r="E15" s="37" t="inlineStr">
        <is>
          <t>Infra Check</t>
        </is>
      </c>
      <c r="F15" s="37" t="inlineStr">
        <is>
          <t>Confirm the correct program and partner logos are displayed.</t>
        </is>
      </c>
      <c r="G15" s="37" t="inlineStr">
        <is>
          <t>All is Well</t>
        </is>
      </c>
    </row>
    <row r="16">
      <c r="A16" s="37" t="inlineStr">
        <is>
          <t>Phani</t>
        </is>
      </c>
      <c r="B16" s="37" t="inlineStr">
        <is>
          <t>Vijayanagaram</t>
        </is>
      </c>
      <c r="C16" s="37" t="inlineStr">
        <is>
          <t>Grow Youth</t>
        </is>
      </c>
      <c r="D16" s="37" t="inlineStr">
        <is>
          <t>2026-07-02</t>
        </is>
      </c>
      <c r="E16" s="37" t="inlineStr">
        <is>
          <t>Infra Check</t>
        </is>
      </c>
      <c r="F16" s="37" t="inlineStr">
        <is>
          <t>Check the status of digital infra — PCs, smartboards, tablets, laptops, etc.</t>
        </is>
      </c>
      <c r="G16" s="37" t="inlineStr">
        <is>
          <t>Need Improvement</t>
        </is>
      </c>
    </row>
    <row r="17">
      <c r="A17" s="37" t="inlineStr">
        <is>
          <t>Phani</t>
        </is>
      </c>
      <c r="B17" s="37" t="inlineStr">
        <is>
          <t>Vijayanagaram</t>
        </is>
      </c>
      <c r="C17" s="37" t="inlineStr">
        <is>
          <t>Grow Youth</t>
        </is>
      </c>
      <c r="D17" s="37" t="inlineStr">
        <is>
          <t>2026-07-02</t>
        </is>
      </c>
      <c r="E17" s="37" t="inlineStr">
        <is>
          <t>Infra Check</t>
        </is>
      </c>
      <c r="F17" s="37" t="inlineStr">
        <is>
          <t>Make a quick hostel visit; have lunch there if possible to test the food quality.</t>
        </is>
      </c>
      <c r="G17" s="37" t="inlineStr">
        <is>
          <t>Not Applicable</t>
        </is>
      </c>
    </row>
    <row r="18">
      <c r="A18" s="37" t="inlineStr">
        <is>
          <t>Phani</t>
        </is>
      </c>
      <c r="B18" s="37" t="inlineStr">
        <is>
          <t>Vijayanagaram</t>
        </is>
      </c>
      <c r="C18" s="37" t="inlineStr">
        <is>
          <t>Grow Youth</t>
        </is>
      </c>
      <c r="D18" s="37" t="inlineStr">
        <is>
          <t>2026-07-02</t>
        </is>
      </c>
      <c r="E18" s="37" t="inlineStr">
        <is>
          <t>Process Check</t>
        </is>
      </c>
      <c r="F18" s="37" t="inlineStr">
        <is>
          <t>Refer to the activity planner — check if any activities are delayed.</t>
        </is>
      </c>
      <c r="G18" s="37" t="inlineStr">
        <is>
          <t>Not Applicable</t>
        </is>
      </c>
    </row>
    <row r="19">
      <c r="A19" s="37" t="inlineStr">
        <is>
          <t>Phani</t>
        </is>
      </c>
      <c r="B19" s="37" t="inlineStr">
        <is>
          <t>Vijayanagaram</t>
        </is>
      </c>
      <c r="C19" s="37" t="inlineStr">
        <is>
          <t>Grow Youth</t>
        </is>
      </c>
      <c r="D19" s="37" t="inlineStr">
        <is>
          <t>2026-07-02</t>
        </is>
      </c>
      <c r="E19" s="37" t="inlineStr">
        <is>
          <t>Process Check</t>
        </is>
      </c>
      <c r="F19" s="37" t="inlineStr">
        <is>
          <t>Check planning for the next batch-start announcement.</t>
        </is>
      </c>
      <c r="G19" s="37" t="inlineStr">
        <is>
          <t>All is Well</t>
        </is>
      </c>
    </row>
    <row r="20">
      <c r="A20" s="37" t="inlineStr">
        <is>
          <t>Phani</t>
        </is>
      </c>
      <c r="B20" s="37" t="inlineStr">
        <is>
          <t>Vijayanagaram</t>
        </is>
      </c>
      <c r="C20" s="37" t="inlineStr">
        <is>
          <t>Grow Youth</t>
        </is>
      </c>
      <c r="D20" s="37" t="inlineStr">
        <is>
          <t>2026-07-02</t>
        </is>
      </c>
      <c r="E20" s="37" t="inlineStr">
        <is>
          <t>Process Check</t>
        </is>
      </c>
      <c r="F20" s="37" t="inlineStr">
        <is>
          <t>Check if any hiring is delayed and plan a resolution.</t>
        </is>
      </c>
      <c r="G20" s="37" t="inlineStr">
        <is>
          <t>Need Improvement</t>
        </is>
      </c>
    </row>
    <row r="21">
      <c r="A21" s="37" t="inlineStr">
        <is>
          <t>Phani</t>
        </is>
      </c>
      <c r="B21" s="37" t="inlineStr">
        <is>
          <t>Vijayanagaram</t>
        </is>
      </c>
      <c r="C21" s="37" t="inlineStr">
        <is>
          <t>Grow Youth</t>
        </is>
      </c>
      <c r="D21" s="37" t="inlineStr">
        <is>
          <t>2026-07-02</t>
        </is>
      </c>
      <c r="E21" s="37" t="inlineStr">
        <is>
          <t>Process Check</t>
        </is>
      </c>
      <c r="F21" s="37" t="inlineStr">
        <is>
          <t>Check the CA’s diary — is CA guided daily by the AH during planning days?</t>
        </is>
      </c>
      <c r="G21" s="37" t="inlineStr">
        <is>
          <t>Not Applicable</t>
        </is>
      </c>
    </row>
    <row r="22">
      <c r="A22" s="37" t="inlineStr">
        <is>
          <t>Phani</t>
        </is>
      </c>
      <c r="B22" s="37" t="inlineStr">
        <is>
          <t>Vijayanagaram</t>
        </is>
      </c>
      <c r="C22" s="37" t="inlineStr">
        <is>
          <t>Grow Youth</t>
        </is>
      </c>
      <c r="D22" s="37" t="inlineStr">
        <is>
          <t>2026-07-02</t>
        </is>
      </c>
      <c r="E22" s="37" t="inlineStr">
        <is>
          <t>Process Check</t>
        </is>
      </c>
      <c r="F22" s="37" t="inlineStr">
        <is>
          <t>Check the AH is regularly meeting employers (in person and online) and updating the centre’s Top 20 Employer format.</t>
        </is>
      </c>
      <c r="G22" s="37" t="inlineStr">
        <is>
          <t>Need Improvement</t>
        </is>
      </c>
    </row>
    <row r="23">
      <c r="A23" s="37" t="inlineStr">
        <is>
          <t>Phani</t>
        </is>
      </c>
      <c r="B23" s="37" t="inlineStr">
        <is>
          <t>Vijayanagaram</t>
        </is>
      </c>
      <c r="C23" s="37" t="inlineStr">
        <is>
          <t>Grow Youth</t>
        </is>
      </c>
      <c r="D23" s="37" t="inlineStr">
        <is>
          <t>2026-07-02</t>
        </is>
      </c>
      <c r="E23" s="37" t="inlineStr">
        <is>
          <t>Process Check</t>
        </is>
      </c>
      <c r="F23" s="37" t="inlineStr">
        <is>
          <t>Confirm all new employers are registered on portal as per new process.</t>
        </is>
      </c>
      <c r="G23" s="37" t="inlineStr">
        <is>
          <t>All is Well</t>
        </is>
      </c>
    </row>
    <row r="24">
      <c r="A24" s="37" t="inlineStr">
        <is>
          <t>Phani</t>
        </is>
      </c>
      <c r="B24" s="37" t="inlineStr">
        <is>
          <t>Vijayanagaram</t>
        </is>
      </c>
      <c r="C24" s="37" t="inlineStr">
        <is>
          <t>Grow Youth</t>
        </is>
      </c>
      <c r="D24" s="37" t="inlineStr">
        <is>
          <t>2026-07-02</t>
        </is>
      </c>
      <c r="E24" s="37" t="inlineStr">
        <is>
          <t>Process Check</t>
        </is>
      </c>
      <c r="F24" s="37" t="inlineStr">
        <is>
          <t>Confirm 100% of enrolled students undergone screening (for technical courses).</t>
        </is>
      </c>
      <c r="G24" s="37" t="inlineStr">
        <is>
          <t>Not Applicable</t>
        </is>
      </c>
    </row>
    <row r="25">
      <c r="A25" s="37" t="inlineStr">
        <is>
          <t>Phani</t>
        </is>
      </c>
      <c r="B25" s="37" t="inlineStr">
        <is>
          <t>Vijayanagaram</t>
        </is>
      </c>
      <c r="C25" s="37" t="inlineStr">
        <is>
          <t>Grow Youth</t>
        </is>
      </c>
      <c r="D25" s="37" t="inlineStr">
        <is>
          <t>2026-07-02</t>
        </is>
      </c>
      <c r="E25" s="37" t="inlineStr">
        <is>
          <t>Process Check</t>
        </is>
      </c>
      <c r="F25" s="37" t="inlineStr">
        <is>
          <t>Confirm ESA is done (in GROW full ESA and in Technical courses relevant sections of Core Employability Part).</t>
        </is>
      </c>
      <c r="G25" s="37" t="inlineStr">
        <is>
          <t>All is Well</t>
        </is>
      </c>
    </row>
    <row r="26">
      <c r="A26" s="37" t="inlineStr">
        <is>
          <t>Phani</t>
        </is>
      </c>
      <c r="B26" s="37" t="inlineStr">
        <is>
          <t>Vijayanagaram</t>
        </is>
      </c>
      <c r="C26" s="37" t="inlineStr">
        <is>
          <t>Grow Youth</t>
        </is>
      </c>
      <c r="D26" s="37" t="inlineStr">
        <is>
          <t>2026-07-02</t>
        </is>
      </c>
      <c r="E26" s="37" t="inlineStr">
        <is>
          <t>Process Check</t>
        </is>
      </c>
      <c r="F26" s="37" t="inlineStr">
        <is>
          <t>Check is AH giving capstone project in GROW Tech.</t>
        </is>
      </c>
      <c r="G26" s="37" t="inlineStr">
        <is>
          <t>Not Applicable</t>
        </is>
      </c>
    </row>
    <row r="27">
      <c r="A27" s="37" t="inlineStr">
        <is>
          <t>Phani</t>
        </is>
      </c>
      <c r="B27" s="37" t="inlineStr">
        <is>
          <t>Vijayanagaram</t>
        </is>
      </c>
      <c r="C27" s="37" t="inlineStr">
        <is>
          <t>Grow Youth</t>
        </is>
      </c>
      <c r="D27" s="37" t="inlineStr">
        <is>
          <t>2026-07-02</t>
        </is>
      </c>
      <c r="E27" s="37" t="inlineStr">
        <is>
          <t>Process Check</t>
        </is>
      </c>
      <c r="F27" s="37" t="inlineStr">
        <is>
          <t>Check is AH planning OJT as per guidelines and proofs are collected for technical courses.</t>
        </is>
      </c>
      <c r="G27" s="37" t="inlineStr">
        <is>
          <t>Not Applicable</t>
        </is>
      </c>
    </row>
    <row r="28">
      <c r="A28" s="37" t="inlineStr">
        <is>
          <t>Phani</t>
        </is>
      </c>
      <c r="B28" s="37" t="inlineStr">
        <is>
          <t>Vijayanagaram</t>
        </is>
      </c>
      <c r="C28" s="37" t="inlineStr">
        <is>
          <t>Grow Youth</t>
        </is>
      </c>
      <c r="D28" s="37" t="inlineStr">
        <is>
          <t>2026-07-02</t>
        </is>
      </c>
      <c r="E28" s="37" t="inlineStr">
        <is>
          <t>Process Check</t>
        </is>
      </c>
      <c r="F28" s="37" t="inlineStr">
        <is>
          <t>Check are trainers contacting aspirants to find reason for their absenteeism of more than 1 day.</t>
        </is>
      </c>
      <c r="G28" s="37" t="inlineStr">
        <is>
          <t>All is Well</t>
        </is>
      </c>
    </row>
    <row r="29">
      <c r="A29" s="37" t="inlineStr">
        <is>
          <t>Phani</t>
        </is>
      </c>
      <c r="B29" s="37" t="inlineStr">
        <is>
          <t>Vijayanagaram</t>
        </is>
      </c>
      <c r="C29" s="37" t="inlineStr">
        <is>
          <t>Grow Youth</t>
        </is>
      </c>
      <c r="D29" s="37" t="inlineStr">
        <is>
          <t>2026-07-02</t>
        </is>
      </c>
      <c r="E29" s="37" t="inlineStr">
        <is>
          <t>Process Check</t>
        </is>
      </c>
      <c r="F29" s="37" t="inlineStr">
        <is>
          <t>Check the AH plans monthly enrolment and placement numbers by the 3rd of each month and shares them with second level managers.</t>
        </is>
      </c>
      <c r="G29" s="37" t="inlineStr">
        <is>
          <t>All is Well</t>
        </is>
      </c>
    </row>
    <row r="30">
      <c r="A30" s="37" t="inlineStr">
        <is>
          <t>Phani</t>
        </is>
      </c>
      <c r="B30" s="37" t="inlineStr">
        <is>
          <t>Vijayanagaram</t>
        </is>
      </c>
      <c r="C30" s="37" t="inlineStr">
        <is>
          <t>Grow Youth</t>
        </is>
      </c>
      <c r="D30" s="37" t="inlineStr">
        <is>
          <t>2026-07-02</t>
        </is>
      </c>
      <c r="E30" s="37" t="inlineStr">
        <is>
          <t>Process Check</t>
        </is>
      </c>
      <c r="F30" s="37" t="inlineStr">
        <is>
          <t>Check trainers submit aspirants’ placement interest areas to the AH by the batch’s 25th day (in GROW).</t>
        </is>
      </c>
      <c r="G30" s="37" t="inlineStr">
        <is>
          <t>Need Improvement</t>
        </is>
      </c>
    </row>
    <row r="31">
      <c r="A31" s="37" t="inlineStr">
        <is>
          <t>Phani</t>
        </is>
      </c>
      <c r="B31" s="37" t="inlineStr">
        <is>
          <t>Vijayanagaram</t>
        </is>
      </c>
      <c r="C31" s="37" t="inlineStr">
        <is>
          <t>Grow Youth</t>
        </is>
      </c>
      <c r="D31" s="37" t="inlineStr">
        <is>
          <t>2026-07-02</t>
        </is>
      </c>
      <c r="E31" s="37" t="inlineStr">
        <is>
          <t>Process Check</t>
        </is>
      </c>
      <c r="F31" s="37" t="inlineStr">
        <is>
          <t>Ckeck For technical programs, placement is done only in technical jobs,on which aspirants are trained and relevant emplyers are identified by 45th day.</t>
        </is>
      </c>
      <c r="G31" s="37" t="inlineStr">
        <is>
          <t>Not Applicable</t>
        </is>
      </c>
    </row>
    <row r="32">
      <c r="A32" s="37" t="inlineStr">
        <is>
          <t>Phani</t>
        </is>
      </c>
      <c r="B32" s="37" t="inlineStr">
        <is>
          <t>Vijayanagaram</t>
        </is>
      </c>
      <c r="C32" s="37" t="inlineStr">
        <is>
          <t>Grow Youth</t>
        </is>
      </c>
      <c r="D32" s="37" t="inlineStr">
        <is>
          <t>2026-07-02</t>
        </is>
      </c>
      <c r="E32" s="37" t="inlineStr">
        <is>
          <t>Process Check</t>
        </is>
      </c>
      <c r="F32" s="37" t="inlineStr">
        <is>
          <t>Check the AH follows EP guidelines and minimum benchmark salary guidelines.</t>
        </is>
      </c>
      <c r="G32" s="37" t="inlineStr">
        <is>
          <t>All is Well</t>
        </is>
      </c>
    </row>
    <row r="33">
      <c r="A33" s="37" t="inlineStr">
        <is>
          <t>Phani</t>
        </is>
      </c>
      <c r="B33" s="37" t="inlineStr">
        <is>
          <t>Vijayanagaram</t>
        </is>
      </c>
      <c r="C33" s="37" t="inlineStr">
        <is>
          <t>Grow Youth</t>
        </is>
      </c>
      <c r="D33" s="37" t="inlineStr">
        <is>
          <t>2026-07-02</t>
        </is>
      </c>
      <c r="E33" s="37" t="inlineStr">
        <is>
          <t>Process Check</t>
        </is>
      </c>
      <c r="F33" s="37" t="inlineStr">
        <is>
          <t>Check that AH is enrolling only the right traget group in the program -as per the defined target.</t>
        </is>
      </c>
      <c r="G33" s="37" t="inlineStr">
        <is>
          <t>All is Well</t>
        </is>
      </c>
    </row>
    <row r="34">
      <c r="A34" s="37" t="inlineStr">
        <is>
          <t>Phani</t>
        </is>
      </c>
      <c r="B34" s="37" t="inlineStr">
        <is>
          <t>Vijayanagaram</t>
        </is>
      </c>
      <c r="C34" s="37" t="inlineStr">
        <is>
          <t>Grow Youth</t>
        </is>
      </c>
      <c r="D34" s="37" t="inlineStr">
        <is>
          <t>2026-07-02</t>
        </is>
      </c>
      <c r="E34" s="37" t="inlineStr">
        <is>
          <t>Process Check</t>
        </is>
      </c>
      <c r="F34" s="37" t="inlineStr">
        <is>
          <t>Check the AH announces the next batch-start date by the 3rd of the month on all notice boards — focus on Zero-Day start.</t>
        </is>
      </c>
      <c r="G34" s="37" t="inlineStr">
        <is>
          <t>All is Well</t>
        </is>
      </c>
    </row>
    <row r="35">
      <c r="A35" s="37" t="inlineStr">
        <is>
          <t>Phani</t>
        </is>
      </c>
      <c r="B35" s="37" t="inlineStr">
        <is>
          <t>Vijayanagaram</t>
        </is>
      </c>
      <c r="C35" s="37" t="inlineStr">
        <is>
          <t>Grow Youth</t>
        </is>
      </c>
      <c r="D35" s="37" t="inlineStr">
        <is>
          <t>2026-07-02</t>
        </is>
      </c>
      <c r="E35" s="37" t="inlineStr">
        <is>
          <t>Process Check</t>
        </is>
      </c>
      <c r="F35" s="37" t="inlineStr">
        <is>
          <t>Check the Aspirant Mock Interview Score Tracker is updated after every mock interview in the L&amp;D Google Sheet.</t>
        </is>
      </c>
      <c r="G35" s="37" t="inlineStr">
        <is>
          <t>All is Well</t>
        </is>
      </c>
    </row>
    <row r="36">
      <c r="A36" s="37" t="inlineStr">
        <is>
          <t>Phani</t>
        </is>
      </c>
      <c r="B36" s="37" t="inlineStr">
        <is>
          <t>Vijayanagaram</t>
        </is>
      </c>
      <c r="C36" s="37" t="inlineStr">
        <is>
          <t>Grow Youth</t>
        </is>
      </c>
      <c r="D36" s="37" t="inlineStr">
        <is>
          <t>2026-07-02</t>
        </is>
      </c>
      <c r="E36" s="37" t="inlineStr">
        <is>
          <t>Process Check</t>
        </is>
      </c>
      <c r="F36" s="37" t="inlineStr">
        <is>
          <t>Confirm NPS (Net Promoter Score) is collected at MSDF centres.</t>
        </is>
      </c>
      <c r="G36" s="37" t="inlineStr">
        <is>
          <t>Not Applicable</t>
        </is>
      </c>
    </row>
    <row r="37">
      <c r="A37" s="37" t="inlineStr">
        <is>
          <t>Phani</t>
        </is>
      </c>
      <c r="B37" s="37" t="inlineStr">
        <is>
          <t>Vijayanagaram</t>
        </is>
      </c>
      <c r="C37" s="37" t="inlineStr">
        <is>
          <t>Grow Youth</t>
        </is>
      </c>
      <c r="D37" s="37" t="inlineStr">
        <is>
          <t>2026-07-02</t>
        </is>
      </c>
      <c r="E37" s="37" t="inlineStr">
        <is>
          <t>Process Check</t>
        </is>
      </c>
      <c r="F37" s="37" t="inlineStr">
        <is>
          <t>Confirm that QAE is collecting student feedback for every batch.</t>
        </is>
      </c>
      <c r="G37" s="37" t="inlineStr">
        <is>
          <t>All is Well</t>
        </is>
      </c>
    </row>
    <row r="38">
      <c r="A38" s="37" t="inlineStr">
        <is>
          <t>Phani</t>
        </is>
      </c>
      <c r="B38" s="37" t="inlineStr">
        <is>
          <t>Vijayanagaram</t>
        </is>
      </c>
      <c r="C38" s="37" t="inlineStr">
        <is>
          <t>Grow Youth</t>
        </is>
      </c>
      <c r="D38" s="37" t="inlineStr">
        <is>
          <t>2026-07-02</t>
        </is>
      </c>
      <c r="E38" s="37" t="inlineStr">
        <is>
          <t>Process Check</t>
        </is>
      </c>
      <c r="F38" s="37" t="inlineStr">
        <is>
          <t>Confirm all centre teams have completed the GROW Manual Course on Skillfy — ask for achievement certificates.</t>
        </is>
      </c>
      <c r="G38" s="37" t="inlineStr">
        <is>
          <t>All is Well</t>
        </is>
      </c>
    </row>
    <row r="39">
      <c r="A39" s="37" t="inlineStr">
        <is>
          <t>Phani</t>
        </is>
      </c>
      <c r="B39" s="37" t="inlineStr">
        <is>
          <t>Vijayanagaram</t>
        </is>
      </c>
      <c r="C39" s="37" t="inlineStr">
        <is>
          <t>Grow Youth</t>
        </is>
      </c>
      <c r="D39" s="37" t="inlineStr">
        <is>
          <t>2026-07-02</t>
        </is>
      </c>
      <c r="E39" s="37" t="inlineStr">
        <is>
          <t>Process Check</t>
        </is>
      </c>
      <c r="F39" s="37" t="inlineStr">
        <is>
          <t>Check AH holds a quality weekly team meeting, documents action points in the weekly meeting format, and sends you a photo on WhatsApp.</t>
        </is>
      </c>
      <c r="G39" s="37" t="inlineStr">
        <is>
          <t>Need Improvement</t>
        </is>
      </c>
    </row>
    <row r="40">
      <c r="A40" s="37" t="inlineStr">
        <is>
          <t>Phani</t>
        </is>
      </c>
      <c r="B40" s="37" t="inlineStr">
        <is>
          <t>Vijayanagaram</t>
        </is>
      </c>
      <c r="C40" s="37" t="inlineStr">
        <is>
          <t>Grow Youth</t>
        </is>
      </c>
      <c r="D40" s="37" t="inlineStr">
        <is>
          <t>2026-07-02</t>
        </is>
      </c>
      <c r="E40" s="37" t="inlineStr">
        <is>
          <t>Aspirant Interaction</t>
        </is>
      </c>
      <c r="F40" s="37" t="inlineStr">
        <is>
          <t>Ask aspirants about the session plan — confirm training is happening as planned?</t>
        </is>
      </c>
      <c r="G40" s="37" t="inlineStr">
        <is>
          <t>All is Well</t>
        </is>
      </c>
    </row>
    <row r="41">
      <c r="A41" s="37" t="inlineStr">
        <is>
          <t>Phani</t>
        </is>
      </c>
      <c r="B41" s="37" t="inlineStr">
        <is>
          <t>Vijayanagaram</t>
        </is>
      </c>
      <c r="C41" s="37" t="inlineStr">
        <is>
          <t>Grow Youth</t>
        </is>
      </c>
      <c r="D41" s="37" t="inlineStr">
        <is>
          <t>2026-07-02</t>
        </is>
      </c>
      <c r="E41" s="37" t="inlineStr">
        <is>
          <t>Aspirant Interaction</t>
        </is>
      </c>
      <c r="F41" s="37" t="inlineStr">
        <is>
          <t>Ask about the quality of Core Employability component delivery (technical centres) and who delivers it.</t>
        </is>
      </c>
      <c r="G41" s="37" t="inlineStr">
        <is>
          <t>All is Well</t>
        </is>
      </c>
    </row>
    <row r="42">
      <c r="A42" s="37" t="inlineStr">
        <is>
          <t>Phani</t>
        </is>
      </c>
      <c r="B42" s="37" t="inlineStr">
        <is>
          <t>Vijayanagaram</t>
        </is>
      </c>
      <c r="C42" s="37" t="inlineStr">
        <is>
          <t>Grow Youth</t>
        </is>
      </c>
      <c r="D42" s="37" t="inlineStr">
        <is>
          <t>2026-07-02</t>
        </is>
      </c>
      <c r="E42" s="37" t="inlineStr">
        <is>
          <t>Aspirant Interaction</t>
        </is>
      </c>
      <c r="F42" s="37" t="inlineStr">
        <is>
          <t>Ask whether they are aware of the referral scheme?</t>
        </is>
      </c>
      <c r="G42" s="37" t="inlineStr">
        <is>
          <t>All is Well</t>
        </is>
      </c>
    </row>
    <row r="43">
      <c r="A43" s="37" t="inlineStr">
        <is>
          <t>Phani</t>
        </is>
      </c>
      <c r="B43" s="37" t="inlineStr">
        <is>
          <t>Vijayanagaram</t>
        </is>
      </c>
      <c r="C43" s="37" t="inlineStr">
        <is>
          <t>Grow Youth</t>
        </is>
      </c>
      <c r="D43" s="37" t="inlineStr">
        <is>
          <t>2026-07-02</t>
        </is>
      </c>
      <c r="E43" s="37" t="inlineStr">
        <is>
          <t>Aspirant Interaction</t>
        </is>
      </c>
      <c r="F43" s="37" t="inlineStr">
        <is>
          <t>Ask whether the AH explained the importance of the offer letter and sharing it with us once received for reporting purposes?</t>
        </is>
      </c>
      <c r="G43" s="37" t="inlineStr">
        <is>
          <t>All is Well</t>
        </is>
      </c>
    </row>
    <row r="44">
      <c r="A44" s="37" t="inlineStr">
        <is>
          <t>Phani</t>
        </is>
      </c>
      <c r="B44" s="37" t="inlineStr">
        <is>
          <t>Vijayanagaram</t>
        </is>
      </c>
      <c r="C44" s="37" t="inlineStr">
        <is>
          <t>Grow Youth</t>
        </is>
      </c>
      <c r="D44" s="37" t="inlineStr">
        <is>
          <t>2026-07-02</t>
        </is>
      </c>
      <c r="E44" s="37" t="inlineStr">
        <is>
          <t>Aspirant Interaction</t>
        </is>
      </c>
      <c r="F44" s="37" t="inlineStr">
        <is>
          <t>Ask how many are not interested in jobs — and if so, why they enrolled in the programme?</t>
        </is>
      </c>
      <c r="G44" s="37" t="inlineStr">
        <is>
          <t>All is Well</t>
        </is>
      </c>
    </row>
    <row r="45">
      <c r="A45" s="37" t="inlineStr">
        <is>
          <t>Phani</t>
        </is>
      </c>
      <c r="B45" s="37" t="inlineStr">
        <is>
          <t>Vijayanagaram</t>
        </is>
      </c>
      <c r="C45" s="37" t="inlineStr">
        <is>
          <t>Grow Youth</t>
        </is>
      </c>
      <c r="D45" s="37" t="inlineStr">
        <is>
          <t>2026-07-02</t>
        </is>
      </c>
      <c r="E45" s="37" t="inlineStr">
        <is>
          <t>Aspirant Interaction</t>
        </is>
      </c>
      <c r="F45" s="37" t="inlineStr">
        <is>
          <t>Ask whether they were told the kind of job they would get during counselling?</t>
        </is>
      </c>
      <c r="G45" s="37" t="inlineStr">
        <is>
          <t>All is Well</t>
        </is>
      </c>
    </row>
    <row r="46">
      <c r="A46" s="37" t="inlineStr">
        <is>
          <t>Phani</t>
        </is>
      </c>
      <c r="B46" s="37" t="inlineStr">
        <is>
          <t>Vijayanagaram</t>
        </is>
      </c>
      <c r="C46" s="37" t="inlineStr">
        <is>
          <t>Grow Youth</t>
        </is>
      </c>
      <c r="D46" s="37" t="inlineStr">
        <is>
          <t>2026-07-02</t>
        </is>
      </c>
      <c r="E46" s="37" t="inlineStr">
        <is>
          <t>Aspirant Interaction</t>
        </is>
      </c>
      <c r="F46" s="37" t="inlineStr">
        <is>
          <t>Ask whether they have been given LMS access?</t>
        </is>
      </c>
      <c r="G46" s="37" t="inlineStr">
        <is>
          <t>All is Well</t>
        </is>
      </c>
    </row>
    <row r="47">
      <c r="A47" s="37" t="inlineStr">
        <is>
          <t>Phani</t>
        </is>
      </c>
      <c r="B47" s="37" t="inlineStr">
        <is>
          <t>Vijayanagaram</t>
        </is>
      </c>
      <c r="C47" s="37" t="inlineStr">
        <is>
          <t>Grow Youth</t>
        </is>
      </c>
      <c r="D47" s="37" t="inlineStr">
        <is>
          <t>2026-07-02</t>
        </is>
      </c>
      <c r="E47" s="37" t="inlineStr">
        <is>
          <t>Aspirant Interaction</t>
        </is>
      </c>
      <c r="F47" s="37" t="inlineStr">
        <is>
          <t>Ask whether anyone asked them for money for training or placement?</t>
        </is>
      </c>
      <c r="G47" s="37" t="inlineStr">
        <is>
          <t>All is Well</t>
        </is>
      </c>
    </row>
    <row r="48">
      <c r="A48" s="37" t="inlineStr">
        <is>
          <t>Phani</t>
        </is>
      </c>
      <c r="B48" s="37" t="inlineStr">
        <is>
          <t>Vijayanagaram</t>
        </is>
      </c>
      <c r="C48" s="37" t="inlineStr">
        <is>
          <t>Grow Youth</t>
        </is>
      </c>
      <c r="D48" s="37" t="inlineStr">
        <is>
          <t>2026-07-02</t>
        </is>
      </c>
      <c r="E48" s="37" t="inlineStr">
        <is>
          <t>Aspirant Interaction</t>
        </is>
      </c>
      <c r="F48" s="37" t="inlineStr">
        <is>
          <t>Ask to show their mobile phones — are they enrolled on Skillfy? If not, get them enrolled and give written feedback to trainers and the AH in your presence.</t>
        </is>
      </c>
      <c r="G48" s="37" t="inlineStr">
        <is>
          <t>All is Well</t>
        </is>
      </c>
    </row>
    <row r="49">
      <c r="A49" s="37" t="inlineStr">
        <is>
          <t>Phani</t>
        </is>
      </c>
      <c r="B49" s="37" t="inlineStr">
        <is>
          <t>Vijayanagaram</t>
        </is>
      </c>
      <c r="C49" s="37" t="inlineStr">
        <is>
          <t>Grow Youth</t>
        </is>
      </c>
      <c r="D49" s="37" t="inlineStr">
        <is>
          <t>2026-07-02</t>
        </is>
      </c>
      <c r="E49" s="37" t="inlineStr">
        <is>
          <t>Aspirant Interaction</t>
        </is>
      </c>
      <c r="F49" s="37" t="inlineStr">
        <is>
          <t>Ask about the quality of the hostel and any issues they face.</t>
        </is>
      </c>
      <c r="G49" s="37" t="inlineStr">
        <is>
          <t>Not Applicable</t>
        </is>
      </c>
    </row>
    <row r="50">
      <c r="A50" s="37" t="inlineStr">
        <is>
          <t>Phani</t>
        </is>
      </c>
      <c r="B50" s="37" t="inlineStr">
        <is>
          <t>Vijayanagaram</t>
        </is>
      </c>
      <c r="C50" s="37" t="inlineStr">
        <is>
          <t>Grow Youth</t>
        </is>
      </c>
      <c r="D50" s="37" t="inlineStr">
        <is>
          <t>2026-07-02</t>
        </is>
      </c>
      <c r="E50" s="37" t="inlineStr">
        <is>
          <t>Aspirant Interaction</t>
        </is>
      </c>
      <c r="F50" s="37" t="inlineStr">
        <is>
          <t>Ask a few relevant screening questions to support the 10th-day report and remove non-serious candidates, explaining to them the reasons.</t>
        </is>
      </c>
      <c r="G50" s="37" t="inlineStr">
        <is>
          <t>All is Well</t>
        </is>
      </c>
    </row>
    <row r="51">
      <c r="A51" s="37" t="inlineStr">
        <is>
          <t>S Jakir</t>
        </is>
      </c>
      <c r="B51" s="37" t="inlineStr">
        <is>
          <t>Bommanahalli</t>
        </is>
      </c>
      <c r="C51" s="37" t="inlineStr">
        <is>
          <t xml:space="preserve">GROW Youth </t>
        </is>
      </c>
      <c r="D51" s="37" t="inlineStr">
        <is>
          <t>2026-07-02</t>
        </is>
      </c>
      <c r="E51" s="37" t="inlineStr">
        <is>
          <t>Data Check</t>
        </is>
      </c>
      <c r="F51" s="37" t="inlineStr">
        <is>
          <t>Reach the centre on time (unannounced) — confirm the centre opened on time.</t>
        </is>
      </c>
      <c r="G51" s="37" t="inlineStr">
        <is>
          <t>Need Improvement</t>
        </is>
      </c>
    </row>
    <row r="52">
      <c r="A52" s="37" t="inlineStr">
        <is>
          <t>S Jakir</t>
        </is>
      </c>
      <c r="B52" s="37" t="inlineStr">
        <is>
          <t>Bommanahalli</t>
        </is>
      </c>
      <c r="C52" s="37" t="inlineStr">
        <is>
          <t xml:space="preserve">GROW Youth </t>
        </is>
      </c>
      <c r="D52" s="37" t="inlineStr">
        <is>
          <t>2026-07-02</t>
        </is>
      </c>
      <c r="E52" s="37" t="inlineStr">
        <is>
          <t>Data Check</t>
        </is>
      </c>
      <c r="F52" s="37" t="inlineStr">
        <is>
          <t>Check the staff attendance register, the Google Sheet, and geo-tagged photos for aspirants.</t>
        </is>
      </c>
      <c r="G52" s="37" t="inlineStr">
        <is>
          <t>Need Improvement</t>
        </is>
      </c>
    </row>
    <row r="53">
      <c r="A53" s="37" t="inlineStr">
        <is>
          <t>S Jakir</t>
        </is>
      </c>
      <c r="B53" s="37" t="inlineStr">
        <is>
          <t>Bommanahalli</t>
        </is>
      </c>
      <c r="C53" s="37" t="inlineStr">
        <is>
          <t xml:space="preserve">GROW Youth </t>
        </is>
      </c>
      <c r="D53" s="37" t="inlineStr">
        <is>
          <t>2026-07-02</t>
        </is>
      </c>
      <c r="E53" s="37" t="inlineStr">
        <is>
          <t>Data Check</t>
        </is>
      </c>
      <c r="F53" s="37" t="inlineStr">
        <is>
          <t>Check Counselling and Screening Forms of recently started batches.</t>
        </is>
      </c>
      <c r="G53" s="37" t="inlineStr">
        <is>
          <t>All is Well</t>
        </is>
      </c>
    </row>
    <row r="54">
      <c r="A54" s="37" t="inlineStr">
        <is>
          <t>S Jakir</t>
        </is>
      </c>
      <c r="B54" s="37" t="inlineStr">
        <is>
          <t>Bommanahalli</t>
        </is>
      </c>
      <c r="C54" s="37" t="inlineStr">
        <is>
          <t xml:space="preserve">GROW Youth </t>
        </is>
      </c>
      <c r="D54" s="37" t="inlineStr">
        <is>
          <t>2026-07-02</t>
        </is>
      </c>
      <c r="E54" s="37" t="inlineStr">
        <is>
          <t>Data Check</t>
        </is>
      </c>
      <c r="F54" s="37" t="inlineStr">
        <is>
          <t>Check Aspirant Registration Forms and related documents.</t>
        </is>
      </c>
      <c r="G54" s="37" t="inlineStr">
        <is>
          <t>All is Well</t>
        </is>
      </c>
    </row>
    <row r="55">
      <c r="A55" s="37" t="inlineStr">
        <is>
          <t>S Jakir</t>
        </is>
      </c>
      <c r="B55" s="37" t="inlineStr">
        <is>
          <t>Bommanahalli</t>
        </is>
      </c>
      <c r="C55" s="37" t="inlineStr">
        <is>
          <t xml:space="preserve">GROW Youth </t>
        </is>
      </c>
      <c r="D55" s="37" t="inlineStr">
        <is>
          <t>2026-07-02</t>
        </is>
      </c>
      <c r="E55" s="37" t="inlineStr">
        <is>
          <t>Data Check</t>
        </is>
      </c>
      <c r="F55" s="37" t="inlineStr">
        <is>
          <t>On the GROW portal, confirm all student profile details and batch updates are currect.</t>
        </is>
      </c>
      <c r="G55" s="37" t="inlineStr">
        <is>
          <t>All is Well</t>
        </is>
      </c>
    </row>
    <row r="56">
      <c r="A56" s="37" t="inlineStr">
        <is>
          <t>S Jakir</t>
        </is>
      </c>
      <c r="B56" s="37" t="inlineStr">
        <is>
          <t>Bommanahalli</t>
        </is>
      </c>
      <c r="C56" s="37" t="inlineStr">
        <is>
          <t xml:space="preserve">GROW Youth </t>
        </is>
      </c>
      <c r="D56" s="37" t="inlineStr">
        <is>
          <t>2026-07-02</t>
        </is>
      </c>
      <c r="E56" s="37" t="inlineStr">
        <is>
          <t>Data Check</t>
        </is>
      </c>
      <c r="F56" s="37" t="inlineStr">
        <is>
          <t>Verify placement data — randomly call 3–4 alumni placed in the last 3 months to confirm veracity (random selection is essential).</t>
        </is>
      </c>
      <c r="G56" s="37" t="inlineStr">
        <is>
          <t>All is Well</t>
        </is>
      </c>
    </row>
    <row r="57">
      <c r="A57" s="37" t="inlineStr">
        <is>
          <t>S Jakir</t>
        </is>
      </c>
      <c r="B57" s="37" t="inlineStr">
        <is>
          <t>Bommanahalli</t>
        </is>
      </c>
      <c r="C57" s="37" t="inlineStr">
        <is>
          <t xml:space="preserve">GROW Youth </t>
        </is>
      </c>
      <c r="D57" s="37" t="inlineStr">
        <is>
          <t>2026-07-02</t>
        </is>
      </c>
      <c r="E57" s="37" t="inlineStr">
        <is>
          <t>Data Check</t>
        </is>
      </c>
      <c r="F57" s="37" t="inlineStr">
        <is>
          <t>Verify retention — check the Alumni Hand-holding Format is being updated as designed.</t>
        </is>
      </c>
      <c r="G57" s="37" t="inlineStr">
        <is>
          <t>All is Well</t>
        </is>
      </c>
    </row>
    <row r="58">
      <c r="A58" s="37" t="inlineStr">
        <is>
          <t>S Jakir</t>
        </is>
      </c>
      <c r="B58" s="37" t="inlineStr">
        <is>
          <t>Bommanahalli</t>
        </is>
      </c>
      <c r="C58" s="37" t="inlineStr">
        <is>
          <t xml:space="preserve">GROW Youth </t>
        </is>
      </c>
      <c r="D58" s="37" t="inlineStr">
        <is>
          <t>2026-07-02</t>
        </is>
      </c>
      <c r="E58" s="37" t="inlineStr">
        <is>
          <t>Data Check</t>
        </is>
      </c>
      <c r="F58" s="37" t="inlineStr">
        <is>
          <t>Check aspirant Hostel Forms are properly filled or not.</t>
        </is>
      </c>
      <c r="G58" s="37" t="inlineStr">
        <is>
          <t>All is Well</t>
        </is>
      </c>
    </row>
    <row r="59">
      <c r="A59" s="37" t="inlineStr">
        <is>
          <t>S Jakir</t>
        </is>
      </c>
      <c r="B59" s="37" t="inlineStr">
        <is>
          <t>Bommanahalli</t>
        </is>
      </c>
      <c r="C59" s="37" t="inlineStr">
        <is>
          <t xml:space="preserve">GROW Youth </t>
        </is>
      </c>
      <c r="D59" s="37" t="inlineStr">
        <is>
          <t>2026-07-02</t>
        </is>
      </c>
      <c r="E59" s="37" t="inlineStr">
        <is>
          <t>Infra Check</t>
        </is>
      </c>
      <c r="F59" s="37" t="inlineStr">
        <is>
          <t>Check all CCTV cameras; if any are not working, ask the AH to troubleshoot or call the vendor.</t>
        </is>
      </c>
      <c r="G59" s="37" t="inlineStr">
        <is>
          <t>Not Applicable</t>
        </is>
      </c>
    </row>
    <row r="60">
      <c r="A60" s="37" t="inlineStr">
        <is>
          <t>S Jakir</t>
        </is>
      </c>
      <c r="B60" s="37" t="inlineStr">
        <is>
          <t>Bommanahalli</t>
        </is>
      </c>
      <c r="C60" s="37" t="inlineStr">
        <is>
          <t xml:space="preserve">GROW Youth </t>
        </is>
      </c>
      <c r="D60" s="37" t="inlineStr">
        <is>
          <t>2026-07-02</t>
        </is>
      </c>
      <c r="E60" s="37" t="inlineStr">
        <is>
          <t>Infra Check</t>
        </is>
      </c>
      <c r="F60" s="37" t="inlineStr">
        <is>
          <t>Check for any scrap material and get it cleared, with support of Admin</t>
        </is>
      </c>
      <c r="G60" s="37" t="inlineStr">
        <is>
          <t>Need Improvement</t>
        </is>
      </c>
    </row>
    <row r="61">
      <c r="A61" s="37" t="inlineStr">
        <is>
          <t>S Jakir</t>
        </is>
      </c>
      <c r="B61" s="37" t="inlineStr">
        <is>
          <t>Bommanahalli</t>
        </is>
      </c>
      <c r="C61" s="37" t="inlineStr">
        <is>
          <t xml:space="preserve">GROW Youth </t>
        </is>
      </c>
      <c r="D61" s="37" t="inlineStr">
        <is>
          <t>2026-07-02</t>
        </is>
      </c>
      <c r="E61" s="37" t="inlineStr">
        <is>
          <t>Infra Check</t>
        </is>
      </c>
      <c r="F61" s="37" t="inlineStr">
        <is>
          <t>Check for any pending infra repairs.</t>
        </is>
      </c>
      <c r="G61" s="37" t="inlineStr">
        <is>
          <t>All is Well</t>
        </is>
      </c>
    </row>
    <row r="62">
      <c r="A62" s="37" t="inlineStr">
        <is>
          <t>S Jakir</t>
        </is>
      </c>
      <c r="B62" s="37" t="inlineStr">
        <is>
          <t>Bommanahalli</t>
        </is>
      </c>
      <c r="C62" s="37" t="inlineStr">
        <is>
          <t xml:space="preserve">GROW Youth </t>
        </is>
      </c>
      <c r="D62" s="37" t="inlineStr">
        <is>
          <t>2026-07-02</t>
        </is>
      </c>
      <c r="E62" s="37" t="inlineStr">
        <is>
          <t>Infra Check</t>
        </is>
      </c>
      <c r="F62" s="37" t="inlineStr">
        <is>
          <t>Check whether any fire extinguishers have expired (check the needle and expiry date both).</t>
        </is>
      </c>
      <c r="G62" s="37" t="inlineStr">
        <is>
          <t>All is Well</t>
        </is>
      </c>
    </row>
    <row r="63">
      <c r="A63" s="37" t="inlineStr">
        <is>
          <t>S Jakir</t>
        </is>
      </c>
      <c r="B63" s="37" t="inlineStr">
        <is>
          <t>Bommanahalli</t>
        </is>
      </c>
      <c r="C63" s="37" t="inlineStr">
        <is>
          <t xml:space="preserve">GROW Youth </t>
        </is>
      </c>
      <c r="D63" s="37" t="inlineStr">
        <is>
          <t>2026-07-02</t>
        </is>
      </c>
      <c r="E63" s="37" t="inlineStr">
        <is>
          <t>Infra Check</t>
        </is>
      </c>
      <c r="F63" s="37" t="inlineStr">
        <is>
          <t>Check basic cleanliness of the washrooms and the centre.</t>
        </is>
      </c>
      <c r="G63" s="37" t="inlineStr">
        <is>
          <t>All is Well</t>
        </is>
      </c>
    </row>
    <row r="64">
      <c r="A64" s="37" t="inlineStr">
        <is>
          <t>S Jakir</t>
        </is>
      </c>
      <c r="B64" s="37" t="inlineStr">
        <is>
          <t>Bommanahalli</t>
        </is>
      </c>
      <c r="C64" s="37" t="inlineStr">
        <is>
          <t xml:space="preserve">GROW Youth </t>
        </is>
      </c>
      <c r="D64" s="37" t="inlineStr">
        <is>
          <t>2026-07-02</t>
        </is>
      </c>
      <c r="E64" s="37" t="inlineStr">
        <is>
          <t>Infra Check</t>
        </is>
      </c>
      <c r="F64" s="37" t="inlineStr">
        <is>
          <t>Confirm the correct program and partner logos are displayed.</t>
        </is>
      </c>
      <c r="G64" s="37" t="inlineStr">
        <is>
          <t>All is Well</t>
        </is>
      </c>
    </row>
    <row r="65">
      <c r="A65" s="37" t="inlineStr">
        <is>
          <t>S Jakir</t>
        </is>
      </c>
      <c r="B65" s="37" t="inlineStr">
        <is>
          <t>Bommanahalli</t>
        </is>
      </c>
      <c r="C65" s="37" t="inlineStr">
        <is>
          <t xml:space="preserve">GROW Youth </t>
        </is>
      </c>
      <c r="D65" s="37" t="inlineStr">
        <is>
          <t>2026-07-02</t>
        </is>
      </c>
      <c r="E65" s="37" t="inlineStr">
        <is>
          <t>Infra Check</t>
        </is>
      </c>
      <c r="F65" s="37" t="inlineStr">
        <is>
          <t>Check the status of digital infra — PCs, smartboards, tablets, laptops, etc.</t>
        </is>
      </c>
      <c r="G65" s="37" t="inlineStr">
        <is>
          <t>Need Improvement</t>
        </is>
      </c>
    </row>
    <row r="66">
      <c r="A66" s="37" t="inlineStr">
        <is>
          <t>S Jakir</t>
        </is>
      </c>
      <c r="B66" s="37" t="inlineStr">
        <is>
          <t>Bommanahalli</t>
        </is>
      </c>
      <c r="C66" s="37" t="inlineStr">
        <is>
          <t xml:space="preserve">GROW Youth </t>
        </is>
      </c>
      <c r="D66" s="37" t="inlineStr">
        <is>
          <t>2026-07-02</t>
        </is>
      </c>
      <c r="E66" s="37" t="inlineStr">
        <is>
          <t>Infra Check</t>
        </is>
      </c>
      <c r="F66" s="37" t="inlineStr">
        <is>
          <t>Make a quick hostel visit; have lunch there if possible to test the food quality.</t>
        </is>
      </c>
      <c r="G66" s="37" t="inlineStr">
        <is>
          <t>Not Applicable</t>
        </is>
      </c>
    </row>
    <row r="67">
      <c r="A67" s="37" t="inlineStr">
        <is>
          <t>S Jakir</t>
        </is>
      </c>
      <c r="B67" s="37" t="inlineStr">
        <is>
          <t>Bommanahalli</t>
        </is>
      </c>
      <c r="C67" s="37" t="inlineStr">
        <is>
          <t xml:space="preserve">GROW Youth </t>
        </is>
      </c>
      <c r="D67" s="37" t="inlineStr">
        <is>
          <t>2026-07-02</t>
        </is>
      </c>
      <c r="E67" s="37" t="inlineStr">
        <is>
          <t>Process Check</t>
        </is>
      </c>
      <c r="F67" s="37" t="inlineStr">
        <is>
          <t>Refer to the activity planner — check if any activities are delayed.</t>
        </is>
      </c>
      <c r="G67" s="37" t="inlineStr">
        <is>
          <t>All is Well</t>
        </is>
      </c>
    </row>
    <row r="68">
      <c r="A68" s="37" t="inlineStr">
        <is>
          <t>S Jakir</t>
        </is>
      </c>
      <c r="B68" s="37" t="inlineStr">
        <is>
          <t>Bommanahalli</t>
        </is>
      </c>
      <c r="C68" s="37" t="inlineStr">
        <is>
          <t xml:space="preserve">GROW Youth </t>
        </is>
      </c>
      <c r="D68" s="37" t="inlineStr">
        <is>
          <t>2026-07-02</t>
        </is>
      </c>
      <c r="E68" s="37" t="inlineStr">
        <is>
          <t>Process Check</t>
        </is>
      </c>
      <c r="F68" s="37" t="inlineStr">
        <is>
          <t>Check planning for the next batch-start announcement.</t>
        </is>
      </c>
      <c r="G68" s="37" t="inlineStr">
        <is>
          <t>All is Well</t>
        </is>
      </c>
    </row>
    <row r="69">
      <c r="A69" s="37" t="inlineStr">
        <is>
          <t>S Jakir</t>
        </is>
      </c>
      <c r="B69" s="37" t="inlineStr">
        <is>
          <t>Bommanahalli</t>
        </is>
      </c>
      <c r="C69" s="37" t="inlineStr">
        <is>
          <t xml:space="preserve">GROW Youth </t>
        </is>
      </c>
      <c r="D69" s="37" t="inlineStr">
        <is>
          <t>2026-07-02</t>
        </is>
      </c>
      <c r="E69" s="37" t="inlineStr">
        <is>
          <t>Process Check</t>
        </is>
      </c>
      <c r="F69" s="37" t="inlineStr">
        <is>
          <t>Check if any hiring is delayed and plan a resolution.</t>
        </is>
      </c>
      <c r="G69" s="37" t="inlineStr">
        <is>
          <t>All is Well</t>
        </is>
      </c>
    </row>
    <row r="70">
      <c r="A70" s="37" t="inlineStr">
        <is>
          <t>S Jakir</t>
        </is>
      </c>
      <c r="B70" s="37" t="inlineStr">
        <is>
          <t>Bommanahalli</t>
        </is>
      </c>
      <c r="C70" s="37" t="inlineStr">
        <is>
          <t xml:space="preserve">GROW Youth </t>
        </is>
      </c>
      <c r="D70" s="37" t="inlineStr">
        <is>
          <t>2026-07-02</t>
        </is>
      </c>
      <c r="E70" s="37" t="inlineStr">
        <is>
          <t>Process Check</t>
        </is>
      </c>
      <c r="F70" s="37" t="inlineStr">
        <is>
          <t>Check the CA’s diary — is CA guided daily by the AH during planning days?</t>
        </is>
      </c>
      <c r="G70" s="37" t="inlineStr">
        <is>
          <t>All is Well</t>
        </is>
      </c>
    </row>
    <row r="71">
      <c r="A71" s="37" t="inlineStr">
        <is>
          <t>S Jakir</t>
        </is>
      </c>
      <c r="B71" s="37" t="inlineStr">
        <is>
          <t>Bommanahalli</t>
        </is>
      </c>
      <c r="C71" s="37" t="inlineStr">
        <is>
          <t xml:space="preserve">GROW Youth </t>
        </is>
      </c>
      <c r="D71" s="37" t="inlineStr">
        <is>
          <t>2026-07-02</t>
        </is>
      </c>
      <c r="E71" s="37" t="inlineStr">
        <is>
          <t>Process Check</t>
        </is>
      </c>
      <c r="F71" s="37" t="inlineStr">
        <is>
          <t>Check the AH is regularly meeting employers (in person and online) and updating the centre’s Top 20 Employer format.</t>
        </is>
      </c>
      <c r="G71" s="37" t="inlineStr">
        <is>
          <t>All is Well</t>
        </is>
      </c>
    </row>
    <row r="72">
      <c r="A72" s="37" t="inlineStr">
        <is>
          <t>S Jakir</t>
        </is>
      </c>
      <c r="B72" s="37" t="inlineStr">
        <is>
          <t>Bommanahalli</t>
        </is>
      </c>
      <c r="C72" s="37" t="inlineStr">
        <is>
          <t xml:space="preserve">GROW Youth </t>
        </is>
      </c>
      <c r="D72" s="37" t="inlineStr">
        <is>
          <t>2026-07-02</t>
        </is>
      </c>
      <c r="E72" s="37" t="inlineStr">
        <is>
          <t>Process Check</t>
        </is>
      </c>
      <c r="F72" s="37" t="inlineStr">
        <is>
          <t>Confirm all new employers are registered on portal as per new process.</t>
        </is>
      </c>
      <c r="G72" s="37" t="inlineStr">
        <is>
          <t>All is Well</t>
        </is>
      </c>
    </row>
    <row r="73">
      <c r="A73" s="37" t="inlineStr">
        <is>
          <t>S Jakir</t>
        </is>
      </c>
      <c r="B73" s="37" t="inlineStr">
        <is>
          <t>Bommanahalli</t>
        </is>
      </c>
      <c r="C73" s="37" t="inlineStr">
        <is>
          <t xml:space="preserve">GROW Youth </t>
        </is>
      </c>
      <c r="D73" s="37" t="inlineStr">
        <is>
          <t>2026-07-02</t>
        </is>
      </c>
      <c r="E73" s="37" t="inlineStr">
        <is>
          <t>Process Check</t>
        </is>
      </c>
      <c r="F73" s="37" t="inlineStr">
        <is>
          <t>Confirm 100% of enrolled students undergone screening (for technical courses).</t>
        </is>
      </c>
      <c r="G73" s="37" t="inlineStr">
        <is>
          <t>Not Applicable</t>
        </is>
      </c>
    </row>
    <row r="74">
      <c r="A74" s="37" t="inlineStr">
        <is>
          <t>S Jakir</t>
        </is>
      </c>
      <c r="B74" s="37" t="inlineStr">
        <is>
          <t>Bommanahalli</t>
        </is>
      </c>
      <c r="C74" s="37" t="inlineStr">
        <is>
          <t xml:space="preserve">GROW Youth </t>
        </is>
      </c>
      <c r="D74" s="37" t="inlineStr">
        <is>
          <t>2026-07-02</t>
        </is>
      </c>
      <c r="E74" s="37" t="inlineStr">
        <is>
          <t>Process Check</t>
        </is>
      </c>
      <c r="F74" s="37" t="inlineStr">
        <is>
          <t>Confirm ESA is done (in GROW full ESA and in Technical courses relevant sections of Core Employability Part).</t>
        </is>
      </c>
      <c r="G74" s="37" t="inlineStr">
        <is>
          <t>All is Well</t>
        </is>
      </c>
    </row>
    <row r="75">
      <c r="A75" s="37" t="inlineStr">
        <is>
          <t>S Jakir</t>
        </is>
      </c>
      <c r="B75" s="37" t="inlineStr">
        <is>
          <t>Bommanahalli</t>
        </is>
      </c>
      <c r="C75" s="37" t="inlineStr">
        <is>
          <t xml:space="preserve">GROW Youth </t>
        </is>
      </c>
      <c r="D75" s="37" t="inlineStr">
        <is>
          <t>2026-07-02</t>
        </is>
      </c>
      <c r="E75" s="37" t="inlineStr">
        <is>
          <t>Process Check</t>
        </is>
      </c>
      <c r="F75" s="37" t="inlineStr">
        <is>
          <t>Check is AH giving capstone project in GROW Tech.</t>
        </is>
      </c>
      <c r="G75" s="37" t="inlineStr">
        <is>
          <t>Not Applicable</t>
        </is>
      </c>
    </row>
    <row r="76">
      <c r="A76" s="37" t="inlineStr">
        <is>
          <t>S Jakir</t>
        </is>
      </c>
      <c r="B76" s="37" t="inlineStr">
        <is>
          <t>Bommanahalli</t>
        </is>
      </c>
      <c r="C76" s="37" t="inlineStr">
        <is>
          <t xml:space="preserve">GROW Youth </t>
        </is>
      </c>
      <c r="D76" s="37" t="inlineStr">
        <is>
          <t>2026-07-02</t>
        </is>
      </c>
      <c r="E76" s="37" t="inlineStr">
        <is>
          <t>Process Check</t>
        </is>
      </c>
      <c r="F76" s="37" t="inlineStr">
        <is>
          <t>Check is AH planning OJT as per guidelines and proofs are collected for technical courses.</t>
        </is>
      </c>
      <c r="G76" s="37" t="inlineStr">
        <is>
          <t>Not Applicable</t>
        </is>
      </c>
    </row>
    <row r="77">
      <c r="A77" s="37" t="inlineStr">
        <is>
          <t>S Jakir</t>
        </is>
      </c>
      <c r="B77" s="37" t="inlineStr">
        <is>
          <t>Bommanahalli</t>
        </is>
      </c>
      <c r="C77" s="37" t="inlineStr">
        <is>
          <t xml:space="preserve">GROW Youth </t>
        </is>
      </c>
      <c r="D77" s="37" t="inlineStr">
        <is>
          <t>2026-07-02</t>
        </is>
      </c>
      <c r="E77" s="37" t="inlineStr">
        <is>
          <t>Process Check</t>
        </is>
      </c>
      <c r="F77" s="37" t="inlineStr">
        <is>
          <t>Check are trainers contacting aspirants to find reason for their absenteeism of more than 1 day.</t>
        </is>
      </c>
      <c r="G77" s="37" t="inlineStr">
        <is>
          <t>All is Well</t>
        </is>
      </c>
    </row>
    <row r="78">
      <c r="A78" s="37" t="inlineStr">
        <is>
          <t>S Jakir</t>
        </is>
      </c>
      <c r="B78" s="37" t="inlineStr">
        <is>
          <t>Bommanahalli</t>
        </is>
      </c>
      <c r="C78" s="37" t="inlineStr">
        <is>
          <t xml:space="preserve">GROW Youth </t>
        </is>
      </c>
      <c r="D78" s="37" t="inlineStr">
        <is>
          <t>2026-07-02</t>
        </is>
      </c>
      <c r="E78" s="37" t="inlineStr">
        <is>
          <t>Process Check</t>
        </is>
      </c>
      <c r="F78" s="37" t="inlineStr">
        <is>
          <t>Check the AH plans monthly enrolment and placement numbers by the 3rd of each month and shares them with second level managers.</t>
        </is>
      </c>
      <c r="G78" s="37" t="inlineStr">
        <is>
          <t>All is Well</t>
        </is>
      </c>
    </row>
    <row r="79">
      <c r="A79" s="37" t="inlineStr">
        <is>
          <t>S Jakir</t>
        </is>
      </c>
      <c r="B79" s="37" t="inlineStr">
        <is>
          <t>Bommanahalli</t>
        </is>
      </c>
      <c r="C79" s="37" t="inlineStr">
        <is>
          <t xml:space="preserve">GROW Youth </t>
        </is>
      </c>
      <c r="D79" s="37" t="inlineStr">
        <is>
          <t>2026-07-02</t>
        </is>
      </c>
      <c r="E79" s="37" t="inlineStr">
        <is>
          <t>Process Check</t>
        </is>
      </c>
      <c r="F79" s="37" t="inlineStr">
        <is>
          <t>Check trainers submit aspirants’ placement interest areas to the AH by the batch’s 25th day (in GROW).</t>
        </is>
      </c>
      <c r="G79" s="37" t="inlineStr">
        <is>
          <t>Need Improvement</t>
        </is>
      </c>
    </row>
    <row r="80">
      <c r="A80" s="37" t="inlineStr">
        <is>
          <t>S Jakir</t>
        </is>
      </c>
      <c r="B80" s="37" t="inlineStr">
        <is>
          <t>Bommanahalli</t>
        </is>
      </c>
      <c r="C80" s="37" t="inlineStr">
        <is>
          <t xml:space="preserve">GROW Youth </t>
        </is>
      </c>
      <c r="D80" s="37" t="inlineStr">
        <is>
          <t>2026-07-02</t>
        </is>
      </c>
      <c r="E80" s="37" t="inlineStr">
        <is>
          <t>Process Check</t>
        </is>
      </c>
      <c r="F80" s="37" t="inlineStr">
        <is>
          <t>Ckeck For technical programs, placement is done only in technical jobs,on which aspirants are trained and relevant emplyers are identified by 45th day.</t>
        </is>
      </c>
      <c r="G80" s="37" t="inlineStr">
        <is>
          <t>Not Applicable</t>
        </is>
      </c>
    </row>
    <row r="81">
      <c r="A81" s="37" t="inlineStr">
        <is>
          <t>S Jakir</t>
        </is>
      </c>
      <c r="B81" s="37" t="inlineStr">
        <is>
          <t>Bommanahalli</t>
        </is>
      </c>
      <c r="C81" s="37" t="inlineStr">
        <is>
          <t xml:space="preserve">GROW Youth </t>
        </is>
      </c>
      <c r="D81" s="37" t="inlineStr">
        <is>
          <t>2026-07-02</t>
        </is>
      </c>
      <c r="E81" s="37" t="inlineStr">
        <is>
          <t>Process Check</t>
        </is>
      </c>
      <c r="F81" s="37" t="inlineStr">
        <is>
          <t>Check the AH follows EP guidelines and minimum benchmark salary guidelines.</t>
        </is>
      </c>
      <c r="G81" s="37" t="inlineStr">
        <is>
          <t>All is Well</t>
        </is>
      </c>
    </row>
    <row r="82">
      <c r="A82" s="37" t="inlineStr">
        <is>
          <t>S Jakir</t>
        </is>
      </c>
      <c r="B82" s="37" t="inlineStr">
        <is>
          <t>Bommanahalli</t>
        </is>
      </c>
      <c r="C82" s="37" t="inlineStr">
        <is>
          <t xml:space="preserve">GROW Youth </t>
        </is>
      </c>
      <c r="D82" s="37" t="inlineStr">
        <is>
          <t>2026-07-02</t>
        </is>
      </c>
      <c r="E82" s="37" t="inlineStr">
        <is>
          <t>Process Check</t>
        </is>
      </c>
      <c r="F82" s="37" t="inlineStr">
        <is>
          <t>Check that AH is enrolling only the right traget group in the program -as per the defined target.</t>
        </is>
      </c>
      <c r="G82" s="37" t="inlineStr">
        <is>
          <t>All is Well</t>
        </is>
      </c>
    </row>
    <row r="83">
      <c r="A83" s="37" t="inlineStr">
        <is>
          <t>S Jakir</t>
        </is>
      </c>
      <c r="B83" s="37" t="inlineStr">
        <is>
          <t>Bommanahalli</t>
        </is>
      </c>
      <c r="C83" s="37" t="inlineStr">
        <is>
          <t xml:space="preserve">GROW Youth </t>
        </is>
      </c>
      <c r="D83" s="37" t="inlineStr">
        <is>
          <t>2026-07-02</t>
        </is>
      </c>
      <c r="E83" s="37" t="inlineStr">
        <is>
          <t>Process Check</t>
        </is>
      </c>
      <c r="F83" s="37" t="inlineStr">
        <is>
          <t>Check the AH announces the next batch-start date by the 3rd of the month on all notice boards — focus on Zero-Day start.</t>
        </is>
      </c>
      <c r="G83" s="37" t="inlineStr">
        <is>
          <t>Need Improvement</t>
        </is>
      </c>
    </row>
    <row r="84">
      <c r="A84" s="37" t="inlineStr">
        <is>
          <t>S Jakir</t>
        </is>
      </c>
      <c r="B84" s="37" t="inlineStr">
        <is>
          <t>Bommanahalli</t>
        </is>
      </c>
      <c r="C84" s="37" t="inlineStr">
        <is>
          <t xml:space="preserve">GROW Youth </t>
        </is>
      </c>
      <c r="D84" s="37" t="inlineStr">
        <is>
          <t>2026-07-02</t>
        </is>
      </c>
      <c r="E84" s="37" t="inlineStr">
        <is>
          <t>Process Check</t>
        </is>
      </c>
      <c r="F84" s="37" t="inlineStr">
        <is>
          <t>Check the Aspirant Mock Interview Score Tracker is updated after every mock interview in the L&amp;D Google Sheet.</t>
        </is>
      </c>
      <c r="G84" s="37" t="inlineStr">
        <is>
          <t>All is Well</t>
        </is>
      </c>
    </row>
    <row r="85">
      <c r="A85" s="37" t="inlineStr">
        <is>
          <t>S Jakir</t>
        </is>
      </c>
      <c r="B85" s="37" t="inlineStr">
        <is>
          <t>Bommanahalli</t>
        </is>
      </c>
      <c r="C85" s="37" t="inlineStr">
        <is>
          <t xml:space="preserve">GROW Youth </t>
        </is>
      </c>
      <c r="D85" s="37" t="inlineStr">
        <is>
          <t>2026-07-02</t>
        </is>
      </c>
      <c r="E85" s="37" t="inlineStr">
        <is>
          <t>Process Check</t>
        </is>
      </c>
      <c r="F85" s="37" t="inlineStr">
        <is>
          <t>Confirm NPS (Net Promoter Score) is collected at MSDF centres.</t>
        </is>
      </c>
      <c r="G85" s="37" t="inlineStr">
        <is>
          <t>Not Applicable</t>
        </is>
      </c>
    </row>
    <row r="86">
      <c r="A86" s="37" t="inlineStr">
        <is>
          <t>S Jakir</t>
        </is>
      </c>
      <c r="B86" s="37" t="inlineStr">
        <is>
          <t>Bommanahalli</t>
        </is>
      </c>
      <c r="C86" s="37" t="inlineStr">
        <is>
          <t xml:space="preserve">GROW Youth </t>
        </is>
      </c>
      <c r="D86" s="37" t="inlineStr">
        <is>
          <t>2026-07-02</t>
        </is>
      </c>
      <c r="E86" s="37" t="inlineStr">
        <is>
          <t>Process Check</t>
        </is>
      </c>
      <c r="F86" s="37" t="inlineStr">
        <is>
          <t>Confirm that QAE is collecting student feedback for every batch.</t>
        </is>
      </c>
      <c r="G86" s="37" t="inlineStr">
        <is>
          <t>All is Well</t>
        </is>
      </c>
    </row>
    <row r="87">
      <c r="A87" s="37" t="inlineStr">
        <is>
          <t>S Jakir</t>
        </is>
      </c>
      <c r="B87" s="37" t="inlineStr">
        <is>
          <t>Bommanahalli</t>
        </is>
      </c>
      <c r="C87" s="37" t="inlineStr">
        <is>
          <t xml:space="preserve">GROW Youth </t>
        </is>
      </c>
      <c r="D87" s="37" t="inlineStr">
        <is>
          <t>2026-07-02</t>
        </is>
      </c>
      <c r="E87" s="37" t="inlineStr">
        <is>
          <t>Process Check</t>
        </is>
      </c>
      <c r="F87" s="37" t="inlineStr">
        <is>
          <t>Confirm all centre teams have completed the GROW Manual Course on Skillfy — ask for achievement certificates.</t>
        </is>
      </c>
      <c r="G87" s="37" t="inlineStr">
        <is>
          <t>All is Well</t>
        </is>
      </c>
    </row>
    <row r="88">
      <c r="A88" s="37" t="inlineStr">
        <is>
          <t>S Jakir</t>
        </is>
      </c>
      <c r="B88" s="37" t="inlineStr">
        <is>
          <t>Bommanahalli</t>
        </is>
      </c>
      <c r="C88" s="37" t="inlineStr">
        <is>
          <t xml:space="preserve">GROW Youth </t>
        </is>
      </c>
      <c r="D88" s="37" t="inlineStr">
        <is>
          <t>2026-07-02</t>
        </is>
      </c>
      <c r="E88" s="37" t="inlineStr">
        <is>
          <t>Process Check</t>
        </is>
      </c>
      <c r="F88" s="37" t="inlineStr">
        <is>
          <t>Check AH holds a quality weekly team meeting, documents action points in the weekly meeting format, and sends you a photo on WhatsApp.</t>
        </is>
      </c>
      <c r="G88" s="37" t="inlineStr">
        <is>
          <t>Need Improvement</t>
        </is>
      </c>
    </row>
    <row r="89">
      <c r="A89" s="37" t="inlineStr">
        <is>
          <t>S Jakir</t>
        </is>
      </c>
      <c r="B89" s="37" t="inlineStr">
        <is>
          <t>Bommanahalli</t>
        </is>
      </c>
      <c r="C89" s="37" t="inlineStr">
        <is>
          <t xml:space="preserve">GROW Youth </t>
        </is>
      </c>
      <c r="D89" s="37" t="inlineStr">
        <is>
          <t>2026-07-02</t>
        </is>
      </c>
      <c r="E89" s="37" t="inlineStr">
        <is>
          <t>Aspirant Interaction</t>
        </is>
      </c>
      <c r="F89" s="37" t="inlineStr">
        <is>
          <t>Ask aspirants about the session plan — confirm training is happening as planned?</t>
        </is>
      </c>
      <c r="G89" s="37" t="inlineStr">
        <is>
          <t>All is Well</t>
        </is>
      </c>
    </row>
    <row r="90">
      <c r="A90" s="37" t="inlineStr">
        <is>
          <t>S Jakir</t>
        </is>
      </c>
      <c r="B90" s="37" t="inlineStr">
        <is>
          <t>Bommanahalli</t>
        </is>
      </c>
      <c r="C90" s="37" t="inlineStr">
        <is>
          <t xml:space="preserve">GROW Youth </t>
        </is>
      </c>
      <c r="D90" s="37" t="inlineStr">
        <is>
          <t>2026-07-02</t>
        </is>
      </c>
      <c r="E90" s="37" t="inlineStr">
        <is>
          <t>Aspirant Interaction</t>
        </is>
      </c>
      <c r="F90" s="37" t="inlineStr">
        <is>
          <t>Ask about the quality of Core Employability component delivery (technical centres) and who delivers it.</t>
        </is>
      </c>
      <c r="G90" s="37" t="inlineStr">
        <is>
          <t>Not Applicable</t>
        </is>
      </c>
    </row>
    <row r="91">
      <c r="A91" s="37" t="inlineStr">
        <is>
          <t>S Jakir</t>
        </is>
      </c>
      <c r="B91" s="37" t="inlineStr">
        <is>
          <t>Bommanahalli</t>
        </is>
      </c>
      <c r="C91" s="37" t="inlineStr">
        <is>
          <t xml:space="preserve">GROW Youth </t>
        </is>
      </c>
      <c r="D91" s="37" t="inlineStr">
        <is>
          <t>2026-07-02</t>
        </is>
      </c>
      <c r="E91" s="37" t="inlineStr">
        <is>
          <t>Aspirant Interaction</t>
        </is>
      </c>
      <c r="F91" s="37" t="inlineStr">
        <is>
          <t>Ask whether they are aware of the referral scheme?</t>
        </is>
      </c>
      <c r="G91" s="37" t="inlineStr">
        <is>
          <t>All is Well</t>
        </is>
      </c>
    </row>
    <row r="92">
      <c r="A92" s="37" t="inlineStr">
        <is>
          <t>S Jakir</t>
        </is>
      </c>
      <c r="B92" s="37" t="inlineStr">
        <is>
          <t>Bommanahalli</t>
        </is>
      </c>
      <c r="C92" s="37" t="inlineStr">
        <is>
          <t xml:space="preserve">GROW Youth </t>
        </is>
      </c>
      <c r="D92" s="37" t="inlineStr">
        <is>
          <t>2026-07-02</t>
        </is>
      </c>
      <c r="E92" s="37" t="inlineStr">
        <is>
          <t>Aspirant Interaction</t>
        </is>
      </c>
      <c r="F92" s="37" t="inlineStr">
        <is>
          <t>Ask whether the AH explained the importance of the offer letter and sharing it with us once received for reporting purposes?</t>
        </is>
      </c>
      <c r="G92" s="37" t="inlineStr">
        <is>
          <t>All is Well</t>
        </is>
      </c>
    </row>
    <row r="93">
      <c r="A93" s="37" t="inlineStr">
        <is>
          <t>S Jakir</t>
        </is>
      </c>
      <c r="B93" s="37" t="inlineStr">
        <is>
          <t>Bommanahalli</t>
        </is>
      </c>
      <c r="C93" s="37" t="inlineStr">
        <is>
          <t xml:space="preserve">GROW Youth </t>
        </is>
      </c>
      <c r="D93" s="37" t="inlineStr">
        <is>
          <t>2026-07-02</t>
        </is>
      </c>
      <c r="E93" s="37" t="inlineStr">
        <is>
          <t>Aspirant Interaction</t>
        </is>
      </c>
      <c r="F93" s="37" t="inlineStr">
        <is>
          <t>Ask how many are not interested in jobs — and if so, why they enrolled in the programme?</t>
        </is>
      </c>
      <c r="G93" s="37" t="inlineStr">
        <is>
          <t>All is Well</t>
        </is>
      </c>
    </row>
    <row r="94">
      <c r="A94" s="37" t="inlineStr">
        <is>
          <t>S Jakir</t>
        </is>
      </c>
      <c r="B94" s="37" t="inlineStr">
        <is>
          <t>Bommanahalli</t>
        </is>
      </c>
      <c r="C94" s="37" t="inlineStr">
        <is>
          <t xml:space="preserve">GROW Youth </t>
        </is>
      </c>
      <c r="D94" s="37" t="inlineStr">
        <is>
          <t>2026-07-02</t>
        </is>
      </c>
      <c r="E94" s="37" t="inlineStr">
        <is>
          <t>Aspirant Interaction</t>
        </is>
      </c>
      <c r="F94" s="37" t="inlineStr">
        <is>
          <t>Ask whether they were told the kind of job they would get during counselling?</t>
        </is>
      </c>
      <c r="G94" s="37" t="inlineStr">
        <is>
          <t>All is Well</t>
        </is>
      </c>
    </row>
    <row r="95">
      <c r="A95" s="37" t="inlineStr">
        <is>
          <t>S Jakir</t>
        </is>
      </c>
      <c r="B95" s="37" t="inlineStr">
        <is>
          <t>Bommanahalli</t>
        </is>
      </c>
      <c r="C95" s="37" t="inlineStr">
        <is>
          <t xml:space="preserve">GROW Youth </t>
        </is>
      </c>
      <c r="D95" s="37" t="inlineStr">
        <is>
          <t>2026-07-02</t>
        </is>
      </c>
      <c r="E95" s="37" t="inlineStr">
        <is>
          <t>Aspirant Interaction</t>
        </is>
      </c>
      <c r="F95" s="37" t="inlineStr">
        <is>
          <t>Ask whether they have been given LMS access?</t>
        </is>
      </c>
      <c r="G95" s="37" t="inlineStr">
        <is>
          <t>All is Well</t>
        </is>
      </c>
    </row>
    <row r="96">
      <c r="A96" s="37" t="inlineStr">
        <is>
          <t>S Jakir</t>
        </is>
      </c>
      <c r="B96" s="37" t="inlineStr">
        <is>
          <t>Bommanahalli</t>
        </is>
      </c>
      <c r="C96" s="37" t="inlineStr">
        <is>
          <t xml:space="preserve">GROW Youth </t>
        </is>
      </c>
      <c r="D96" s="37" t="inlineStr">
        <is>
          <t>2026-07-02</t>
        </is>
      </c>
      <c r="E96" s="37" t="inlineStr">
        <is>
          <t>Aspirant Interaction</t>
        </is>
      </c>
      <c r="F96" s="37" t="inlineStr">
        <is>
          <t>Ask whether anyone asked them for money for training or placement?</t>
        </is>
      </c>
      <c r="G96" s="37" t="inlineStr">
        <is>
          <t>All is Well</t>
        </is>
      </c>
    </row>
    <row r="97">
      <c r="A97" s="37" t="inlineStr">
        <is>
          <t>S Jakir</t>
        </is>
      </c>
      <c r="B97" s="37" t="inlineStr">
        <is>
          <t>Bommanahalli</t>
        </is>
      </c>
      <c r="C97" s="37" t="inlineStr">
        <is>
          <t xml:space="preserve">GROW Youth </t>
        </is>
      </c>
      <c r="D97" s="37" t="inlineStr">
        <is>
          <t>2026-07-02</t>
        </is>
      </c>
      <c r="E97" s="37" t="inlineStr">
        <is>
          <t>Aspirant Interaction</t>
        </is>
      </c>
      <c r="F97" s="37" t="inlineStr">
        <is>
          <t>Ask to show their mobile phones — are they enrolled on Skillfy? If not, get them enrolled and give written feedback to trainers and the AH in your presence.</t>
        </is>
      </c>
      <c r="G97" s="37" t="inlineStr">
        <is>
          <t>All is Well</t>
        </is>
      </c>
    </row>
    <row r="98">
      <c r="A98" s="37" t="inlineStr">
        <is>
          <t>S Jakir</t>
        </is>
      </c>
      <c r="B98" s="37" t="inlineStr">
        <is>
          <t>Bommanahalli</t>
        </is>
      </c>
      <c r="C98" s="37" t="inlineStr">
        <is>
          <t xml:space="preserve">GROW Youth </t>
        </is>
      </c>
      <c r="D98" s="37" t="inlineStr">
        <is>
          <t>2026-07-02</t>
        </is>
      </c>
      <c r="E98" s="37" t="inlineStr">
        <is>
          <t>Aspirant Interaction</t>
        </is>
      </c>
      <c r="F98" s="37" t="inlineStr">
        <is>
          <t>Ask about the quality of the hostel and any issues they face.</t>
        </is>
      </c>
      <c r="G98" s="37" t="inlineStr">
        <is>
          <t>Not Applicable</t>
        </is>
      </c>
    </row>
    <row r="99">
      <c r="A99" s="37" t="inlineStr">
        <is>
          <t>S Jakir</t>
        </is>
      </c>
      <c r="B99" s="37" t="inlineStr">
        <is>
          <t>Bommanahalli</t>
        </is>
      </c>
      <c r="C99" s="37" t="inlineStr">
        <is>
          <t xml:space="preserve">GROW Youth </t>
        </is>
      </c>
      <c r="D99" s="37" t="inlineStr">
        <is>
          <t>2026-07-02</t>
        </is>
      </c>
      <c r="E99" s="37" t="inlineStr">
        <is>
          <t>Aspirant Interaction</t>
        </is>
      </c>
      <c r="F99" s="37" t="inlineStr">
        <is>
          <t>Ask a few relevant screening questions to support the 10th-day report and remove non-serious candidates, explaining to them the reasons.</t>
        </is>
      </c>
      <c r="G99" s="37" t="inlineStr">
        <is>
          <t>All is Well</t>
        </is>
      </c>
    </row>
    <row r="100">
      <c r="A100" s="37" t="inlineStr">
        <is>
          <t>S Jakir</t>
        </is>
      </c>
      <c r="B100" s="37" t="inlineStr">
        <is>
          <t xml:space="preserve">Hoskote </t>
        </is>
      </c>
      <c r="C100" s="37" t="inlineStr">
        <is>
          <t>HQHCS</t>
        </is>
      </c>
      <c r="D100" s="37" t="inlineStr">
        <is>
          <t>2026-07-03</t>
        </is>
      </c>
      <c r="E100" s="37" t="inlineStr">
        <is>
          <t>Data Check</t>
        </is>
      </c>
      <c r="F100" s="37" t="inlineStr">
        <is>
          <t>Reach the centre on time (unannounced) — confirm the centre opened on time.</t>
        </is>
      </c>
      <c r="G100" s="37" t="inlineStr">
        <is>
          <t>All is Well</t>
        </is>
      </c>
    </row>
    <row r="101">
      <c r="A101" s="37" t="inlineStr">
        <is>
          <t>S Jakir</t>
        </is>
      </c>
      <c r="B101" s="37" t="inlineStr">
        <is>
          <t xml:space="preserve">Hoskote </t>
        </is>
      </c>
      <c r="C101" s="37" t="inlineStr">
        <is>
          <t>HQHCS</t>
        </is>
      </c>
      <c r="D101" s="37" t="inlineStr">
        <is>
          <t>2026-07-03</t>
        </is>
      </c>
      <c r="E101" s="37" t="inlineStr">
        <is>
          <t>Data Check</t>
        </is>
      </c>
      <c r="F101" s="37" t="inlineStr">
        <is>
          <t>Check the staff attendance register, the Google Sheet, and geo-tagged photos for aspirants.</t>
        </is>
      </c>
      <c r="G101" s="37" t="inlineStr">
        <is>
          <t>All is Well</t>
        </is>
      </c>
    </row>
    <row r="102">
      <c r="A102" s="37" t="inlineStr">
        <is>
          <t>S Jakir</t>
        </is>
      </c>
      <c r="B102" s="37" t="inlineStr">
        <is>
          <t xml:space="preserve">Hoskote </t>
        </is>
      </c>
      <c r="C102" s="37" t="inlineStr">
        <is>
          <t>HQHCS</t>
        </is>
      </c>
      <c r="D102" s="37" t="inlineStr">
        <is>
          <t>2026-07-03</t>
        </is>
      </c>
      <c r="E102" s="37" t="inlineStr">
        <is>
          <t>Data Check</t>
        </is>
      </c>
      <c r="F102" s="37" t="inlineStr">
        <is>
          <t>Check Counselling and Screening Forms of recently started batches.</t>
        </is>
      </c>
      <c r="G102" s="37" t="inlineStr">
        <is>
          <t>All is Well</t>
        </is>
      </c>
    </row>
    <row r="103">
      <c r="A103" s="37" t="inlineStr">
        <is>
          <t>S Jakir</t>
        </is>
      </c>
      <c r="B103" s="37" t="inlineStr">
        <is>
          <t xml:space="preserve">Hoskote </t>
        </is>
      </c>
      <c r="C103" s="37" t="inlineStr">
        <is>
          <t>HQHCS</t>
        </is>
      </c>
      <c r="D103" s="37" t="inlineStr">
        <is>
          <t>2026-07-03</t>
        </is>
      </c>
      <c r="E103" s="37" t="inlineStr">
        <is>
          <t>Data Check</t>
        </is>
      </c>
      <c r="F103" s="37" t="inlineStr">
        <is>
          <t>Check Aspirant Registration Forms and related documents.</t>
        </is>
      </c>
      <c r="G103" s="37" t="inlineStr">
        <is>
          <t>All is Well</t>
        </is>
      </c>
    </row>
    <row r="104">
      <c r="A104" s="37" t="inlineStr">
        <is>
          <t>S Jakir</t>
        </is>
      </c>
      <c r="B104" s="37" t="inlineStr">
        <is>
          <t xml:space="preserve">Hoskote </t>
        </is>
      </c>
      <c r="C104" s="37" t="inlineStr">
        <is>
          <t>HQHCS</t>
        </is>
      </c>
      <c r="D104" s="37" t="inlineStr">
        <is>
          <t>2026-07-03</t>
        </is>
      </c>
      <c r="E104" s="37" t="inlineStr">
        <is>
          <t>Data Check</t>
        </is>
      </c>
      <c r="F104" s="37" t="inlineStr">
        <is>
          <t>On the GROW portal, confirm all student profile details and batch updates are currect.</t>
        </is>
      </c>
      <c r="G104" s="37" t="inlineStr">
        <is>
          <t>All is Well</t>
        </is>
      </c>
    </row>
    <row r="105">
      <c r="A105" s="37" t="inlineStr">
        <is>
          <t>S Jakir</t>
        </is>
      </c>
      <c r="B105" s="37" t="inlineStr">
        <is>
          <t xml:space="preserve">Hoskote </t>
        </is>
      </c>
      <c r="C105" s="37" t="inlineStr">
        <is>
          <t>HQHCS</t>
        </is>
      </c>
      <c r="D105" s="37" t="inlineStr">
        <is>
          <t>2026-07-03</t>
        </is>
      </c>
      <c r="E105" s="37" t="inlineStr">
        <is>
          <t>Data Check</t>
        </is>
      </c>
      <c r="F105" s="37" t="inlineStr">
        <is>
          <t>Verify placement data — randomly call 3–4 alumni placed in the last 3 months to confirm veracity (random selection is essential).</t>
        </is>
      </c>
      <c r="G105" s="37" t="inlineStr">
        <is>
          <t>All is Well</t>
        </is>
      </c>
    </row>
    <row r="106">
      <c r="A106" s="37" t="inlineStr">
        <is>
          <t>S Jakir</t>
        </is>
      </c>
      <c r="B106" s="37" t="inlineStr">
        <is>
          <t xml:space="preserve">Hoskote </t>
        </is>
      </c>
      <c r="C106" s="37" t="inlineStr">
        <is>
          <t>HQHCS</t>
        </is>
      </c>
      <c r="D106" s="37" t="inlineStr">
        <is>
          <t>2026-07-03</t>
        </is>
      </c>
      <c r="E106" s="37" t="inlineStr">
        <is>
          <t>Data Check</t>
        </is>
      </c>
      <c r="F106" s="37" t="inlineStr">
        <is>
          <t>Verify retention — check the Alumni Hand-holding Format is being updated as designed.</t>
        </is>
      </c>
      <c r="G106" s="37" t="inlineStr">
        <is>
          <t>All is Well</t>
        </is>
      </c>
    </row>
    <row r="107">
      <c r="A107" s="37" t="inlineStr">
        <is>
          <t>S Jakir</t>
        </is>
      </c>
      <c r="B107" s="37" t="inlineStr">
        <is>
          <t xml:space="preserve">Hoskote </t>
        </is>
      </c>
      <c r="C107" s="37" t="inlineStr">
        <is>
          <t>HQHCS</t>
        </is>
      </c>
      <c r="D107" s="37" t="inlineStr">
        <is>
          <t>2026-07-03</t>
        </is>
      </c>
      <c r="E107" s="37" t="inlineStr">
        <is>
          <t>Data Check</t>
        </is>
      </c>
      <c r="F107" s="37" t="inlineStr">
        <is>
          <t>Check aspirant Hostel Forms are properly filled or not.</t>
        </is>
      </c>
      <c r="G107" s="37" t="inlineStr">
        <is>
          <t>All is Well</t>
        </is>
      </c>
    </row>
    <row r="108">
      <c r="A108" s="37" t="inlineStr">
        <is>
          <t>S Jakir</t>
        </is>
      </c>
      <c r="B108" s="37" t="inlineStr">
        <is>
          <t xml:space="preserve">Hoskote </t>
        </is>
      </c>
      <c r="C108" s="37" t="inlineStr">
        <is>
          <t>HQHCS</t>
        </is>
      </c>
      <c r="D108" s="37" t="inlineStr">
        <is>
          <t>2026-07-03</t>
        </is>
      </c>
      <c r="E108" s="37" t="inlineStr">
        <is>
          <t>Infra Check</t>
        </is>
      </c>
      <c r="F108" s="37" t="inlineStr">
        <is>
          <t>Check all CCTV cameras; if any are not working, ask the AH to troubleshoot or call the vendor.</t>
        </is>
      </c>
      <c r="G108" s="37" t="inlineStr">
        <is>
          <t>Need Improvement</t>
        </is>
      </c>
    </row>
    <row r="109">
      <c r="A109" s="37" t="inlineStr">
        <is>
          <t>S Jakir</t>
        </is>
      </c>
      <c r="B109" s="37" t="inlineStr">
        <is>
          <t xml:space="preserve">Hoskote </t>
        </is>
      </c>
      <c r="C109" s="37" t="inlineStr">
        <is>
          <t>HQHCS</t>
        </is>
      </c>
      <c r="D109" s="37" t="inlineStr">
        <is>
          <t>2026-07-03</t>
        </is>
      </c>
      <c r="E109" s="37" t="inlineStr">
        <is>
          <t>Infra Check</t>
        </is>
      </c>
      <c r="F109" s="37" t="inlineStr">
        <is>
          <t>Check for any scrap material and get it cleared, with support of Admin</t>
        </is>
      </c>
      <c r="G109" s="37" t="inlineStr">
        <is>
          <t>All is Well</t>
        </is>
      </c>
    </row>
    <row r="110">
      <c r="A110" s="37" t="inlineStr">
        <is>
          <t>S Jakir</t>
        </is>
      </c>
      <c r="B110" s="37" t="inlineStr">
        <is>
          <t xml:space="preserve">Hoskote </t>
        </is>
      </c>
      <c r="C110" s="37" t="inlineStr">
        <is>
          <t>HQHCS</t>
        </is>
      </c>
      <c r="D110" s="37" t="inlineStr">
        <is>
          <t>2026-07-03</t>
        </is>
      </c>
      <c r="E110" s="37" t="inlineStr">
        <is>
          <t>Infra Check</t>
        </is>
      </c>
      <c r="F110" s="37" t="inlineStr">
        <is>
          <t>Check for any pending infra repairs.</t>
        </is>
      </c>
      <c r="G110" s="37" t="inlineStr">
        <is>
          <t>All is Well</t>
        </is>
      </c>
    </row>
    <row r="111">
      <c r="A111" s="37" t="inlineStr">
        <is>
          <t>S Jakir</t>
        </is>
      </c>
      <c r="B111" s="37" t="inlineStr">
        <is>
          <t xml:space="preserve">Hoskote </t>
        </is>
      </c>
      <c r="C111" s="37" t="inlineStr">
        <is>
          <t>HQHCS</t>
        </is>
      </c>
      <c r="D111" s="37" t="inlineStr">
        <is>
          <t>2026-07-03</t>
        </is>
      </c>
      <c r="E111" s="37" t="inlineStr">
        <is>
          <t>Infra Check</t>
        </is>
      </c>
      <c r="F111" s="37" t="inlineStr">
        <is>
          <t>Check whether any fire extinguishers have expired (check the needle and expiry date both).</t>
        </is>
      </c>
      <c r="G111" s="37" t="inlineStr">
        <is>
          <t>All is Well</t>
        </is>
      </c>
    </row>
    <row r="112">
      <c r="A112" s="37" t="inlineStr">
        <is>
          <t>S Jakir</t>
        </is>
      </c>
      <c r="B112" s="37" t="inlineStr">
        <is>
          <t xml:space="preserve">Hoskote </t>
        </is>
      </c>
      <c r="C112" s="37" t="inlineStr">
        <is>
          <t>HQHCS</t>
        </is>
      </c>
      <c r="D112" s="37" t="inlineStr">
        <is>
          <t>2026-07-03</t>
        </is>
      </c>
      <c r="E112" s="37" t="inlineStr">
        <is>
          <t>Infra Check</t>
        </is>
      </c>
      <c r="F112" s="37" t="inlineStr">
        <is>
          <t>Check basic cleanliness of the washrooms and the centre.</t>
        </is>
      </c>
      <c r="G112" s="37" t="inlineStr">
        <is>
          <t>All is Well</t>
        </is>
      </c>
    </row>
    <row r="113">
      <c r="A113" s="37" t="inlineStr">
        <is>
          <t>S Jakir</t>
        </is>
      </c>
      <c r="B113" s="37" t="inlineStr">
        <is>
          <t xml:space="preserve">Hoskote </t>
        </is>
      </c>
      <c r="C113" s="37" t="inlineStr">
        <is>
          <t>HQHCS</t>
        </is>
      </c>
      <c r="D113" s="37" t="inlineStr">
        <is>
          <t>2026-07-03</t>
        </is>
      </c>
      <c r="E113" s="37" t="inlineStr">
        <is>
          <t>Infra Check</t>
        </is>
      </c>
      <c r="F113" s="37" t="inlineStr">
        <is>
          <t>Confirm the correct program and partner logos are displayed.</t>
        </is>
      </c>
      <c r="G113" s="37" t="inlineStr">
        <is>
          <t>All is Well</t>
        </is>
      </c>
    </row>
    <row r="114">
      <c r="A114" s="37" t="inlineStr">
        <is>
          <t>S Jakir</t>
        </is>
      </c>
      <c r="B114" s="37" t="inlineStr">
        <is>
          <t xml:space="preserve">Hoskote </t>
        </is>
      </c>
      <c r="C114" s="37" t="inlineStr">
        <is>
          <t>HQHCS</t>
        </is>
      </c>
      <c r="D114" s="37" t="inlineStr">
        <is>
          <t>2026-07-03</t>
        </is>
      </c>
      <c r="E114" s="37" t="inlineStr">
        <is>
          <t>Infra Check</t>
        </is>
      </c>
      <c r="F114" s="37" t="inlineStr">
        <is>
          <t>Check the status of digital infra — PCs, smartboards, tablets, laptops, etc.</t>
        </is>
      </c>
      <c r="G114" s="37" t="inlineStr">
        <is>
          <t>Need Improvement</t>
        </is>
      </c>
    </row>
    <row r="115">
      <c r="A115" s="37" t="inlineStr">
        <is>
          <t>S Jakir</t>
        </is>
      </c>
      <c r="B115" s="37" t="inlineStr">
        <is>
          <t xml:space="preserve">Hoskote </t>
        </is>
      </c>
      <c r="C115" s="37" t="inlineStr">
        <is>
          <t>HQHCS</t>
        </is>
      </c>
      <c r="D115" s="37" t="inlineStr">
        <is>
          <t>2026-07-03</t>
        </is>
      </c>
      <c r="E115" s="37" t="inlineStr">
        <is>
          <t>Infra Check</t>
        </is>
      </c>
      <c r="F115" s="37" t="inlineStr">
        <is>
          <t>Make a quick hostel visit; have lunch there if possible to test the food quality.</t>
        </is>
      </c>
      <c r="G115" s="37" t="inlineStr">
        <is>
          <t>All is Well</t>
        </is>
      </c>
    </row>
    <row r="116">
      <c r="A116" s="37" t="inlineStr">
        <is>
          <t>S Jakir</t>
        </is>
      </c>
      <c r="B116" s="37" t="inlineStr">
        <is>
          <t xml:space="preserve">Hoskote </t>
        </is>
      </c>
      <c r="C116" s="37" t="inlineStr">
        <is>
          <t>HQHCS</t>
        </is>
      </c>
      <c r="D116" s="37" t="inlineStr">
        <is>
          <t>2026-07-03</t>
        </is>
      </c>
      <c r="E116" s="37" t="inlineStr">
        <is>
          <t>Process Check</t>
        </is>
      </c>
      <c r="F116" s="37" t="inlineStr">
        <is>
          <t>Refer to the activity planner — check if any activities are delayed.</t>
        </is>
      </c>
      <c r="G116" s="37" t="inlineStr">
        <is>
          <t>All is Well</t>
        </is>
      </c>
    </row>
    <row r="117">
      <c r="A117" s="37" t="inlineStr">
        <is>
          <t>S Jakir</t>
        </is>
      </c>
      <c r="B117" s="37" t="inlineStr">
        <is>
          <t xml:space="preserve">Hoskote </t>
        </is>
      </c>
      <c r="C117" s="37" t="inlineStr">
        <is>
          <t>HQHCS</t>
        </is>
      </c>
      <c r="D117" s="37" t="inlineStr">
        <is>
          <t>2026-07-03</t>
        </is>
      </c>
      <c r="E117" s="37" t="inlineStr">
        <is>
          <t>Process Check</t>
        </is>
      </c>
      <c r="F117" s="37" t="inlineStr">
        <is>
          <t>Check planning for the next batch-start announcement.</t>
        </is>
      </c>
      <c r="G117" s="37" t="inlineStr">
        <is>
          <t>All is Well</t>
        </is>
      </c>
    </row>
    <row r="118">
      <c r="A118" s="37" t="inlineStr">
        <is>
          <t>S Jakir</t>
        </is>
      </c>
      <c r="B118" s="37" t="inlineStr">
        <is>
          <t xml:space="preserve">Hoskote </t>
        </is>
      </c>
      <c r="C118" s="37" t="inlineStr">
        <is>
          <t>HQHCS</t>
        </is>
      </c>
      <c r="D118" s="37" t="inlineStr">
        <is>
          <t>2026-07-03</t>
        </is>
      </c>
      <c r="E118" s="37" t="inlineStr">
        <is>
          <t>Process Check</t>
        </is>
      </c>
      <c r="F118" s="37" t="inlineStr">
        <is>
          <t>Check if any hiring is delayed and plan a resolution.</t>
        </is>
      </c>
      <c r="G118" s="37" t="inlineStr">
        <is>
          <t>Need Improvement</t>
        </is>
      </c>
    </row>
    <row r="119">
      <c r="A119" s="37" t="inlineStr">
        <is>
          <t>S Jakir</t>
        </is>
      </c>
      <c r="B119" s="37" t="inlineStr">
        <is>
          <t xml:space="preserve">Hoskote </t>
        </is>
      </c>
      <c r="C119" s="37" t="inlineStr">
        <is>
          <t>HQHCS</t>
        </is>
      </c>
      <c r="D119" s="37" t="inlineStr">
        <is>
          <t>2026-07-03</t>
        </is>
      </c>
      <c r="E119" s="37" t="inlineStr">
        <is>
          <t>Process Check</t>
        </is>
      </c>
      <c r="F119" s="37" t="inlineStr">
        <is>
          <t>Check the CA’s diary — is CA guided daily by the AH during planning days?</t>
        </is>
      </c>
      <c r="G119" s="37" t="inlineStr">
        <is>
          <t>All is Well</t>
        </is>
      </c>
    </row>
    <row r="120">
      <c r="A120" s="37" t="inlineStr">
        <is>
          <t>S Jakir</t>
        </is>
      </c>
      <c r="B120" s="37" t="inlineStr">
        <is>
          <t xml:space="preserve">Hoskote </t>
        </is>
      </c>
      <c r="C120" s="37" t="inlineStr">
        <is>
          <t>HQHCS</t>
        </is>
      </c>
      <c r="D120" s="37" t="inlineStr">
        <is>
          <t>2026-07-03</t>
        </is>
      </c>
      <c r="E120" s="37" t="inlineStr">
        <is>
          <t>Process Check</t>
        </is>
      </c>
      <c r="F120" s="37" t="inlineStr">
        <is>
          <t>Check the AH is regularly meeting employers (in person and online) and updating the centre’s Top 20 Employer format.</t>
        </is>
      </c>
      <c r="G120" s="37" t="inlineStr">
        <is>
          <t>All is Well</t>
        </is>
      </c>
    </row>
    <row r="121">
      <c r="A121" s="37" t="inlineStr">
        <is>
          <t>S Jakir</t>
        </is>
      </c>
      <c r="B121" s="37" t="inlineStr">
        <is>
          <t xml:space="preserve">Hoskote </t>
        </is>
      </c>
      <c r="C121" s="37" t="inlineStr">
        <is>
          <t>HQHCS</t>
        </is>
      </c>
      <c r="D121" s="37" t="inlineStr">
        <is>
          <t>2026-07-03</t>
        </is>
      </c>
      <c r="E121" s="37" t="inlineStr">
        <is>
          <t>Process Check</t>
        </is>
      </c>
      <c r="F121" s="37" t="inlineStr">
        <is>
          <t>Confirm all new employers are registered on portal as per new process.</t>
        </is>
      </c>
      <c r="G121" s="37" t="inlineStr">
        <is>
          <t>All is Well</t>
        </is>
      </c>
    </row>
    <row r="122">
      <c r="A122" s="37" t="inlineStr">
        <is>
          <t>S Jakir</t>
        </is>
      </c>
      <c r="B122" s="37" t="inlineStr">
        <is>
          <t xml:space="preserve">Hoskote </t>
        </is>
      </c>
      <c r="C122" s="37" t="inlineStr">
        <is>
          <t>HQHCS</t>
        </is>
      </c>
      <c r="D122" s="37" t="inlineStr">
        <is>
          <t>2026-07-03</t>
        </is>
      </c>
      <c r="E122" s="37" t="inlineStr">
        <is>
          <t>Process Check</t>
        </is>
      </c>
      <c r="F122" s="37" t="inlineStr">
        <is>
          <t>Confirm 100% of enrolled students undergone screening (for technical courses).</t>
        </is>
      </c>
      <c r="G122" s="37" t="inlineStr">
        <is>
          <t>All is Well</t>
        </is>
      </c>
    </row>
    <row r="123">
      <c r="A123" s="37" t="inlineStr">
        <is>
          <t>S Jakir</t>
        </is>
      </c>
      <c r="B123" s="37" t="inlineStr">
        <is>
          <t xml:space="preserve">Hoskote </t>
        </is>
      </c>
      <c r="C123" s="37" t="inlineStr">
        <is>
          <t>HQHCS</t>
        </is>
      </c>
      <c r="D123" s="37" t="inlineStr">
        <is>
          <t>2026-07-03</t>
        </is>
      </c>
      <c r="E123" s="37" t="inlineStr">
        <is>
          <t>Process Check</t>
        </is>
      </c>
      <c r="F123" s="37" t="inlineStr">
        <is>
          <t>Confirm ESA is done (in GROW full ESA and in Technical courses relevant sections of Core Employability Part).</t>
        </is>
      </c>
      <c r="G123" s="37" t="inlineStr">
        <is>
          <t>All is Well</t>
        </is>
      </c>
    </row>
    <row r="124">
      <c r="A124" s="37" t="inlineStr">
        <is>
          <t>S Jakir</t>
        </is>
      </c>
      <c r="B124" s="37" t="inlineStr">
        <is>
          <t xml:space="preserve">Hoskote </t>
        </is>
      </c>
      <c r="C124" s="37" t="inlineStr">
        <is>
          <t>HQHCS</t>
        </is>
      </c>
      <c r="D124" s="37" t="inlineStr">
        <is>
          <t>2026-07-03</t>
        </is>
      </c>
      <c r="E124" s="37" t="inlineStr">
        <is>
          <t>Process Check</t>
        </is>
      </c>
      <c r="F124" s="37" t="inlineStr">
        <is>
          <t>Check is AH giving capstone project in GROW Tech.</t>
        </is>
      </c>
      <c r="G124" s="37" t="inlineStr">
        <is>
          <t>Not Applicable</t>
        </is>
      </c>
    </row>
    <row r="125">
      <c r="A125" s="37" t="inlineStr">
        <is>
          <t>S Jakir</t>
        </is>
      </c>
      <c r="B125" s="37" t="inlineStr">
        <is>
          <t xml:space="preserve">Hoskote </t>
        </is>
      </c>
      <c r="C125" s="37" t="inlineStr">
        <is>
          <t>HQHCS</t>
        </is>
      </c>
      <c r="D125" s="37" t="inlineStr">
        <is>
          <t>2026-07-03</t>
        </is>
      </c>
      <c r="E125" s="37" t="inlineStr">
        <is>
          <t>Process Check</t>
        </is>
      </c>
      <c r="F125" s="37" t="inlineStr">
        <is>
          <t>Check is AH planning OJT as per guidelines and proofs are collected for technical courses.</t>
        </is>
      </c>
      <c r="G125" s="37" t="inlineStr">
        <is>
          <t>Need Improvement</t>
        </is>
      </c>
    </row>
    <row r="126">
      <c r="A126" s="37" t="inlineStr">
        <is>
          <t>S Jakir</t>
        </is>
      </c>
      <c r="B126" s="37" t="inlineStr">
        <is>
          <t xml:space="preserve">Hoskote </t>
        </is>
      </c>
      <c r="C126" s="37" t="inlineStr">
        <is>
          <t>HQHCS</t>
        </is>
      </c>
      <c r="D126" s="37" t="inlineStr">
        <is>
          <t>2026-07-03</t>
        </is>
      </c>
      <c r="E126" s="37" t="inlineStr">
        <is>
          <t>Process Check</t>
        </is>
      </c>
      <c r="F126" s="37" t="inlineStr">
        <is>
          <t>Check are trainers contacting aspirants to find reason for their absenteeism of more than 1 day.</t>
        </is>
      </c>
      <c r="G126" s="37" t="inlineStr">
        <is>
          <t>All is Well</t>
        </is>
      </c>
    </row>
    <row r="127">
      <c r="A127" s="37" t="inlineStr">
        <is>
          <t>S Jakir</t>
        </is>
      </c>
      <c r="B127" s="37" t="inlineStr">
        <is>
          <t xml:space="preserve">Hoskote </t>
        </is>
      </c>
      <c r="C127" s="37" t="inlineStr">
        <is>
          <t>HQHCS</t>
        </is>
      </c>
      <c r="D127" s="37" t="inlineStr">
        <is>
          <t>2026-07-03</t>
        </is>
      </c>
      <c r="E127" s="37" t="inlineStr">
        <is>
          <t>Process Check</t>
        </is>
      </c>
      <c r="F127" s="37" t="inlineStr">
        <is>
          <t>Check the AH plans monthly enrolment and placement numbers by the 3rd of each month and shares them with second level managers.</t>
        </is>
      </c>
      <c r="G127" s="37" t="inlineStr">
        <is>
          <t>All is Well</t>
        </is>
      </c>
    </row>
    <row r="128">
      <c r="A128" s="37" t="inlineStr">
        <is>
          <t>S Jakir</t>
        </is>
      </c>
      <c r="B128" s="37" t="inlineStr">
        <is>
          <t xml:space="preserve">Hoskote </t>
        </is>
      </c>
      <c r="C128" s="37" t="inlineStr">
        <is>
          <t>HQHCS</t>
        </is>
      </c>
      <c r="D128" s="37" t="inlineStr">
        <is>
          <t>2026-07-03</t>
        </is>
      </c>
      <c r="E128" s="37" t="inlineStr">
        <is>
          <t>Process Check</t>
        </is>
      </c>
      <c r="F128" s="37" t="inlineStr">
        <is>
          <t>Check trainers submit aspirants’ placement interest areas to the AH by the batch’s 25th day (in GROW).</t>
        </is>
      </c>
      <c r="G128" s="37" t="inlineStr">
        <is>
          <t>Not Applicable</t>
        </is>
      </c>
    </row>
    <row r="129">
      <c r="A129" s="37" t="inlineStr">
        <is>
          <t>S Jakir</t>
        </is>
      </c>
      <c r="B129" s="37" t="inlineStr">
        <is>
          <t xml:space="preserve">Hoskote </t>
        </is>
      </c>
      <c r="C129" s="37" t="inlineStr">
        <is>
          <t>HQHCS</t>
        </is>
      </c>
      <c r="D129" s="37" t="inlineStr">
        <is>
          <t>2026-07-03</t>
        </is>
      </c>
      <c r="E129" s="37" t="inlineStr">
        <is>
          <t>Process Check</t>
        </is>
      </c>
      <c r="F129" s="37" t="inlineStr">
        <is>
          <t>Ckeck For technical programs, placement is done only in technical jobs,on which aspirants are trained and relevant emplyers are identified by 45th day.</t>
        </is>
      </c>
      <c r="G129" s="37" t="inlineStr">
        <is>
          <t>All is Well</t>
        </is>
      </c>
    </row>
    <row r="130">
      <c r="A130" s="37" t="inlineStr">
        <is>
          <t>S Jakir</t>
        </is>
      </c>
      <c r="B130" s="37" t="inlineStr">
        <is>
          <t xml:space="preserve">Hoskote </t>
        </is>
      </c>
      <c r="C130" s="37" t="inlineStr">
        <is>
          <t>HQHCS</t>
        </is>
      </c>
      <c r="D130" s="37" t="inlineStr">
        <is>
          <t>2026-07-03</t>
        </is>
      </c>
      <c r="E130" s="37" t="inlineStr">
        <is>
          <t>Process Check</t>
        </is>
      </c>
      <c r="F130" s="37" t="inlineStr">
        <is>
          <t>Check the AH follows EP guidelines and minimum benchmark salary guidelines.</t>
        </is>
      </c>
      <c r="G130" s="37" t="inlineStr">
        <is>
          <t>All is Well</t>
        </is>
      </c>
    </row>
    <row r="131">
      <c r="A131" s="37" t="inlineStr">
        <is>
          <t>S Jakir</t>
        </is>
      </c>
      <c r="B131" s="37" t="inlineStr">
        <is>
          <t xml:space="preserve">Hoskote </t>
        </is>
      </c>
      <c r="C131" s="37" t="inlineStr">
        <is>
          <t>HQHCS</t>
        </is>
      </c>
      <c r="D131" s="37" t="inlineStr">
        <is>
          <t>2026-07-03</t>
        </is>
      </c>
      <c r="E131" s="37" t="inlineStr">
        <is>
          <t>Process Check</t>
        </is>
      </c>
      <c r="F131" s="37" t="inlineStr">
        <is>
          <t>Check that AH is enrolling only the right traget group in the program -as per the defined target.</t>
        </is>
      </c>
      <c r="G131" s="37" t="inlineStr">
        <is>
          <t>All is Well</t>
        </is>
      </c>
    </row>
    <row r="132">
      <c r="A132" s="37" t="inlineStr">
        <is>
          <t>S Jakir</t>
        </is>
      </c>
      <c r="B132" s="37" t="inlineStr">
        <is>
          <t xml:space="preserve">Hoskote </t>
        </is>
      </c>
      <c r="C132" s="37" t="inlineStr">
        <is>
          <t>HQHCS</t>
        </is>
      </c>
      <c r="D132" s="37" t="inlineStr">
        <is>
          <t>2026-07-03</t>
        </is>
      </c>
      <c r="E132" s="37" t="inlineStr">
        <is>
          <t>Process Check</t>
        </is>
      </c>
      <c r="F132" s="37" t="inlineStr">
        <is>
          <t>Check the AH announces the next batch-start date by the 3rd of the month on all notice boards — focus on Zero-Day start.</t>
        </is>
      </c>
      <c r="G132" s="37" t="inlineStr">
        <is>
          <t>All is Well</t>
        </is>
      </c>
    </row>
    <row r="133">
      <c r="A133" s="37" t="inlineStr">
        <is>
          <t>S Jakir</t>
        </is>
      </c>
      <c r="B133" s="37" t="inlineStr">
        <is>
          <t xml:space="preserve">Hoskote </t>
        </is>
      </c>
      <c r="C133" s="37" t="inlineStr">
        <is>
          <t>HQHCS</t>
        </is>
      </c>
      <c r="D133" s="37" t="inlineStr">
        <is>
          <t>2026-07-03</t>
        </is>
      </c>
      <c r="E133" s="37" t="inlineStr">
        <is>
          <t>Process Check</t>
        </is>
      </c>
      <c r="F133" s="37" t="inlineStr">
        <is>
          <t>Check the Aspirant Mock Interview Score Tracker is updated after every mock interview in the L&amp;D Google Sheet.</t>
        </is>
      </c>
      <c r="G133" s="37" t="inlineStr">
        <is>
          <t>All is Well</t>
        </is>
      </c>
    </row>
    <row r="134">
      <c r="A134" s="37" t="inlineStr">
        <is>
          <t>S Jakir</t>
        </is>
      </c>
      <c r="B134" s="37" t="inlineStr">
        <is>
          <t xml:space="preserve">Hoskote </t>
        </is>
      </c>
      <c r="C134" s="37" t="inlineStr">
        <is>
          <t>HQHCS</t>
        </is>
      </c>
      <c r="D134" s="37" t="inlineStr">
        <is>
          <t>2026-07-03</t>
        </is>
      </c>
      <c r="E134" s="37" t="inlineStr">
        <is>
          <t>Process Check</t>
        </is>
      </c>
      <c r="F134" s="37" t="inlineStr">
        <is>
          <t>Confirm NPS (Net Promoter Score) is collected at MSDF centres.</t>
        </is>
      </c>
      <c r="G134" s="37" t="inlineStr">
        <is>
          <t>Not Applicable</t>
        </is>
      </c>
    </row>
    <row r="135">
      <c r="A135" s="37" t="inlineStr">
        <is>
          <t>S Jakir</t>
        </is>
      </c>
      <c r="B135" s="37" t="inlineStr">
        <is>
          <t xml:space="preserve">Hoskote </t>
        </is>
      </c>
      <c r="C135" s="37" t="inlineStr">
        <is>
          <t>HQHCS</t>
        </is>
      </c>
      <c r="D135" s="37" t="inlineStr">
        <is>
          <t>2026-07-03</t>
        </is>
      </c>
      <c r="E135" s="37" t="inlineStr">
        <is>
          <t>Process Check</t>
        </is>
      </c>
      <c r="F135" s="37" t="inlineStr">
        <is>
          <t>Confirm that QAE is collecting student feedback for every batch.</t>
        </is>
      </c>
      <c r="G135" s="37" t="inlineStr">
        <is>
          <t>All is Well</t>
        </is>
      </c>
    </row>
    <row r="136">
      <c r="A136" s="37" t="inlineStr">
        <is>
          <t>S Jakir</t>
        </is>
      </c>
      <c r="B136" s="37" t="inlineStr">
        <is>
          <t xml:space="preserve">Hoskote </t>
        </is>
      </c>
      <c r="C136" s="37" t="inlineStr">
        <is>
          <t>HQHCS</t>
        </is>
      </c>
      <c r="D136" s="37" t="inlineStr">
        <is>
          <t>2026-07-03</t>
        </is>
      </c>
      <c r="E136" s="37" t="inlineStr">
        <is>
          <t>Process Check</t>
        </is>
      </c>
      <c r="F136" s="37" t="inlineStr">
        <is>
          <t>Confirm all centre teams have completed the GROW Manual Course on Skillfy — ask for achievement certificates.</t>
        </is>
      </c>
      <c r="G136" s="37" t="inlineStr">
        <is>
          <t>All is Well</t>
        </is>
      </c>
    </row>
    <row r="137">
      <c r="A137" s="37" t="inlineStr">
        <is>
          <t>S Jakir</t>
        </is>
      </c>
      <c r="B137" s="37" t="inlineStr">
        <is>
          <t xml:space="preserve">Hoskote </t>
        </is>
      </c>
      <c r="C137" s="37" t="inlineStr">
        <is>
          <t>HQHCS</t>
        </is>
      </c>
      <c r="D137" s="37" t="inlineStr">
        <is>
          <t>2026-07-03</t>
        </is>
      </c>
      <c r="E137" s="37" t="inlineStr">
        <is>
          <t>Process Check</t>
        </is>
      </c>
      <c r="F137" s="37" t="inlineStr">
        <is>
          <t>Check AH holds a quality weekly team meeting, documents action points in the weekly meeting format, and sends you a photo on WhatsApp.</t>
        </is>
      </c>
      <c r="G137" s="37" t="inlineStr">
        <is>
          <t>All is Well</t>
        </is>
      </c>
    </row>
    <row r="138">
      <c r="A138" s="37" t="inlineStr">
        <is>
          <t>S Jakir</t>
        </is>
      </c>
      <c r="B138" s="37" t="inlineStr">
        <is>
          <t xml:space="preserve">Hoskote </t>
        </is>
      </c>
      <c r="C138" s="37" t="inlineStr">
        <is>
          <t>HQHCS</t>
        </is>
      </c>
      <c r="D138" s="37" t="inlineStr">
        <is>
          <t>2026-07-03</t>
        </is>
      </c>
      <c r="E138" s="37" t="inlineStr">
        <is>
          <t>Aspirant Interaction</t>
        </is>
      </c>
      <c r="F138" s="37" t="inlineStr">
        <is>
          <t>Ask aspirants about the session plan — confirm training is happening as planned?</t>
        </is>
      </c>
      <c r="G138" s="37" t="inlineStr">
        <is>
          <t>All is Well</t>
        </is>
      </c>
    </row>
    <row r="139">
      <c r="A139" s="37" t="inlineStr">
        <is>
          <t>S Jakir</t>
        </is>
      </c>
      <c r="B139" s="37" t="inlineStr">
        <is>
          <t xml:space="preserve">Hoskote </t>
        </is>
      </c>
      <c r="C139" s="37" t="inlineStr">
        <is>
          <t>HQHCS</t>
        </is>
      </c>
      <c r="D139" s="37" t="inlineStr">
        <is>
          <t>2026-07-03</t>
        </is>
      </c>
      <c r="E139" s="37" t="inlineStr">
        <is>
          <t>Aspirant Interaction</t>
        </is>
      </c>
      <c r="F139" s="37" t="inlineStr">
        <is>
          <t>Ask about the quality of Core Employability component delivery (technical centres) and who delivers it.</t>
        </is>
      </c>
      <c r="G139" s="37" t="inlineStr">
        <is>
          <t>All is Well</t>
        </is>
      </c>
    </row>
    <row r="140">
      <c r="A140" s="37" t="inlineStr">
        <is>
          <t>S Jakir</t>
        </is>
      </c>
      <c r="B140" s="37" t="inlineStr">
        <is>
          <t xml:space="preserve">Hoskote </t>
        </is>
      </c>
      <c r="C140" s="37" t="inlineStr">
        <is>
          <t>HQHCS</t>
        </is>
      </c>
      <c r="D140" s="37" t="inlineStr">
        <is>
          <t>2026-07-03</t>
        </is>
      </c>
      <c r="E140" s="37" t="inlineStr">
        <is>
          <t>Aspirant Interaction</t>
        </is>
      </c>
      <c r="F140" s="37" t="inlineStr">
        <is>
          <t>Ask whether they are aware of the referral scheme?</t>
        </is>
      </c>
      <c r="G140" s="37" t="inlineStr">
        <is>
          <t>All is Well</t>
        </is>
      </c>
    </row>
    <row r="141">
      <c r="A141" s="37" t="inlineStr">
        <is>
          <t>S Jakir</t>
        </is>
      </c>
      <c r="B141" s="37" t="inlineStr">
        <is>
          <t xml:space="preserve">Hoskote </t>
        </is>
      </c>
      <c r="C141" s="37" t="inlineStr">
        <is>
          <t>HQHCS</t>
        </is>
      </c>
      <c r="D141" s="37" t="inlineStr">
        <is>
          <t>2026-07-03</t>
        </is>
      </c>
      <c r="E141" s="37" t="inlineStr">
        <is>
          <t>Aspirant Interaction</t>
        </is>
      </c>
      <c r="F141" s="37" t="inlineStr">
        <is>
          <t>Ask whether the AH explained the importance of the offer letter and sharing it with us once received for reporting purposes?</t>
        </is>
      </c>
      <c r="G141" s="37" t="inlineStr">
        <is>
          <t>All is Well</t>
        </is>
      </c>
    </row>
    <row r="142">
      <c r="A142" s="37" t="inlineStr">
        <is>
          <t>S Jakir</t>
        </is>
      </c>
      <c r="B142" s="37" t="inlineStr">
        <is>
          <t xml:space="preserve">Hoskote </t>
        </is>
      </c>
      <c r="C142" s="37" t="inlineStr">
        <is>
          <t>HQHCS</t>
        </is>
      </c>
      <c r="D142" s="37" t="inlineStr">
        <is>
          <t>2026-07-03</t>
        </is>
      </c>
      <c r="E142" s="37" t="inlineStr">
        <is>
          <t>Aspirant Interaction</t>
        </is>
      </c>
      <c r="F142" s="37" t="inlineStr">
        <is>
          <t>Ask how many are not interested in jobs — and if so, why they enrolled in the programme?</t>
        </is>
      </c>
      <c r="G142" s="37" t="inlineStr">
        <is>
          <t>All is Well</t>
        </is>
      </c>
    </row>
    <row r="143">
      <c r="A143" s="37" t="inlineStr">
        <is>
          <t>S Jakir</t>
        </is>
      </c>
      <c r="B143" s="37" t="inlineStr">
        <is>
          <t xml:space="preserve">Hoskote </t>
        </is>
      </c>
      <c r="C143" s="37" t="inlineStr">
        <is>
          <t>HQHCS</t>
        </is>
      </c>
      <c r="D143" s="37" t="inlineStr">
        <is>
          <t>2026-07-03</t>
        </is>
      </c>
      <c r="E143" s="37" t="inlineStr">
        <is>
          <t>Aspirant Interaction</t>
        </is>
      </c>
      <c r="F143" s="37" t="inlineStr">
        <is>
          <t>Ask whether they were told the kind of job they would get during counselling?</t>
        </is>
      </c>
      <c r="G143" s="37" t="inlineStr">
        <is>
          <t>All is Well</t>
        </is>
      </c>
    </row>
    <row r="144">
      <c r="A144" s="37" t="inlineStr">
        <is>
          <t>S Jakir</t>
        </is>
      </c>
      <c r="B144" s="37" t="inlineStr">
        <is>
          <t xml:space="preserve">Hoskote </t>
        </is>
      </c>
      <c r="C144" s="37" t="inlineStr">
        <is>
          <t>HQHCS</t>
        </is>
      </c>
      <c r="D144" s="37" t="inlineStr">
        <is>
          <t>2026-07-03</t>
        </is>
      </c>
      <c r="E144" s="37" t="inlineStr">
        <is>
          <t>Aspirant Interaction</t>
        </is>
      </c>
      <c r="F144" s="37" t="inlineStr">
        <is>
          <t>Ask whether they have been given LMS access?</t>
        </is>
      </c>
      <c r="G144" s="37" t="inlineStr">
        <is>
          <t>Not Applicable</t>
        </is>
      </c>
    </row>
    <row r="145">
      <c r="A145" s="37" t="inlineStr">
        <is>
          <t>S Jakir</t>
        </is>
      </c>
      <c r="B145" s="37" t="inlineStr">
        <is>
          <t xml:space="preserve">Hoskote </t>
        </is>
      </c>
      <c r="C145" s="37" t="inlineStr">
        <is>
          <t>HQHCS</t>
        </is>
      </c>
      <c r="D145" s="37" t="inlineStr">
        <is>
          <t>2026-07-03</t>
        </is>
      </c>
      <c r="E145" s="37" t="inlineStr">
        <is>
          <t>Aspirant Interaction</t>
        </is>
      </c>
      <c r="F145" s="37" t="inlineStr">
        <is>
          <t>Ask whether anyone asked them for money for training or placement?</t>
        </is>
      </c>
      <c r="G145" s="37" t="inlineStr">
        <is>
          <t>All is Well</t>
        </is>
      </c>
    </row>
    <row r="146">
      <c r="A146" s="37" t="inlineStr">
        <is>
          <t>S Jakir</t>
        </is>
      </c>
      <c r="B146" s="37" t="inlineStr">
        <is>
          <t xml:space="preserve">Hoskote </t>
        </is>
      </c>
      <c r="C146" s="37" t="inlineStr">
        <is>
          <t>HQHCS</t>
        </is>
      </c>
      <c r="D146" s="37" t="inlineStr">
        <is>
          <t>2026-07-03</t>
        </is>
      </c>
      <c r="E146" s="37" t="inlineStr">
        <is>
          <t>Aspirant Interaction</t>
        </is>
      </c>
      <c r="F146" s="37" t="inlineStr">
        <is>
          <t>Ask to show their mobile phones — are they enrolled on Skillfy? If not, get them enrolled and give written feedback to trainers and the AH in your presence.</t>
        </is>
      </c>
      <c r="G146" s="37" t="inlineStr">
        <is>
          <t>All is Well</t>
        </is>
      </c>
    </row>
    <row r="147">
      <c r="A147" s="37" t="inlineStr">
        <is>
          <t>S Jakir</t>
        </is>
      </c>
      <c r="B147" s="37" t="inlineStr">
        <is>
          <t xml:space="preserve">Hoskote </t>
        </is>
      </c>
      <c r="C147" s="37" t="inlineStr">
        <is>
          <t>HQHCS</t>
        </is>
      </c>
      <c r="D147" s="37" t="inlineStr">
        <is>
          <t>2026-07-03</t>
        </is>
      </c>
      <c r="E147" s="37" t="inlineStr">
        <is>
          <t>Aspirant Interaction</t>
        </is>
      </c>
      <c r="F147" s="37" t="inlineStr">
        <is>
          <t>Ask about the quality of the hostel and any issues they face.</t>
        </is>
      </c>
      <c r="G147" s="37" t="inlineStr">
        <is>
          <t>All is Well</t>
        </is>
      </c>
    </row>
    <row r="148">
      <c r="A148" s="37" t="inlineStr">
        <is>
          <t>S Jakir</t>
        </is>
      </c>
      <c r="B148" s="37" t="inlineStr">
        <is>
          <t xml:space="preserve">Hoskote </t>
        </is>
      </c>
      <c r="C148" s="37" t="inlineStr">
        <is>
          <t>HQHCS</t>
        </is>
      </c>
      <c r="D148" s="37" t="inlineStr">
        <is>
          <t>2026-07-03</t>
        </is>
      </c>
      <c r="E148" s="37" t="inlineStr">
        <is>
          <t>Aspirant Interaction</t>
        </is>
      </c>
      <c r="F148" s="37" t="inlineStr">
        <is>
          <t>Ask a few relevant screening questions to support the 10th-day report and remove non-serious candidates, explaining to them the reasons.</t>
        </is>
      </c>
      <c r="G148" s="37" t="inlineStr">
        <is>
          <t>All is Well</t>
        </is>
      </c>
    </row>
    <row r="149">
      <c r="A149" s="37" t="inlineStr">
        <is>
          <t>Raghavender Rao</t>
        </is>
      </c>
      <c r="B149" s="37" t="inlineStr">
        <is>
          <t>Karimnagar</t>
        </is>
      </c>
      <c r="C149" s="37" t="inlineStr">
        <is>
          <t>Grow-Green-Solar</t>
        </is>
      </c>
      <c r="D149" s="37" t="inlineStr">
        <is>
          <t>2026-07-01</t>
        </is>
      </c>
      <c r="E149" s="37" t="inlineStr">
        <is>
          <t>Data Check</t>
        </is>
      </c>
      <c r="F149" s="37" t="inlineStr">
        <is>
          <t>Reach the centre on time (unannounced) — confirm the centre opened on time.</t>
        </is>
      </c>
      <c r="G149" s="37" t="inlineStr">
        <is>
          <t>All is Well</t>
        </is>
      </c>
    </row>
    <row r="150">
      <c r="A150" s="37" t="inlineStr">
        <is>
          <t>Raghavender Rao</t>
        </is>
      </c>
      <c r="B150" s="37" t="inlineStr">
        <is>
          <t>Karimnagar</t>
        </is>
      </c>
      <c r="C150" s="37" t="inlineStr">
        <is>
          <t>Grow-Green-Solar</t>
        </is>
      </c>
      <c r="D150" s="37" t="inlineStr">
        <is>
          <t>2026-07-01</t>
        </is>
      </c>
      <c r="E150" s="37" t="inlineStr">
        <is>
          <t>Data Check</t>
        </is>
      </c>
      <c r="F150" s="37" t="inlineStr">
        <is>
          <t>Check the staff attendance register, the Google Sheet, and geo-tagged photos for aspirants.</t>
        </is>
      </c>
      <c r="G150" s="37" t="inlineStr">
        <is>
          <t>All is Well</t>
        </is>
      </c>
    </row>
    <row r="151">
      <c r="A151" s="37" t="inlineStr">
        <is>
          <t>Raghavender Rao</t>
        </is>
      </c>
      <c r="B151" s="37" t="inlineStr">
        <is>
          <t>Karimnagar</t>
        </is>
      </c>
      <c r="C151" s="37" t="inlineStr">
        <is>
          <t>Grow-Green-Solar</t>
        </is>
      </c>
      <c r="D151" s="37" t="inlineStr">
        <is>
          <t>2026-07-01</t>
        </is>
      </c>
      <c r="E151" s="37" t="inlineStr">
        <is>
          <t>Data Check</t>
        </is>
      </c>
      <c r="F151" s="37" t="inlineStr">
        <is>
          <t>Check Counselling and Screening Forms of recently started batches.</t>
        </is>
      </c>
      <c r="G151" s="37" t="inlineStr">
        <is>
          <t>All is Well</t>
        </is>
      </c>
    </row>
    <row r="152">
      <c r="A152" s="37" t="inlineStr">
        <is>
          <t>Raghavender Rao</t>
        </is>
      </c>
      <c r="B152" s="37" t="inlineStr">
        <is>
          <t>Karimnagar</t>
        </is>
      </c>
      <c r="C152" s="37" t="inlineStr">
        <is>
          <t>Grow-Green-Solar</t>
        </is>
      </c>
      <c r="D152" s="37" t="inlineStr">
        <is>
          <t>2026-07-01</t>
        </is>
      </c>
      <c r="E152" s="37" t="inlineStr">
        <is>
          <t>Data Check</t>
        </is>
      </c>
      <c r="F152" s="37" t="inlineStr">
        <is>
          <t>Check Aspirant Registration Forms and related documents.</t>
        </is>
      </c>
      <c r="G152" s="37" t="inlineStr">
        <is>
          <t>All is Well</t>
        </is>
      </c>
    </row>
    <row r="153">
      <c r="A153" s="37" t="inlineStr">
        <is>
          <t>Raghavender Rao</t>
        </is>
      </c>
      <c r="B153" s="37" t="inlineStr">
        <is>
          <t>Karimnagar</t>
        </is>
      </c>
      <c r="C153" s="37" t="inlineStr">
        <is>
          <t>Grow-Green-Solar</t>
        </is>
      </c>
      <c r="D153" s="37" t="inlineStr">
        <is>
          <t>2026-07-01</t>
        </is>
      </c>
      <c r="E153" s="37" t="inlineStr">
        <is>
          <t>Data Check</t>
        </is>
      </c>
      <c r="F153" s="37" t="inlineStr">
        <is>
          <t>On the GROW portal, confirm all student profile details and batch updates are currect.</t>
        </is>
      </c>
      <c r="G153" s="37" t="inlineStr">
        <is>
          <t>All is Well</t>
        </is>
      </c>
    </row>
    <row r="154">
      <c r="A154" s="37" t="inlineStr">
        <is>
          <t>Raghavender Rao</t>
        </is>
      </c>
      <c r="B154" s="37" t="inlineStr">
        <is>
          <t>Karimnagar</t>
        </is>
      </c>
      <c r="C154" s="37" t="inlineStr">
        <is>
          <t>Grow-Green-Solar</t>
        </is>
      </c>
      <c r="D154" s="37" t="inlineStr">
        <is>
          <t>2026-07-01</t>
        </is>
      </c>
      <c r="E154" s="37" t="inlineStr">
        <is>
          <t>Data Check</t>
        </is>
      </c>
      <c r="F154" s="37" t="inlineStr">
        <is>
          <t>Verify placement data — randomly call 3–4 alumni placed in the last 3 months to confirm veracity (random selection is essential).</t>
        </is>
      </c>
      <c r="G154" s="37" t="inlineStr">
        <is>
          <t>All is Well</t>
        </is>
      </c>
    </row>
    <row r="155">
      <c r="A155" s="37" t="inlineStr">
        <is>
          <t>Raghavender Rao</t>
        </is>
      </c>
      <c r="B155" s="37" t="inlineStr">
        <is>
          <t>Karimnagar</t>
        </is>
      </c>
      <c r="C155" s="37" t="inlineStr">
        <is>
          <t>Grow-Green-Solar</t>
        </is>
      </c>
      <c r="D155" s="37" t="inlineStr">
        <is>
          <t>2026-07-01</t>
        </is>
      </c>
      <c r="E155" s="37" t="inlineStr">
        <is>
          <t>Data Check</t>
        </is>
      </c>
      <c r="F155" s="37" t="inlineStr">
        <is>
          <t>Verify retention — check the Alumni Hand-holding Format is being updated as designed.</t>
        </is>
      </c>
      <c r="G155" s="37" t="inlineStr">
        <is>
          <t>All is Well</t>
        </is>
      </c>
    </row>
    <row r="156">
      <c r="A156" s="37" t="inlineStr">
        <is>
          <t>Raghavender Rao</t>
        </is>
      </c>
      <c r="B156" s="37" t="inlineStr">
        <is>
          <t>Karimnagar</t>
        </is>
      </c>
      <c r="C156" s="37" t="inlineStr">
        <is>
          <t>Grow-Green-Solar</t>
        </is>
      </c>
      <c r="D156" s="37" t="inlineStr">
        <is>
          <t>2026-07-01</t>
        </is>
      </c>
      <c r="E156" s="37" t="inlineStr">
        <is>
          <t>Data Check</t>
        </is>
      </c>
      <c r="F156" s="37" t="inlineStr">
        <is>
          <t>Check aspirant Hostel Forms are properly filled or not.</t>
        </is>
      </c>
      <c r="G156" s="37" t="inlineStr">
        <is>
          <t>All is Well</t>
        </is>
      </c>
    </row>
    <row r="157">
      <c r="A157" s="37" t="inlineStr">
        <is>
          <t>Raghavender Rao</t>
        </is>
      </c>
      <c r="B157" s="37" t="inlineStr">
        <is>
          <t>Karimnagar</t>
        </is>
      </c>
      <c r="C157" s="37" t="inlineStr">
        <is>
          <t>Grow-Green-Solar</t>
        </is>
      </c>
      <c r="D157" s="37" t="inlineStr">
        <is>
          <t>2026-07-01</t>
        </is>
      </c>
      <c r="E157" s="37" t="inlineStr">
        <is>
          <t>Infra Check</t>
        </is>
      </c>
      <c r="F157" s="37" t="inlineStr">
        <is>
          <t>Check all CCTV cameras; if any are not working, ask the AH to troubleshoot or call the vendor.</t>
        </is>
      </c>
      <c r="G157" s="37" t="inlineStr">
        <is>
          <t>All is Well</t>
        </is>
      </c>
    </row>
    <row r="158">
      <c r="A158" s="37" t="inlineStr">
        <is>
          <t>Raghavender Rao</t>
        </is>
      </c>
      <c r="B158" s="37" t="inlineStr">
        <is>
          <t>Karimnagar</t>
        </is>
      </c>
      <c r="C158" s="37" t="inlineStr">
        <is>
          <t>Grow-Green-Solar</t>
        </is>
      </c>
      <c r="D158" s="37" t="inlineStr">
        <is>
          <t>2026-07-01</t>
        </is>
      </c>
      <c r="E158" s="37" t="inlineStr">
        <is>
          <t>Infra Check</t>
        </is>
      </c>
      <c r="F158" s="37" t="inlineStr">
        <is>
          <t>Check for any scrap material and get it cleared, with support of Admin</t>
        </is>
      </c>
      <c r="G158" s="37" t="inlineStr">
        <is>
          <t>All is Well</t>
        </is>
      </c>
    </row>
    <row r="159">
      <c r="A159" s="37" t="inlineStr">
        <is>
          <t>Raghavender Rao</t>
        </is>
      </c>
      <c r="B159" s="37" t="inlineStr">
        <is>
          <t>Karimnagar</t>
        </is>
      </c>
      <c r="C159" s="37" t="inlineStr">
        <is>
          <t>Grow-Green-Solar</t>
        </is>
      </c>
      <c r="D159" s="37" t="inlineStr">
        <is>
          <t>2026-07-01</t>
        </is>
      </c>
      <c r="E159" s="37" t="inlineStr">
        <is>
          <t>Infra Check</t>
        </is>
      </c>
      <c r="F159" s="37" t="inlineStr">
        <is>
          <t>Check for any pending infra repairs.</t>
        </is>
      </c>
      <c r="G159" s="37" t="inlineStr">
        <is>
          <t>Need Improvement</t>
        </is>
      </c>
    </row>
    <row r="160">
      <c r="A160" s="37" t="inlineStr">
        <is>
          <t>Raghavender Rao</t>
        </is>
      </c>
      <c r="B160" s="37" t="inlineStr">
        <is>
          <t>Karimnagar</t>
        </is>
      </c>
      <c r="C160" s="37" t="inlineStr">
        <is>
          <t>Grow-Green-Solar</t>
        </is>
      </c>
      <c r="D160" s="37" t="inlineStr">
        <is>
          <t>2026-07-01</t>
        </is>
      </c>
      <c r="E160" s="37" t="inlineStr">
        <is>
          <t>Infra Check</t>
        </is>
      </c>
      <c r="F160" s="37" t="inlineStr">
        <is>
          <t>Check whether any fire extinguishers have expired (check the needle and expiry date both).</t>
        </is>
      </c>
      <c r="G160" s="37" t="inlineStr">
        <is>
          <t>All is Well</t>
        </is>
      </c>
    </row>
    <row r="161">
      <c r="A161" s="37" t="inlineStr">
        <is>
          <t>Raghavender Rao</t>
        </is>
      </c>
      <c r="B161" s="37" t="inlineStr">
        <is>
          <t>Karimnagar</t>
        </is>
      </c>
      <c r="C161" s="37" t="inlineStr">
        <is>
          <t>Grow-Green-Solar</t>
        </is>
      </c>
      <c r="D161" s="37" t="inlineStr">
        <is>
          <t>2026-07-01</t>
        </is>
      </c>
      <c r="E161" s="37" t="inlineStr">
        <is>
          <t>Infra Check</t>
        </is>
      </c>
      <c r="F161" s="37" t="inlineStr">
        <is>
          <t>Check basic cleanliness of the washrooms and the centre.</t>
        </is>
      </c>
      <c r="G161" s="37" t="inlineStr">
        <is>
          <t>Need Improvement</t>
        </is>
      </c>
    </row>
    <row r="162">
      <c r="A162" s="37" t="inlineStr">
        <is>
          <t>Raghavender Rao</t>
        </is>
      </c>
      <c r="B162" s="37" t="inlineStr">
        <is>
          <t>Karimnagar</t>
        </is>
      </c>
      <c r="C162" s="37" t="inlineStr">
        <is>
          <t>Grow-Green-Solar</t>
        </is>
      </c>
      <c r="D162" s="37" t="inlineStr">
        <is>
          <t>2026-07-01</t>
        </is>
      </c>
      <c r="E162" s="37" t="inlineStr">
        <is>
          <t>Infra Check</t>
        </is>
      </c>
      <c r="F162" s="37" t="inlineStr">
        <is>
          <t>Confirm the correct program and partner logos are displayed.</t>
        </is>
      </c>
      <c r="G162" s="37" t="inlineStr">
        <is>
          <t>All is Well</t>
        </is>
      </c>
    </row>
    <row r="163">
      <c r="A163" s="37" t="inlineStr">
        <is>
          <t>Raghavender Rao</t>
        </is>
      </c>
      <c r="B163" s="37" t="inlineStr">
        <is>
          <t>Karimnagar</t>
        </is>
      </c>
      <c r="C163" s="37" t="inlineStr">
        <is>
          <t>Grow-Green-Solar</t>
        </is>
      </c>
      <c r="D163" s="37" t="inlineStr">
        <is>
          <t>2026-07-01</t>
        </is>
      </c>
      <c r="E163" s="37" t="inlineStr">
        <is>
          <t>Infra Check</t>
        </is>
      </c>
      <c r="F163" s="37" t="inlineStr">
        <is>
          <t>Check the status of digital infra — PCs, smartboards, tablets, laptops, etc.</t>
        </is>
      </c>
      <c r="G163" s="37" t="inlineStr">
        <is>
          <t>All is Well</t>
        </is>
      </c>
    </row>
    <row r="164">
      <c r="A164" s="37" t="inlineStr">
        <is>
          <t>Raghavender Rao</t>
        </is>
      </c>
      <c r="B164" s="37" t="inlineStr">
        <is>
          <t>Karimnagar</t>
        </is>
      </c>
      <c r="C164" s="37" t="inlineStr">
        <is>
          <t>Grow-Green-Solar</t>
        </is>
      </c>
      <c r="D164" s="37" t="inlineStr">
        <is>
          <t>2026-07-01</t>
        </is>
      </c>
      <c r="E164" s="37" t="inlineStr">
        <is>
          <t>Infra Check</t>
        </is>
      </c>
      <c r="F164" s="37" t="inlineStr">
        <is>
          <t>Make a quick hostel visit; have lunch there if possible to test the food quality.</t>
        </is>
      </c>
      <c r="G164" s="37" t="inlineStr">
        <is>
          <t>Need Improvement</t>
        </is>
      </c>
    </row>
    <row r="165">
      <c r="A165" s="37" t="inlineStr">
        <is>
          <t>Raghavender Rao</t>
        </is>
      </c>
      <c r="B165" s="37" t="inlineStr">
        <is>
          <t>Karimnagar</t>
        </is>
      </c>
      <c r="C165" s="37" t="inlineStr">
        <is>
          <t>Grow-Green-Solar</t>
        </is>
      </c>
      <c r="D165" s="37" t="inlineStr">
        <is>
          <t>2026-07-01</t>
        </is>
      </c>
      <c r="E165" s="37" t="inlineStr">
        <is>
          <t>Process Check</t>
        </is>
      </c>
      <c r="F165" s="37" t="inlineStr">
        <is>
          <t>Refer to the activity planner — check if any activities are delayed.</t>
        </is>
      </c>
      <c r="G165" s="37" t="inlineStr">
        <is>
          <t>All is Well</t>
        </is>
      </c>
    </row>
    <row r="166">
      <c r="A166" s="37" t="inlineStr">
        <is>
          <t>Raghavender Rao</t>
        </is>
      </c>
      <c r="B166" s="37" t="inlineStr">
        <is>
          <t>Karimnagar</t>
        </is>
      </c>
      <c r="C166" s="37" t="inlineStr">
        <is>
          <t>Grow-Green-Solar</t>
        </is>
      </c>
      <c r="D166" s="37" t="inlineStr">
        <is>
          <t>2026-07-01</t>
        </is>
      </c>
      <c r="E166" s="37" t="inlineStr">
        <is>
          <t>Process Check</t>
        </is>
      </c>
      <c r="F166" s="37" t="inlineStr">
        <is>
          <t>Check planning for the next batch-start announcement.</t>
        </is>
      </c>
      <c r="G166" s="37" t="inlineStr">
        <is>
          <t>All is Well</t>
        </is>
      </c>
    </row>
    <row r="167">
      <c r="A167" s="37" t="inlineStr">
        <is>
          <t>Raghavender Rao</t>
        </is>
      </c>
      <c r="B167" s="37" t="inlineStr">
        <is>
          <t>Karimnagar</t>
        </is>
      </c>
      <c r="C167" s="37" t="inlineStr">
        <is>
          <t>Grow-Green-Solar</t>
        </is>
      </c>
      <c r="D167" s="37" t="inlineStr">
        <is>
          <t>2026-07-01</t>
        </is>
      </c>
      <c r="E167" s="37" t="inlineStr">
        <is>
          <t>Process Check</t>
        </is>
      </c>
      <c r="F167" s="37" t="inlineStr">
        <is>
          <t>Check if any hiring is delayed and plan a resolution.</t>
        </is>
      </c>
      <c r="G167" s="37" t="inlineStr">
        <is>
          <t>All is Well</t>
        </is>
      </c>
    </row>
    <row r="168">
      <c r="A168" s="37" t="inlineStr">
        <is>
          <t>Raghavender Rao</t>
        </is>
      </c>
      <c r="B168" s="37" t="inlineStr">
        <is>
          <t>Karimnagar</t>
        </is>
      </c>
      <c r="C168" s="37" t="inlineStr">
        <is>
          <t>Grow-Green-Solar</t>
        </is>
      </c>
      <c r="D168" s="37" t="inlineStr">
        <is>
          <t>2026-07-01</t>
        </is>
      </c>
      <c r="E168" s="37" t="inlineStr">
        <is>
          <t>Process Check</t>
        </is>
      </c>
      <c r="F168" s="37" t="inlineStr">
        <is>
          <t>Check the CA’s diary — is CA guided daily by the AH during planning days?</t>
        </is>
      </c>
      <c r="G168" s="37" t="inlineStr">
        <is>
          <t>All is Well</t>
        </is>
      </c>
    </row>
    <row r="169">
      <c r="A169" s="37" t="inlineStr">
        <is>
          <t>Raghavender Rao</t>
        </is>
      </c>
      <c r="B169" s="37" t="inlineStr">
        <is>
          <t>Karimnagar</t>
        </is>
      </c>
      <c r="C169" s="37" t="inlineStr">
        <is>
          <t>Grow-Green-Solar</t>
        </is>
      </c>
      <c r="D169" s="37" t="inlineStr">
        <is>
          <t>2026-07-01</t>
        </is>
      </c>
      <c r="E169" s="37" t="inlineStr">
        <is>
          <t>Process Check</t>
        </is>
      </c>
      <c r="F169" s="37" t="inlineStr">
        <is>
          <t>Check the AH is regularly meeting employers (in person and online) and updating the centre’s Top 20 Employer format.</t>
        </is>
      </c>
      <c r="G169" s="37" t="inlineStr">
        <is>
          <t>All is Well</t>
        </is>
      </c>
    </row>
    <row r="170">
      <c r="A170" s="37" t="inlineStr">
        <is>
          <t>Raghavender Rao</t>
        </is>
      </c>
      <c r="B170" s="37" t="inlineStr">
        <is>
          <t>Karimnagar</t>
        </is>
      </c>
      <c r="C170" s="37" t="inlineStr">
        <is>
          <t>Grow-Green-Solar</t>
        </is>
      </c>
      <c r="D170" s="37" t="inlineStr">
        <is>
          <t>2026-07-01</t>
        </is>
      </c>
      <c r="E170" s="37" t="inlineStr">
        <is>
          <t>Process Check</t>
        </is>
      </c>
      <c r="F170" s="37" t="inlineStr">
        <is>
          <t>Confirm all new employers are registered on portal as per new process.</t>
        </is>
      </c>
      <c r="G170" s="37" t="inlineStr">
        <is>
          <t>All is Well</t>
        </is>
      </c>
    </row>
    <row r="171">
      <c r="A171" s="37" t="inlineStr">
        <is>
          <t>Raghavender Rao</t>
        </is>
      </c>
      <c r="B171" s="37" t="inlineStr">
        <is>
          <t>Karimnagar</t>
        </is>
      </c>
      <c r="C171" s="37" t="inlineStr">
        <is>
          <t>Grow-Green-Solar</t>
        </is>
      </c>
      <c r="D171" s="37" t="inlineStr">
        <is>
          <t>2026-07-01</t>
        </is>
      </c>
      <c r="E171" s="37" t="inlineStr">
        <is>
          <t>Process Check</t>
        </is>
      </c>
      <c r="F171" s="37" t="inlineStr">
        <is>
          <t>Confirm 100% of enrolled students undergone screening (for technical courses).</t>
        </is>
      </c>
      <c r="G171" s="37" t="inlineStr">
        <is>
          <t>All is Well</t>
        </is>
      </c>
    </row>
    <row r="172">
      <c r="A172" s="37" t="inlineStr">
        <is>
          <t>Raghavender Rao</t>
        </is>
      </c>
      <c r="B172" s="37" t="inlineStr">
        <is>
          <t>Karimnagar</t>
        </is>
      </c>
      <c r="C172" s="37" t="inlineStr">
        <is>
          <t>Grow-Green-Solar</t>
        </is>
      </c>
      <c r="D172" s="37" t="inlineStr">
        <is>
          <t>2026-07-01</t>
        </is>
      </c>
      <c r="E172" s="37" t="inlineStr">
        <is>
          <t>Process Check</t>
        </is>
      </c>
      <c r="F172" s="37" t="inlineStr">
        <is>
          <t>Confirm ESA is done (in GROW full ESA and in Technical courses relevant sections of Core Employability Part).</t>
        </is>
      </c>
      <c r="G172" s="37" t="inlineStr">
        <is>
          <t>All is Well</t>
        </is>
      </c>
    </row>
    <row r="173">
      <c r="A173" s="37" t="inlineStr">
        <is>
          <t>Raghavender Rao</t>
        </is>
      </c>
      <c r="B173" s="37" t="inlineStr">
        <is>
          <t>Karimnagar</t>
        </is>
      </c>
      <c r="C173" s="37" t="inlineStr">
        <is>
          <t>Grow-Green-Solar</t>
        </is>
      </c>
      <c r="D173" s="37" t="inlineStr">
        <is>
          <t>2026-07-01</t>
        </is>
      </c>
      <c r="E173" s="37" t="inlineStr">
        <is>
          <t>Process Check</t>
        </is>
      </c>
      <c r="F173" s="37" t="inlineStr">
        <is>
          <t>Check is AH giving capstone project in GROW Tech.</t>
        </is>
      </c>
      <c r="G173" s="37" t="inlineStr">
        <is>
          <t>Not Applicable</t>
        </is>
      </c>
    </row>
    <row r="174">
      <c r="A174" s="37" t="inlineStr">
        <is>
          <t>Raghavender Rao</t>
        </is>
      </c>
      <c r="B174" s="37" t="inlineStr">
        <is>
          <t>Karimnagar</t>
        </is>
      </c>
      <c r="C174" s="37" t="inlineStr">
        <is>
          <t>Grow-Green-Solar</t>
        </is>
      </c>
      <c r="D174" s="37" t="inlineStr">
        <is>
          <t>2026-07-01</t>
        </is>
      </c>
      <c r="E174" s="37" t="inlineStr">
        <is>
          <t>Process Check</t>
        </is>
      </c>
      <c r="F174" s="37" t="inlineStr">
        <is>
          <t>Check is AH planning OJT as per guidelines and proofs are collected for technical courses.</t>
        </is>
      </c>
      <c r="G174" s="37" t="inlineStr">
        <is>
          <t>All is Well</t>
        </is>
      </c>
    </row>
    <row r="175">
      <c r="A175" s="37" t="inlineStr">
        <is>
          <t>Raghavender Rao</t>
        </is>
      </c>
      <c r="B175" s="37" t="inlineStr">
        <is>
          <t>Karimnagar</t>
        </is>
      </c>
      <c r="C175" s="37" t="inlineStr">
        <is>
          <t>Grow-Green-Solar</t>
        </is>
      </c>
      <c r="D175" s="37" t="inlineStr">
        <is>
          <t>2026-07-01</t>
        </is>
      </c>
      <c r="E175" s="37" t="inlineStr">
        <is>
          <t>Process Check</t>
        </is>
      </c>
      <c r="F175" s="37" t="inlineStr">
        <is>
          <t>Check are trainers contacting aspirants to find reason for their absenteeism of more than 1 day.</t>
        </is>
      </c>
      <c r="G175" s="37" t="inlineStr">
        <is>
          <t>All is Well</t>
        </is>
      </c>
    </row>
    <row r="176">
      <c r="A176" s="37" t="inlineStr">
        <is>
          <t>Raghavender Rao</t>
        </is>
      </c>
      <c r="B176" s="37" t="inlineStr">
        <is>
          <t>Karimnagar</t>
        </is>
      </c>
      <c r="C176" s="37" t="inlineStr">
        <is>
          <t>Grow-Green-Solar</t>
        </is>
      </c>
      <c r="D176" s="37" t="inlineStr">
        <is>
          <t>2026-07-01</t>
        </is>
      </c>
      <c r="E176" s="37" t="inlineStr">
        <is>
          <t>Process Check</t>
        </is>
      </c>
      <c r="F176" s="37" t="inlineStr">
        <is>
          <t>Check the AH plans monthly enrolment and placement numbers by the 3rd of each month and shares them with second level managers.</t>
        </is>
      </c>
      <c r="G176" s="37" t="inlineStr">
        <is>
          <t>All is Well</t>
        </is>
      </c>
    </row>
    <row r="177">
      <c r="A177" s="37" t="inlineStr">
        <is>
          <t>Raghavender Rao</t>
        </is>
      </c>
      <c r="B177" s="37" t="inlineStr">
        <is>
          <t>Karimnagar</t>
        </is>
      </c>
      <c r="C177" s="37" t="inlineStr">
        <is>
          <t>Grow-Green-Solar</t>
        </is>
      </c>
      <c r="D177" s="37" t="inlineStr">
        <is>
          <t>2026-07-01</t>
        </is>
      </c>
      <c r="E177" s="37" t="inlineStr">
        <is>
          <t>Process Check</t>
        </is>
      </c>
      <c r="F177" s="37" t="inlineStr">
        <is>
          <t>Check trainers submit aspirants’ placement interest areas to the AH by the batch’s 25th day (in GROW).</t>
        </is>
      </c>
      <c r="G177" s="37" t="inlineStr">
        <is>
          <t>All is Well</t>
        </is>
      </c>
    </row>
    <row r="178">
      <c r="A178" s="37" t="inlineStr">
        <is>
          <t>Raghavender Rao</t>
        </is>
      </c>
      <c r="B178" s="37" t="inlineStr">
        <is>
          <t>Karimnagar</t>
        </is>
      </c>
      <c r="C178" s="37" t="inlineStr">
        <is>
          <t>Grow-Green-Solar</t>
        </is>
      </c>
      <c r="D178" s="37" t="inlineStr">
        <is>
          <t>2026-07-01</t>
        </is>
      </c>
      <c r="E178" s="37" t="inlineStr">
        <is>
          <t>Process Check</t>
        </is>
      </c>
      <c r="F178" s="37" t="inlineStr">
        <is>
          <t>Ckeck For technical programs, placement is done only in technical jobs,on which aspirants are trained and relevant emplyers are identified by 45th day.</t>
        </is>
      </c>
      <c r="G178" s="37" t="inlineStr">
        <is>
          <t>All is Well</t>
        </is>
      </c>
    </row>
    <row r="179">
      <c r="A179" s="37" t="inlineStr">
        <is>
          <t>Raghavender Rao</t>
        </is>
      </c>
      <c r="B179" s="37" t="inlineStr">
        <is>
          <t>Karimnagar</t>
        </is>
      </c>
      <c r="C179" s="37" t="inlineStr">
        <is>
          <t>Grow-Green-Solar</t>
        </is>
      </c>
      <c r="D179" s="37" t="inlineStr">
        <is>
          <t>2026-07-01</t>
        </is>
      </c>
      <c r="E179" s="37" t="inlineStr">
        <is>
          <t>Process Check</t>
        </is>
      </c>
      <c r="F179" s="37" t="inlineStr">
        <is>
          <t>Check the AH follows EP guidelines and minimum benchmark salary guidelines.</t>
        </is>
      </c>
      <c r="G179" s="37" t="inlineStr">
        <is>
          <t>All is Well</t>
        </is>
      </c>
    </row>
    <row r="180">
      <c r="A180" s="37" t="inlineStr">
        <is>
          <t>Raghavender Rao</t>
        </is>
      </c>
      <c r="B180" s="37" t="inlineStr">
        <is>
          <t>Karimnagar</t>
        </is>
      </c>
      <c r="C180" s="37" t="inlineStr">
        <is>
          <t>Grow-Green-Solar</t>
        </is>
      </c>
      <c r="D180" s="37" t="inlineStr">
        <is>
          <t>2026-07-01</t>
        </is>
      </c>
      <c r="E180" s="37" t="inlineStr">
        <is>
          <t>Process Check</t>
        </is>
      </c>
      <c r="F180" s="37" t="inlineStr">
        <is>
          <t>Check that AH is enrolling only the right traget group in the program -as per the defined target.</t>
        </is>
      </c>
      <c r="G180" s="37" t="inlineStr">
        <is>
          <t>All is Well</t>
        </is>
      </c>
    </row>
    <row r="181">
      <c r="A181" s="37" t="inlineStr">
        <is>
          <t>Raghavender Rao</t>
        </is>
      </c>
      <c r="B181" s="37" t="inlineStr">
        <is>
          <t>Karimnagar</t>
        </is>
      </c>
      <c r="C181" s="37" t="inlineStr">
        <is>
          <t>Grow-Green-Solar</t>
        </is>
      </c>
      <c r="D181" s="37" t="inlineStr">
        <is>
          <t>2026-07-01</t>
        </is>
      </c>
      <c r="E181" s="37" t="inlineStr">
        <is>
          <t>Process Check</t>
        </is>
      </c>
      <c r="F181" s="37" t="inlineStr">
        <is>
          <t>Check the AH announces the next batch-start date by the 3rd of the month on all notice boards — focus on Zero-Day start.</t>
        </is>
      </c>
      <c r="G181" s="37" t="inlineStr">
        <is>
          <t>All is Well</t>
        </is>
      </c>
    </row>
    <row r="182">
      <c r="A182" s="37" t="inlineStr">
        <is>
          <t>Raghavender Rao</t>
        </is>
      </c>
      <c r="B182" s="37" t="inlineStr">
        <is>
          <t>Karimnagar</t>
        </is>
      </c>
      <c r="C182" s="37" t="inlineStr">
        <is>
          <t>Grow-Green-Solar</t>
        </is>
      </c>
      <c r="D182" s="37" t="inlineStr">
        <is>
          <t>2026-07-01</t>
        </is>
      </c>
      <c r="E182" s="37" t="inlineStr">
        <is>
          <t>Process Check</t>
        </is>
      </c>
      <c r="F182" s="37" t="inlineStr">
        <is>
          <t>Check the Aspirant Mock Interview Score Tracker is updated after every mock interview in the L&amp;D Google Sheet.</t>
        </is>
      </c>
      <c r="G182" s="37" t="inlineStr">
        <is>
          <t>All is Well</t>
        </is>
      </c>
    </row>
    <row r="183">
      <c r="A183" s="37" t="inlineStr">
        <is>
          <t>Raghavender Rao</t>
        </is>
      </c>
      <c r="B183" s="37" t="inlineStr">
        <is>
          <t>Karimnagar</t>
        </is>
      </c>
      <c r="C183" s="37" t="inlineStr">
        <is>
          <t>Grow-Green-Solar</t>
        </is>
      </c>
      <c r="D183" s="37" t="inlineStr">
        <is>
          <t>2026-07-01</t>
        </is>
      </c>
      <c r="E183" s="37" t="inlineStr">
        <is>
          <t>Process Check</t>
        </is>
      </c>
      <c r="F183" s="37" t="inlineStr">
        <is>
          <t>Confirm NPS (Net Promoter Score) is collected at MSDF centres.</t>
        </is>
      </c>
      <c r="G183" s="37" t="inlineStr">
        <is>
          <t>Not Applicable</t>
        </is>
      </c>
    </row>
    <row r="184">
      <c r="A184" s="37" t="inlineStr">
        <is>
          <t>Raghavender Rao</t>
        </is>
      </c>
      <c r="B184" s="37" t="inlineStr">
        <is>
          <t>Karimnagar</t>
        </is>
      </c>
      <c r="C184" s="37" t="inlineStr">
        <is>
          <t>Grow-Green-Solar</t>
        </is>
      </c>
      <c r="D184" s="37" t="inlineStr">
        <is>
          <t>2026-07-01</t>
        </is>
      </c>
      <c r="E184" s="37" t="inlineStr">
        <is>
          <t>Process Check</t>
        </is>
      </c>
      <c r="F184" s="37" t="inlineStr">
        <is>
          <t>Confirm that QAE is collecting student feedback for every batch.</t>
        </is>
      </c>
      <c r="G184" s="37" t="inlineStr">
        <is>
          <t>All is Well</t>
        </is>
      </c>
    </row>
    <row r="185">
      <c r="A185" s="37" t="inlineStr">
        <is>
          <t>Raghavender Rao</t>
        </is>
      </c>
      <c r="B185" s="37" t="inlineStr">
        <is>
          <t>Karimnagar</t>
        </is>
      </c>
      <c r="C185" s="37" t="inlineStr">
        <is>
          <t>Grow-Green-Solar</t>
        </is>
      </c>
      <c r="D185" s="37" t="inlineStr">
        <is>
          <t>2026-07-01</t>
        </is>
      </c>
      <c r="E185" s="37" t="inlineStr">
        <is>
          <t>Process Check</t>
        </is>
      </c>
      <c r="F185" s="37" t="inlineStr">
        <is>
          <t>Confirm all centre teams have completed the GROW Manual Course on Skillfy — ask for achievement certificates.</t>
        </is>
      </c>
      <c r="G185" s="37" t="inlineStr">
        <is>
          <t>All is Well</t>
        </is>
      </c>
    </row>
    <row r="186">
      <c r="A186" s="37" t="inlineStr">
        <is>
          <t>Raghavender Rao</t>
        </is>
      </c>
      <c r="B186" s="37" t="inlineStr">
        <is>
          <t>Karimnagar</t>
        </is>
      </c>
      <c r="C186" s="37" t="inlineStr">
        <is>
          <t>Grow-Green-Solar</t>
        </is>
      </c>
      <c r="D186" s="37" t="inlineStr">
        <is>
          <t>2026-07-01</t>
        </is>
      </c>
      <c r="E186" s="37" t="inlineStr">
        <is>
          <t>Process Check</t>
        </is>
      </c>
      <c r="F186" s="37" t="inlineStr">
        <is>
          <t>Check AH holds a quality weekly team meeting, documents action points in the weekly meeting format, and sends you a photo on WhatsApp.</t>
        </is>
      </c>
      <c r="G186" s="37" t="inlineStr">
        <is>
          <t>All is Well</t>
        </is>
      </c>
    </row>
    <row r="187">
      <c r="A187" s="37" t="inlineStr">
        <is>
          <t>Raghavender Rao</t>
        </is>
      </c>
      <c r="B187" s="37" t="inlineStr">
        <is>
          <t>Karimnagar</t>
        </is>
      </c>
      <c r="C187" s="37" t="inlineStr">
        <is>
          <t>Grow-Green-Solar</t>
        </is>
      </c>
      <c r="D187" s="37" t="inlineStr">
        <is>
          <t>2026-07-01</t>
        </is>
      </c>
      <c r="E187" s="37" t="inlineStr">
        <is>
          <t>Aspirant Interaction</t>
        </is>
      </c>
      <c r="F187" s="37" t="inlineStr">
        <is>
          <t>Ask aspirants about the session plan — confirm training is happening as planned?</t>
        </is>
      </c>
      <c r="G187" s="37" t="inlineStr">
        <is>
          <t>All is Well</t>
        </is>
      </c>
    </row>
    <row r="188">
      <c r="A188" s="37" t="inlineStr">
        <is>
          <t>Raghavender Rao</t>
        </is>
      </c>
      <c r="B188" s="37" t="inlineStr">
        <is>
          <t>Karimnagar</t>
        </is>
      </c>
      <c r="C188" s="37" t="inlineStr">
        <is>
          <t>Grow-Green-Solar</t>
        </is>
      </c>
      <c r="D188" s="37" t="inlineStr">
        <is>
          <t>2026-07-01</t>
        </is>
      </c>
      <c r="E188" s="37" t="inlineStr">
        <is>
          <t>Aspirant Interaction</t>
        </is>
      </c>
      <c r="F188" s="37" t="inlineStr">
        <is>
          <t>Ask about the quality of Core Employability component delivery (technical centres) and who delivers it.</t>
        </is>
      </c>
      <c r="G188" s="37" t="inlineStr">
        <is>
          <t>All is Well</t>
        </is>
      </c>
    </row>
    <row r="189">
      <c r="A189" s="37" t="inlineStr">
        <is>
          <t>Raghavender Rao</t>
        </is>
      </c>
      <c r="B189" s="37" t="inlineStr">
        <is>
          <t>Karimnagar</t>
        </is>
      </c>
      <c r="C189" s="37" t="inlineStr">
        <is>
          <t>Grow-Green-Solar</t>
        </is>
      </c>
      <c r="D189" s="37" t="inlineStr">
        <is>
          <t>2026-07-01</t>
        </is>
      </c>
      <c r="E189" s="37" t="inlineStr">
        <is>
          <t>Aspirant Interaction</t>
        </is>
      </c>
      <c r="F189" s="37" t="inlineStr">
        <is>
          <t>Ask whether they are aware of the referral scheme?</t>
        </is>
      </c>
      <c r="G189" s="37" t="inlineStr">
        <is>
          <t>All is Well</t>
        </is>
      </c>
    </row>
    <row r="190">
      <c r="A190" s="37" t="inlineStr">
        <is>
          <t>Raghavender Rao</t>
        </is>
      </c>
      <c r="B190" s="37" t="inlineStr">
        <is>
          <t>Karimnagar</t>
        </is>
      </c>
      <c r="C190" s="37" t="inlineStr">
        <is>
          <t>Grow-Green-Solar</t>
        </is>
      </c>
      <c r="D190" s="37" t="inlineStr">
        <is>
          <t>2026-07-01</t>
        </is>
      </c>
      <c r="E190" s="37" t="inlineStr">
        <is>
          <t>Aspirant Interaction</t>
        </is>
      </c>
      <c r="F190" s="37" t="inlineStr">
        <is>
          <t>Ask whether the AH explained the importance of the offer letter and sharing it with us once received for reporting purposes?</t>
        </is>
      </c>
      <c r="G190" s="37" t="inlineStr">
        <is>
          <t>All is Well</t>
        </is>
      </c>
    </row>
    <row r="191">
      <c r="A191" s="37" t="inlineStr">
        <is>
          <t>Raghavender Rao</t>
        </is>
      </c>
      <c r="B191" s="37" t="inlineStr">
        <is>
          <t>Karimnagar</t>
        </is>
      </c>
      <c r="C191" s="37" t="inlineStr">
        <is>
          <t>Grow-Green-Solar</t>
        </is>
      </c>
      <c r="D191" s="37" t="inlineStr">
        <is>
          <t>2026-07-01</t>
        </is>
      </c>
      <c r="E191" s="37" t="inlineStr">
        <is>
          <t>Aspirant Interaction</t>
        </is>
      </c>
      <c r="F191" s="37" t="inlineStr">
        <is>
          <t>Ask how many are not interested in jobs — and if so, why they enrolled in the programme?</t>
        </is>
      </c>
      <c r="G191" s="37" t="inlineStr">
        <is>
          <t>All is Well</t>
        </is>
      </c>
    </row>
    <row r="192">
      <c r="A192" s="37" t="inlineStr">
        <is>
          <t>Raghavender Rao</t>
        </is>
      </c>
      <c r="B192" s="37" t="inlineStr">
        <is>
          <t>Karimnagar</t>
        </is>
      </c>
      <c r="C192" s="37" t="inlineStr">
        <is>
          <t>Grow-Green-Solar</t>
        </is>
      </c>
      <c r="D192" s="37" t="inlineStr">
        <is>
          <t>2026-07-01</t>
        </is>
      </c>
      <c r="E192" s="37" t="inlineStr">
        <is>
          <t>Aspirant Interaction</t>
        </is>
      </c>
      <c r="F192" s="37" t="inlineStr">
        <is>
          <t>Ask whether they were told the kind of job they would get during counselling?</t>
        </is>
      </c>
      <c r="G192" s="37" t="inlineStr">
        <is>
          <t>All is Well</t>
        </is>
      </c>
    </row>
    <row r="193">
      <c r="A193" s="37" t="inlineStr">
        <is>
          <t>Raghavender Rao</t>
        </is>
      </c>
      <c r="B193" s="37" t="inlineStr">
        <is>
          <t>Karimnagar</t>
        </is>
      </c>
      <c r="C193" s="37" t="inlineStr">
        <is>
          <t>Grow-Green-Solar</t>
        </is>
      </c>
      <c r="D193" s="37" t="inlineStr">
        <is>
          <t>2026-07-01</t>
        </is>
      </c>
      <c r="E193" s="37" t="inlineStr">
        <is>
          <t>Aspirant Interaction</t>
        </is>
      </c>
      <c r="F193" s="37" t="inlineStr">
        <is>
          <t>Ask whether they have been given LMS access?</t>
        </is>
      </c>
      <c r="G193" s="37" t="inlineStr">
        <is>
          <t>All is Well</t>
        </is>
      </c>
    </row>
    <row r="194">
      <c r="A194" s="37" t="inlineStr">
        <is>
          <t>Raghavender Rao</t>
        </is>
      </c>
      <c r="B194" s="37" t="inlineStr">
        <is>
          <t>Karimnagar</t>
        </is>
      </c>
      <c r="C194" s="37" t="inlineStr">
        <is>
          <t>Grow-Green-Solar</t>
        </is>
      </c>
      <c r="D194" s="37" t="inlineStr">
        <is>
          <t>2026-07-01</t>
        </is>
      </c>
      <c r="E194" s="37" t="inlineStr">
        <is>
          <t>Aspirant Interaction</t>
        </is>
      </c>
      <c r="F194" s="37" t="inlineStr">
        <is>
          <t>Ask whether anyone asked them for money for training or placement?</t>
        </is>
      </c>
      <c r="G194" s="37" t="inlineStr">
        <is>
          <t>All is Well</t>
        </is>
      </c>
    </row>
    <row r="195">
      <c r="A195" s="37" t="inlineStr">
        <is>
          <t>Raghavender Rao</t>
        </is>
      </c>
      <c r="B195" s="37" t="inlineStr">
        <is>
          <t>Karimnagar</t>
        </is>
      </c>
      <c r="C195" s="37" t="inlineStr">
        <is>
          <t>Grow-Green-Solar</t>
        </is>
      </c>
      <c r="D195" s="37" t="inlineStr">
        <is>
          <t>2026-07-01</t>
        </is>
      </c>
      <c r="E195" s="37" t="inlineStr">
        <is>
          <t>Aspirant Interaction</t>
        </is>
      </c>
      <c r="F195" s="37" t="inlineStr">
        <is>
          <t>Ask to show their mobile phones — are they enrolled on Skillfy? If not, get them enrolled and give written feedback to trainers and the AH in your presence.</t>
        </is>
      </c>
      <c r="G195" s="37" t="inlineStr">
        <is>
          <t>All is Well</t>
        </is>
      </c>
    </row>
    <row r="196">
      <c r="A196" s="37" t="inlineStr">
        <is>
          <t>Raghavender Rao</t>
        </is>
      </c>
      <c r="B196" s="37" t="inlineStr">
        <is>
          <t>Karimnagar</t>
        </is>
      </c>
      <c r="C196" s="37" t="inlineStr">
        <is>
          <t>Grow-Green-Solar</t>
        </is>
      </c>
      <c r="D196" s="37" t="inlineStr">
        <is>
          <t>2026-07-01</t>
        </is>
      </c>
      <c r="E196" s="37" t="inlineStr">
        <is>
          <t>Aspirant Interaction</t>
        </is>
      </c>
      <c r="F196" s="37" t="inlineStr">
        <is>
          <t>Ask about the quality of the hostel and any issues they face.</t>
        </is>
      </c>
      <c r="G196" s="37" t="inlineStr">
        <is>
          <t>All is Well</t>
        </is>
      </c>
    </row>
    <row r="197">
      <c r="A197" s="37" t="inlineStr">
        <is>
          <t>Raghavender Rao</t>
        </is>
      </c>
      <c r="B197" s="37" t="inlineStr">
        <is>
          <t>Karimnagar</t>
        </is>
      </c>
      <c r="C197" s="37" t="inlineStr">
        <is>
          <t>Grow-Green-Solar</t>
        </is>
      </c>
      <c r="D197" s="37" t="inlineStr">
        <is>
          <t>2026-07-01</t>
        </is>
      </c>
      <c r="E197" s="37" t="inlineStr">
        <is>
          <t>Aspirant Interaction</t>
        </is>
      </c>
      <c r="F197" s="37" t="inlineStr">
        <is>
          <t>Ask a few relevant screening questions to support the 10th-day report and remove non-serious candidates, explaining to them the reasons.</t>
        </is>
      </c>
      <c r="G197" s="37" t="inlineStr">
        <is>
          <t>All is Well</t>
        </is>
      </c>
    </row>
    <row r="198">
      <c r="A198" s="37" t="inlineStr">
        <is>
          <t>Amit Chakraborty</t>
        </is>
      </c>
      <c r="B198" s="37" t="inlineStr">
        <is>
          <t>Barasat</t>
        </is>
      </c>
      <c r="C198" s="37" t="inlineStr">
        <is>
          <t>GROW Youth-JPM</t>
        </is>
      </c>
      <c r="D198" s="37" t="inlineStr">
        <is>
          <t>2026-07-06</t>
        </is>
      </c>
      <c r="E198" s="37" t="inlineStr">
        <is>
          <t>Data Check</t>
        </is>
      </c>
      <c r="F198" s="37" t="inlineStr">
        <is>
          <t>Reach the centre on time (unannounced) — confirm the centre opened on time.</t>
        </is>
      </c>
      <c r="G198" s="37" t="inlineStr">
        <is>
          <t>All is Well</t>
        </is>
      </c>
    </row>
    <row r="199">
      <c r="A199" s="37" t="inlineStr">
        <is>
          <t>Amit Chakraborty</t>
        </is>
      </c>
      <c r="B199" s="37" t="inlineStr">
        <is>
          <t>Barasat</t>
        </is>
      </c>
      <c r="C199" s="37" t="inlineStr">
        <is>
          <t>GROW Youth-JPM</t>
        </is>
      </c>
      <c r="D199" s="37" t="inlineStr">
        <is>
          <t>2026-07-06</t>
        </is>
      </c>
      <c r="E199" s="37" t="inlineStr">
        <is>
          <t>Data Check</t>
        </is>
      </c>
      <c r="F199" s="37" t="inlineStr">
        <is>
          <t>Check the staff attendance register, the Google Sheet, and geo-tagged photos for aspirants.</t>
        </is>
      </c>
      <c r="G199" s="37" t="inlineStr">
        <is>
          <t>All is Well</t>
        </is>
      </c>
    </row>
    <row r="200">
      <c r="A200" s="37" t="inlineStr">
        <is>
          <t>Amit Chakraborty</t>
        </is>
      </c>
      <c r="B200" s="37" t="inlineStr">
        <is>
          <t>Barasat</t>
        </is>
      </c>
      <c r="C200" s="37" t="inlineStr">
        <is>
          <t>GROW Youth-JPM</t>
        </is>
      </c>
      <c r="D200" s="37" t="inlineStr">
        <is>
          <t>2026-07-06</t>
        </is>
      </c>
      <c r="E200" s="37" t="inlineStr">
        <is>
          <t>Data Check</t>
        </is>
      </c>
      <c r="F200" s="37" t="inlineStr">
        <is>
          <t>Check Counselling and Screening Forms of recently started batches.</t>
        </is>
      </c>
      <c r="G200" s="37" t="inlineStr">
        <is>
          <t>All is Well</t>
        </is>
      </c>
    </row>
    <row r="201">
      <c r="A201" s="37" t="inlineStr">
        <is>
          <t>Amit Chakraborty</t>
        </is>
      </c>
      <c r="B201" s="37" t="inlineStr">
        <is>
          <t>Barasat</t>
        </is>
      </c>
      <c r="C201" s="37" t="inlineStr">
        <is>
          <t>GROW Youth-JPM</t>
        </is>
      </c>
      <c r="D201" s="37" t="inlineStr">
        <is>
          <t>2026-07-06</t>
        </is>
      </c>
      <c r="E201" s="37" t="inlineStr">
        <is>
          <t>Data Check</t>
        </is>
      </c>
      <c r="F201" s="37" t="inlineStr">
        <is>
          <t>Check Aspirant Registration Forms and related documents.</t>
        </is>
      </c>
      <c r="G201" s="37" t="inlineStr">
        <is>
          <t>All is Well</t>
        </is>
      </c>
    </row>
    <row r="202">
      <c r="A202" s="37" t="inlineStr">
        <is>
          <t>Amit Chakraborty</t>
        </is>
      </c>
      <c r="B202" s="37" t="inlineStr">
        <is>
          <t>Barasat</t>
        </is>
      </c>
      <c r="C202" s="37" t="inlineStr">
        <is>
          <t>GROW Youth-JPM</t>
        </is>
      </c>
      <c r="D202" s="37" t="inlineStr">
        <is>
          <t>2026-07-06</t>
        </is>
      </c>
      <c r="E202" s="37" t="inlineStr">
        <is>
          <t>Data Check</t>
        </is>
      </c>
      <c r="F202" s="37" t="inlineStr">
        <is>
          <t>On the GROW portal, confirm all student profile details and batch updates are currect.</t>
        </is>
      </c>
      <c r="G202" s="37" t="inlineStr">
        <is>
          <t>All is Well</t>
        </is>
      </c>
    </row>
    <row r="203">
      <c r="A203" s="37" t="inlineStr">
        <is>
          <t>Amit Chakraborty</t>
        </is>
      </c>
      <c r="B203" s="37" t="inlineStr">
        <is>
          <t>Barasat</t>
        </is>
      </c>
      <c r="C203" s="37" t="inlineStr">
        <is>
          <t>GROW Youth-JPM</t>
        </is>
      </c>
      <c r="D203" s="37" t="inlineStr">
        <is>
          <t>2026-07-06</t>
        </is>
      </c>
      <c r="E203" s="37" t="inlineStr">
        <is>
          <t>Data Check</t>
        </is>
      </c>
      <c r="F203" s="37" t="inlineStr">
        <is>
          <t>Verify placement data — randomly call 3–4 alumni placed in the last 3 months to confirm veracity (random selection is essential).</t>
        </is>
      </c>
      <c r="G203" s="37" t="inlineStr">
        <is>
          <t>All is Well</t>
        </is>
      </c>
    </row>
    <row r="204">
      <c r="A204" s="37" t="inlineStr">
        <is>
          <t>Amit Chakraborty</t>
        </is>
      </c>
      <c r="B204" s="37" t="inlineStr">
        <is>
          <t>Barasat</t>
        </is>
      </c>
      <c r="C204" s="37" t="inlineStr">
        <is>
          <t>GROW Youth-JPM</t>
        </is>
      </c>
      <c r="D204" s="37" t="inlineStr">
        <is>
          <t>2026-07-06</t>
        </is>
      </c>
      <c r="E204" s="37" t="inlineStr">
        <is>
          <t>Data Check</t>
        </is>
      </c>
      <c r="F204" s="37" t="inlineStr">
        <is>
          <t>Verify retention — check the Alumni Hand-holding Format is being updated as designed.</t>
        </is>
      </c>
      <c r="G204" s="37" t="inlineStr">
        <is>
          <t>Need Improvement</t>
        </is>
      </c>
    </row>
    <row r="205">
      <c r="A205" s="37" t="inlineStr">
        <is>
          <t>Amit Chakraborty</t>
        </is>
      </c>
      <c r="B205" s="37" t="inlineStr">
        <is>
          <t>Barasat</t>
        </is>
      </c>
      <c r="C205" s="37" t="inlineStr">
        <is>
          <t>GROW Youth-JPM</t>
        </is>
      </c>
      <c r="D205" s="37" t="inlineStr">
        <is>
          <t>2026-07-06</t>
        </is>
      </c>
      <c r="E205" s="37" t="inlineStr">
        <is>
          <t>Data Check</t>
        </is>
      </c>
      <c r="F205" s="37" t="inlineStr">
        <is>
          <t>Check aspirant Hostel Forms are properly filled or not.</t>
        </is>
      </c>
      <c r="G205" s="37" t="inlineStr">
        <is>
          <t>Not Applicable</t>
        </is>
      </c>
    </row>
    <row r="206">
      <c r="A206" s="37" t="inlineStr">
        <is>
          <t>Amit Chakraborty</t>
        </is>
      </c>
      <c r="B206" s="37" t="inlineStr">
        <is>
          <t>Barasat</t>
        </is>
      </c>
      <c r="C206" s="37" t="inlineStr">
        <is>
          <t>GROW Youth-JPM</t>
        </is>
      </c>
      <c r="D206" s="37" t="inlineStr">
        <is>
          <t>2026-07-06</t>
        </is>
      </c>
      <c r="E206" s="37" t="inlineStr">
        <is>
          <t>Infra Check</t>
        </is>
      </c>
      <c r="F206" s="37" t="inlineStr">
        <is>
          <t>Check all CCTV cameras; if any are not working, ask the AH to troubleshoot or call the vendor.</t>
        </is>
      </c>
      <c r="G206" s="37" t="inlineStr">
        <is>
          <t>All is Well</t>
        </is>
      </c>
    </row>
    <row r="207">
      <c r="A207" s="37" t="inlineStr">
        <is>
          <t>Amit Chakraborty</t>
        </is>
      </c>
      <c r="B207" s="37" t="inlineStr">
        <is>
          <t>Barasat</t>
        </is>
      </c>
      <c r="C207" s="37" t="inlineStr">
        <is>
          <t>GROW Youth-JPM</t>
        </is>
      </c>
      <c r="D207" s="37" t="inlineStr">
        <is>
          <t>2026-07-06</t>
        </is>
      </c>
      <c r="E207" s="37" t="inlineStr">
        <is>
          <t>Infra Check</t>
        </is>
      </c>
      <c r="F207" s="37" t="inlineStr">
        <is>
          <t>Check for any scrap material and get it cleared, with support of Admin</t>
        </is>
      </c>
      <c r="G207" s="37" t="inlineStr">
        <is>
          <t>Need Improvement</t>
        </is>
      </c>
    </row>
    <row r="208">
      <c r="A208" s="37" t="inlineStr">
        <is>
          <t>Amit Chakraborty</t>
        </is>
      </c>
      <c r="B208" s="37" t="inlineStr">
        <is>
          <t>Barasat</t>
        </is>
      </c>
      <c r="C208" s="37" t="inlineStr">
        <is>
          <t>GROW Youth-JPM</t>
        </is>
      </c>
      <c r="D208" s="37" t="inlineStr">
        <is>
          <t>2026-07-06</t>
        </is>
      </c>
      <c r="E208" s="37" t="inlineStr">
        <is>
          <t>Infra Check</t>
        </is>
      </c>
      <c r="F208" s="37" t="inlineStr">
        <is>
          <t>Check for any pending infra repairs.</t>
        </is>
      </c>
      <c r="G208" s="37" t="inlineStr">
        <is>
          <t>All is Well</t>
        </is>
      </c>
    </row>
    <row r="209">
      <c r="A209" s="37" t="inlineStr">
        <is>
          <t>Amit Chakraborty</t>
        </is>
      </c>
      <c r="B209" s="37" t="inlineStr">
        <is>
          <t>Barasat</t>
        </is>
      </c>
      <c r="C209" s="37" t="inlineStr">
        <is>
          <t>GROW Youth-JPM</t>
        </is>
      </c>
      <c r="D209" s="37" t="inlineStr">
        <is>
          <t>2026-07-06</t>
        </is>
      </c>
      <c r="E209" s="37" t="inlineStr">
        <is>
          <t>Infra Check</t>
        </is>
      </c>
      <c r="F209" s="37" t="inlineStr">
        <is>
          <t>Check whether any fire extinguishers have expired (check the needle and expiry date both).</t>
        </is>
      </c>
      <c r="G209" s="37" t="inlineStr">
        <is>
          <t>Need Improvement</t>
        </is>
      </c>
    </row>
    <row r="210">
      <c r="A210" s="37" t="inlineStr">
        <is>
          <t>Amit Chakraborty</t>
        </is>
      </c>
      <c r="B210" s="37" t="inlineStr">
        <is>
          <t>Barasat</t>
        </is>
      </c>
      <c r="C210" s="37" t="inlineStr">
        <is>
          <t>GROW Youth-JPM</t>
        </is>
      </c>
      <c r="D210" s="37" t="inlineStr">
        <is>
          <t>2026-07-06</t>
        </is>
      </c>
      <c r="E210" s="37" t="inlineStr">
        <is>
          <t>Infra Check</t>
        </is>
      </c>
      <c r="F210" s="37" t="inlineStr">
        <is>
          <t>Check basic cleanliness of the washrooms and the centre.</t>
        </is>
      </c>
      <c r="G210" s="37" t="inlineStr">
        <is>
          <t>All is Well</t>
        </is>
      </c>
    </row>
    <row r="211">
      <c r="A211" s="37" t="inlineStr">
        <is>
          <t>Amit Chakraborty</t>
        </is>
      </c>
      <c r="B211" s="37" t="inlineStr">
        <is>
          <t>Barasat</t>
        </is>
      </c>
      <c r="C211" s="37" t="inlineStr">
        <is>
          <t>GROW Youth-JPM</t>
        </is>
      </c>
      <c r="D211" s="37" t="inlineStr">
        <is>
          <t>2026-07-06</t>
        </is>
      </c>
      <c r="E211" s="37" t="inlineStr">
        <is>
          <t>Infra Check</t>
        </is>
      </c>
      <c r="F211" s="37" t="inlineStr">
        <is>
          <t>Confirm the correct program and partner logos are displayed.</t>
        </is>
      </c>
      <c r="G211" s="37" t="inlineStr">
        <is>
          <t>All is Well</t>
        </is>
      </c>
    </row>
    <row r="212">
      <c r="A212" s="37" t="inlineStr">
        <is>
          <t>Amit Chakraborty</t>
        </is>
      </c>
      <c r="B212" s="37" t="inlineStr">
        <is>
          <t>Barasat</t>
        </is>
      </c>
      <c r="C212" s="37" t="inlineStr">
        <is>
          <t>GROW Youth-JPM</t>
        </is>
      </c>
      <c r="D212" s="37" t="inlineStr">
        <is>
          <t>2026-07-06</t>
        </is>
      </c>
      <c r="E212" s="37" t="inlineStr">
        <is>
          <t>Infra Check</t>
        </is>
      </c>
      <c r="F212" s="37" t="inlineStr">
        <is>
          <t>Check the status of digital infra — PCs, smartboards, tablets, laptops, etc.</t>
        </is>
      </c>
      <c r="G212" s="37" t="inlineStr">
        <is>
          <t>All is Well</t>
        </is>
      </c>
    </row>
    <row r="213">
      <c r="A213" s="37" t="inlineStr">
        <is>
          <t>Amit Chakraborty</t>
        </is>
      </c>
      <c r="B213" s="37" t="inlineStr">
        <is>
          <t>Barasat</t>
        </is>
      </c>
      <c r="C213" s="37" t="inlineStr">
        <is>
          <t>GROW Youth-JPM</t>
        </is>
      </c>
      <c r="D213" s="37" t="inlineStr">
        <is>
          <t>2026-07-06</t>
        </is>
      </c>
      <c r="E213" s="37" t="inlineStr">
        <is>
          <t>Infra Check</t>
        </is>
      </c>
      <c r="F213" s="37" t="inlineStr">
        <is>
          <t>Make a quick hostel visit; have lunch there if possible to test the food quality.</t>
        </is>
      </c>
      <c r="G213" s="37" t="inlineStr">
        <is>
          <t>Not Applicable</t>
        </is>
      </c>
    </row>
    <row r="214">
      <c r="A214" s="37" t="inlineStr">
        <is>
          <t>Amit Chakraborty</t>
        </is>
      </c>
      <c r="B214" s="37" t="inlineStr">
        <is>
          <t>Barasat</t>
        </is>
      </c>
      <c r="C214" s="37" t="inlineStr">
        <is>
          <t>GROW Youth-JPM</t>
        </is>
      </c>
      <c r="D214" s="37" t="inlineStr">
        <is>
          <t>2026-07-06</t>
        </is>
      </c>
      <c r="E214" s="37" t="inlineStr">
        <is>
          <t>Process Check</t>
        </is>
      </c>
      <c r="F214" s="37" t="inlineStr">
        <is>
          <t>Refer to the activity planner — check if any activities are delayed.</t>
        </is>
      </c>
      <c r="G214" s="37" t="inlineStr">
        <is>
          <t>Need Improvement</t>
        </is>
      </c>
    </row>
    <row r="215">
      <c r="A215" s="37" t="inlineStr">
        <is>
          <t>Amit Chakraborty</t>
        </is>
      </c>
      <c r="B215" s="37" t="inlineStr">
        <is>
          <t>Barasat</t>
        </is>
      </c>
      <c r="C215" s="37" t="inlineStr">
        <is>
          <t>GROW Youth-JPM</t>
        </is>
      </c>
      <c r="D215" s="37" t="inlineStr">
        <is>
          <t>2026-07-06</t>
        </is>
      </c>
      <c r="E215" s="37" t="inlineStr">
        <is>
          <t>Process Check</t>
        </is>
      </c>
      <c r="F215" s="37" t="inlineStr">
        <is>
          <t>Check planning for the next batch-start announcement.</t>
        </is>
      </c>
      <c r="G215" s="37" t="inlineStr">
        <is>
          <t>All is Well</t>
        </is>
      </c>
    </row>
    <row r="216">
      <c r="A216" s="37" t="inlineStr">
        <is>
          <t>Amit Chakraborty</t>
        </is>
      </c>
      <c r="B216" s="37" t="inlineStr">
        <is>
          <t>Barasat</t>
        </is>
      </c>
      <c r="C216" s="37" t="inlineStr">
        <is>
          <t>GROW Youth-JPM</t>
        </is>
      </c>
      <c r="D216" s="37" t="inlineStr">
        <is>
          <t>2026-07-06</t>
        </is>
      </c>
      <c r="E216" s="37" t="inlineStr">
        <is>
          <t>Process Check</t>
        </is>
      </c>
      <c r="F216" s="37" t="inlineStr">
        <is>
          <t>Check if any hiring is delayed and plan a resolution.</t>
        </is>
      </c>
      <c r="G216" s="37" t="inlineStr">
        <is>
          <t>All is Well</t>
        </is>
      </c>
    </row>
    <row r="217">
      <c r="A217" s="37" t="inlineStr">
        <is>
          <t>Amit Chakraborty</t>
        </is>
      </c>
      <c r="B217" s="37" t="inlineStr">
        <is>
          <t>Barasat</t>
        </is>
      </c>
      <c r="C217" s="37" t="inlineStr">
        <is>
          <t>GROW Youth-JPM</t>
        </is>
      </c>
      <c r="D217" s="37" t="inlineStr">
        <is>
          <t>2026-07-06</t>
        </is>
      </c>
      <c r="E217" s="37" t="inlineStr">
        <is>
          <t>Process Check</t>
        </is>
      </c>
      <c r="F217" s="37" t="inlineStr">
        <is>
          <t>Check the CA’s diary — is CA guided daily by the AH during planning days?</t>
        </is>
      </c>
      <c r="G217" s="37" t="inlineStr">
        <is>
          <t>Need Improvement</t>
        </is>
      </c>
    </row>
    <row r="218">
      <c r="A218" s="37" t="inlineStr">
        <is>
          <t>Amit Chakraborty</t>
        </is>
      </c>
      <c r="B218" s="37" t="inlineStr">
        <is>
          <t>Barasat</t>
        </is>
      </c>
      <c r="C218" s="37" t="inlineStr">
        <is>
          <t>GROW Youth-JPM</t>
        </is>
      </c>
      <c r="D218" s="37" t="inlineStr">
        <is>
          <t>2026-07-06</t>
        </is>
      </c>
      <c r="E218" s="37" t="inlineStr">
        <is>
          <t>Process Check</t>
        </is>
      </c>
      <c r="F218" s="37" t="inlineStr">
        <is>
          <t>Check the AH is regularly meeting employers (in person and online) and updating the centre’s Top 20 Employer format.</t>
        </is>
      </c>
      <c r="G218" s="37" t="inlineStr">
        <is>
          <t>All is Well</t>
        </is>
      </c>
    </row>
    <row r="219">
      <c r="A219" s="37" t="inlineStr">
        <is>
          <t>Amit Chakraborty</t>
        </is>
      </c>
      <c r="B219" s="37" t="inlineStr">
        <is>
          <t>Barasat</t>
        </is>
      </c>
      <c r="C219" s="37" t="inlineStr">
        <is>
          <t>GROW Youth-JPM</t>
        </is>
      </c>
      <c r="D219" s="37" t="inlineStr">
        <is>
          <t>2026-07-06</t>
        </is>
      </c>
      <c r="E219" s="37" t="inlineStr">
        <is>
          <t>Process Check</t>
        </is>
      </c>
      <c r="F219" s="37" t="inlineStr">
        <is>
          <t>Confirm all new employers are registered on portal as per new process.</t>
        </is>
      </c>
      <c r="G219" s="37" t="inlineStr">
        <is>
          <t>All is Well</t>
        </is>
      </c>
    </row>
    <row r="220">
      <c r="A220" s="37" t="inlineStr">
        <is>
          <t>Amit Chakraborty</t>
        </is>
      </c>
      <c r="B220" s="37" t="inlineStr">
        <is>
          <t>Barasat</t>
        </is>
      </c>
      <c r="C220" s="37" t="inlineStr">
        <is>
          <t>GROW Youth-JPM</t>
        </is>
      </c>
      <c r="D220" s="37" t="inlineStr">
        <is>
          <t>2026-07-06</t>
        </is>
      </c>
      <c r="E220" s="37" t="inlineStr">
        <is>
          <t>Process Check</t>
        </is>
      </c>
      <c r="F220" s="37" t="inlineStr">
        <is>
          <t>Confirm 100% of enrolled students undergone screening (for technical courses).</t>
        </is>
      </c>
      <c r="G220" s="37" t="inlineStr">
        <is>
          <t>Not Applicable</t>
        </is>
      </c>
    </row>
    <row r="221">
      <c r="A221" s="37" t="inlineStr">
        <is>
          <t>Amit Chakraborty</t>
        </is>
      </c>
      <c r="B221" s="37" t="inlineStr">
        <is>
          <t>Barasat</t>
        </is>
      </c>
      <c r="C221" s="37" t="inlineStr">
        <is>
          <t>GROW Youth-JPM</t>
        </is>
      </c>
      <c r="D221" s="37" t="inlineStr">
        <is>
          <t>2026-07-06</t>
        </is>
      </c>
      <c r="E221" s="37" t="inlineStr">
        <is>
          <t>Process Check</t>
        </is>
      </c>
      <c r="F221" s="37" t="inlineStr">
        <is>
          <t>Confirm ESA is done (in GROW full ESA and in Technical courses relevant sections of Core Employability Part).</t>
        </is>
      </c>
      <c r="G221" s="37" t="inlineStr">
        <is>
          <t>All is Well</t>
        </is>
      </c>
    </row>
    <row r="222">
      <c r="A222" s="37" t="inlineStr">
        <is>
          <t>Amit Chakraborty</t>
        </is>
      </c>
      <c r="B222" s="37" t="inlineStr">
        <is>
          <t>Barasat</t>
        </is>
      </c>
      <c r="C222" s="37" t="inlineStr">
        <is>
          <t>GROW Youth-JPM</t>
        </is>
      </c>
      <c r="D222" s="37" t="inlineStr">
        <is>
          <t>2026-07-06</t>
        </is>
      </c>
      <c r="E222" s="37" t="inlineStr">
        <is>
          <t>Process Check</t>
        </is>
      </c>
      <c r="F222" s="37" t="inlineStr">
        <is>
          <t>Check is AH giving capstone project in GROW Tech.</t>
        </is>
      </c>
      <c r="G222" s="37" t="inlineStr">
        <is>
          <t>Not Applicable</t>
        </is>
      </c>
    </row>
    <row r="223">
      <c r="A223" s="37" t="inlineStr">
        <is>
          <t>Amit Chakraborty</t>
        </is>
      </c>
      <c r="B223" s="37" t="inlineStr">
        <is>
          <t>Barasat</t>
        </is>
      </c>
      <c r="C223" s="37" t="inlineStr">
        <is>
          <t>GROW Youth-JPM</t>
        </is>
      </c>
      <c r="D223" s="37" t="inlineStr">
        <is>
          <t>2026-07-06</t>
        </is>
      </c>
      <c r="E223" s="37" t="inlineStr">
        <is>
          <t>Process Check</t>
        </is>
      </c>
      <c r="F223" s="37" t="inlineStr">
        <is>
          <t>Check is AH planning OJT as per guidelines and proofs are collected for technical courses.</t>
        </is>
      </c>
      <c r="G223" s="37" t="inlineStr">
        <is>
          <t>Not Applicable</t>
        </is>
      </c>
    </row>
    <row r="224">
      <c r="A224" s="37" t="inlineStr">
        <is>
          <t>Amit Chakraborty</t>
        </is>
      </c>
      <c r="B224" s="37" t="inlineStr">
        <is>
          <t>Barasat</t>
        </is>
      </c>
      <c r="C224" s="37" t="inlineStr">
        <is>
          <t>GROW Youth-JPM</t>
        </is>
      </c>
      <c r="D224" s="37" t="inlineStr">
        <is>
          <t>2026-07-06</t>
        </is>
      </c>
      <c r="E224" s="37" t="inlineStr">
        <is>
          <t>Process Check</t>
        </is>
      </c>
      <c r="F224" s="37" t="inlineStr">
        <is>
          <t>Check are trainers contacting aspirants to find reason for their absenteeism of more than 1 day.</t>
        </is>
      </c>
      <c r="G224" s="37" t="inlineStr">
        <is>
          <t>All is Well</t>
        </is>
      </c>
    </row>
    <row r="225">
      <c r="A225" s="37" t="inlineStr">
        <is>
          <t>Amit Chakraborty</t>
        </is>
      </c>
      <c r="B225" s="37" t="inlineStr">
        <is>
          <t>Barasat</t>
        </is>
      </c>
      <c r="C225" s="37" t="inlineStr">
        <is>
          <t>GROW Youth-JPM</t>
        </is>
      </c>
      <c r="D225" s="37" t="inlineStr">
        <is>
          <t>2026-07-06</t>
        </is>
      </c>
      <c r="E225" s="37" t="inlineStr">
        <is>
          <t>Process Check</t>
        </is>
      </c>
      <c r="F225" s="37" t="inlineStr">
        <is>
          <t>Check the AH plans monthly enrolment and placement numbers by the 3rd of each month and shares them with second level managers.</t>
        </is>
      </c>
      <c r="G225" s="37" t="inlineStr">
        <is>
          <t>All is Well</t>
        </is>
      </c>
    </row>
    <row r="226">
      <c r="A226" s="37" t="inlineStr">
        <is>
          <t>Amit Chakraborty</t>
        </is>
      </c>
      <c r="B226" s="37" t="inlineStr">
        <is>
          <t>Barasat</t>
        </is>
      </c>
      <c r="C226" s="37" t="inlineStr">
        <is>
          <t>GROW Youth-JPM</t>
        </is>
      </c>
      <c r="D226" s="37" t="inlineStr">
        <is>
          <t>2026-07-06</t>
        </is>
      </c>
      <c r="E226" s="37" t="inlineStr">
        <is>
          <t>Process Check</t>
        </is>
      </c>
      <c r="F226" s="37" t="inlineStr">
        <is>
          <t>Check trainers submit aspirants’ placement interest areas to the AH by the batch’s 25th day (in GROW).</t>
        </is>
      </c>
      <c r="G226" s="37" t="inlineStr">
        <is>
          <t>Need Improvement</t>
        </is>
      </c>
    </row>
    <row r="227">
      <c r="A227" s="37" t="inlineStr">
        <is>
          <t>Amit Chakraborty</t>
        </is>
      </c>
      <c r="B227" s="37" t="inlineStr">
        <is>
          <t>Barasat</t>
        </is>
      </c>
      <c r="C227" s="37" t="inlineStr">
        <is>
          <t>GROW Youth-JPM</t>
        </is>
      </c>
      <c r="D227" s="37" t="inlineStr">
        <is>
          <t>2026-07-06</t>
        </is>
      </c>
      <c r="E227" s="37" t="inlineStr">
        <is>
          <t>Process Check</t>
        </is>
      </c>
      <c r="F227" s="37" t="inlineStr">
        <is>
          <t>Ckeck For technical programs, placement is done only in technical jobs,on which aspirants are trained and relevant emplyers are identified by 45th day.</t>
        </is>
      </c>
      <c r="G227" s="37" t="inlineStr">
        <is>
          <t>Not Applicable</t>
        </is>
      </c>
    </row>
    <row r="228">
      <c r="A228" s="37" t="inlineStr">
        <is>
          <t>Amit Chakraborty</t>
        </is>
      </c>
      <c r="B228" s="37" t="inlineStr">
        <is>
          <t>Barasat</t>
        </is>
      </c>
      <c r="C228" s="37" t="inlineStr">
        <is>
          <t>GROW Youth-JPM</t>
        </is>
      </c>
      <c r="D228" s="37" t="inlineStr">
        <is>
          <t>2026-07-06</t>
        </is>
      </c>
      <c r="E228" s="37" t="inlineStr">
        <is>
          <t>Process Check</t>
        </is>
      </c>
      <c r="F228" s="37" t="inlineStr">
        <is>
          <t>Check the AH follows EP guidelines and minimum benchmark salary guidelines.</t>
        </is>
      </c>
      <c r="G228" s="37" t="inlineStr">
        <is>
          <t>All is Well</t>
        </is>
      </c>
    </row>
    <row r="229">
      <c r="A229" s="37" t="inlineStr">
        <is>
          <t>Amit Chakraborty</t>
        </is>
      </c>
      <c r="B229" s="37" t="inlineStr">
        <is>
          <t>Barasat</t>
        </is>
      </c>
      <c r="C229" s="37" t="inlineStr">
        <is>
          <t>GROW Youth-JPM</t>
        </is>
      </c>
      <c r="D229" s="37" t="inlineStr">
        <is>
          <t>2026-07-06</t>
        </is>
      </c>
      <c r="E229" s="37" t="inlineStr">
        <is>
          <t>Process Check</t>
        </is>
      </c>
      <c r="F229" s="37" t="inlineStr">
        <is>
          <t>Check that AH is enrolling only the right traget group in the program -as per the defined target.</t>
        </is>
      </c>
      <c r="G229" s="37" t="inlineStr">
        <is>
          <t>All is Well</t>
        </is>
      </c>
    </row>
    <row r="230">
      <c r="A230" s="37" t="inlineStr">
        <is>
          <t>Amit Chakraborty</t>
        </is>
      </c>
      <c r="B230" s="37" t="inlineStr">
        <is>
          <t>Barasat</t>
        </is>
      </c>
      <c r="C230" s="37" t="inlineStr">
        <is>
          <t>GROW Youth-JPM</t>
        </is>
      </c>
      <c r="D230" s="37" t="inlineStr">
        <is>
          <t>2026-07-06</t>
        </is>
      </c>
      <c r="E230" s="37" t="inlineStr">
        <is>
          <t>Process Check</t>
        </is>
      </c>
      <c r="F230" s="37" t="inlineStr">
        <is>
          <t>Check the AH announces the next batch-start date by the 3rd of the month on all notice boards — focus on Zero-Day start.</t>
        </is>
      </c>
      <c r="G230" s="37" t="inlineStr">
        <is>
          <t>All is Well</t>
        </is>
      </c>
    </row>
    <row r="231">
      <c r="A231" s="37" t="inlineStr">
        <is>
          <t>Amit Chakraborty</t>
        </is>
      </c>
      <c r="B231" s="37" t="inlineStr">
        <is>
          <t>Barasat</t>
        </is>
      </c>
      <c r="C231" s="37" t="inlineStr">
        <is>
          <t>GROW Youth-JPM</t>
        </is>
      </c>
      <c r="D231" s="37" t="inlineStr">
        <is>
          <t>2026-07-06</t>
        </is>
      </c>
      <c r="E231" s="37" t="inlineStr">
        <is>
          <t>Process Check</t>
        </is>
      </c>
      <c r="F231" s="37" t="inlineStr">
        <is>
          <t>Check the Aspirant Mock Interview Score Tracker is updated after every mock interview in the L&amp;D Google Sheet.</t>
        </is>
      </c>
      <c r="G231" s="37" t="inlineStr">
        <is>
          <t>All is Well</t>
        </is>
      </c>
    </row>
    <row r="232">
      <c r="A232" s="37" t="inlineStr">
        <is>
          <t>Amit Chakraborty</t>
        </is>
      </c>
      <c r="B232" s="37" t="inlineStr">
        <is>
          <t>Barasat</t>
        </is>
      </c>
      <c r="C232" s="37" t="inlineStr">
        <is>
          <t>GROW Youth-JPM</t>
        </is>
      </c>
      <c r="D232" s="37" t="inlineStr">
        <is>
          <t>2026-07-06</t>
        </is>
      </c>
      <c r="E232" s="37" t="inlineStr">
        <is>
          <t>Process Check</t>
        </is>
      </c>
      <c r="F232" s="37" t="inlineStr">
        <is>
          <t>Confirm NPS (Net Promoter Score) is collected at MSDF centres.</t>
        </is>
      </c>
      <c r="G232" s="37" t="inlineStr">
        <is>
          <t>Not Applicable</t>
        </is>
      </c>
    </row>
    <row r="233">
      <c r="A233" s="37" t="inlineStr">
        <is>
          <t>Amit Chakraborty</t>
        </is>
      </c>
      <c r="B233" s="37" t="inlineStr">
        <is>
          <t>Barasat</t>
        </is>
      </c>
      <c r="C233" s="37" t="inlineStr">
        <is>
          <t>GROW Youth-JPM</t>
        </is>
      </c>
      <c r="D233" s="37" t="inlineStr">
        <is>
          <t>2026-07-06</t>
        </is>
      </c>
      <c r="E233" s="37" t="inlineStr">
        <is>
          <t>Process Check</t>
        </is>
      </c>
      <c r="F233" s="37" t="inlineStr">
        <is>
          <t>Confirm that QAE is collecting student feedback for every batch.</t>
        </is>
      </c>
      <c r="G233" s="37" t="inlineStr">
        <is>
          <t>All is Well</t>
        </is>
      </c>
    </row>
    <row r="234">
      <c r="A234" s="37" t="inlineStr">
        <is>
          <t>Amit Chakraborty</t>
        </is>
      </c>
      <c r="B234" s="37" t="inlineStr">
        <is>
          <t>Barasat</t>
        </is>
      </c>
      <c r="C234" s="37" t="inlineStr">
        <is>
          <t>GROW Youth-JPM</t>
        </is>
      </c>
      <c r="D234" s="37" t="inlineStr">
        <is>
          <t>2026-07-06</t>
        </is>
      </c>
      <c r="E234" s="37" t="inlineStr">
        <is>
          <t>Process Check</t>
        </is>
      </c>
      <c r="F234" s="37" t="inlineStr">
        <is>
          <t>Confirm all centre teams have completed the GROW Manual Course on Skillfy — ask for achievement certificates.</t>
        </is>
      </c>
      <c r="G234" s="37" t="inlineStr">
        <is>
          <t>Need Improvement</t>
        </is>
      </c>
    </row>
    <row r="235">
      <c r="A235" s="37" t="inlineStr">
        <is>
          <t>Amit Chakraborty</t>
        </is>
      </c>
      <c r="B235" s="37" t="inlineStr">
        <is>
          <t>Barasat</t>
        </is>
      </c>
      <c r="C235" s="37" t="inlineStr">
        <is>
          <t>GROW Youth-JPM</t>
        </is>
      </c>
      <c r="D235" s="37" t="inlineStr">
        <is>
          <t>2026-07-06</t>
        </is>
      </c>
      <c r="E235" s="37" t="inlineStr">
        <is>
          <t>Process Check</t>
        </is>
      </c>
      <c r="F235" s="37" t="inlineStr">
        <is>
          <t>Check AH holds a quality weekly team meeting, documents action points in the weekly meeting format, and sends you a photo on WhatsApp.</t>
        </is>
      </c>
      <c r="G235" s="37" t="inlineStr">
        <is>
          <t>Need Improvement</t>
        </is>
      </c>
    </row>
    <row r="236">
      <c r="A236" s="37" t="inlineStr">
        <is>
          <t>Amit Chakraborty</t>
        </is>
      </c>
      <c r="B236" s="37" t="inlineStr">
        <is>
          <t>Barasat</t>
        </is>
      </c>
      <c r="C236" s="37" t="inlineStr">
        <is>
          <t>GROW Youth-JPM</t>
        </is>
      </c>
      <c r="D236" s="37" t="inlineStr">
        <is>
          <t>2026-07-06</t>
        </is>
      </c>
      <c r="E236" s="37" t="inlineStr">
        <is>
          <t>Aspirant Interaction</t>
        </is>
      </c>
      <c r="F236" s="37" t="inlineStr">
        <is>
          <t>Ask aspirants about the session plan — confirm training is happening as planned?</t>
        </is>
      </c>
      <c r="G236" s="37" t="inlineStr">
        <is>
          <t>All is Well</t>
        </is>
      </c>
    </row>
    <row r="237">
      <c r="A237" s="37" t="inlineStr">
        <is>
          <t>Amit Chakraborty</t>
        </is>
      </c>
      <c r="B237" s="37" t="inlineStr">
        <is>
          <t>Barasat</t>
        </is>
      </c>
      <c r="C237" s="37" t="inlineStr">
        <is>
          <t>GROW Youth-JPM</t>
        </is>
      </c>
      <c r="D237" s="37" t="inlineStr">
        <is>
          <t>2026-07-06</t>
        </is>
      </c>
      <c r="E237" s="37" t="inlineStr">
        <is>
          <t>Aspirant Interaction</t>
        </is>
      </c>
      <c r="F237" s="37" t="inlineStr">
        <is>
          <t>Ask about the quality of Core Employability component delivery (technical centres) and who delivers it.</t>
        </is>
      </c>
      <c r="G237" s="37" t="inlineStr">
        <is>
          <t>Not Applicable</t>
        </is>
      </c>
    </row>
    <row r="238">
      <c r="A238" s="37" t="inlineStr">
        <is>
          <t>Amit Chakraborty</t>
        </is>
      </c>
      <c r="B238" s="37" t="inlineStr">
        <is>
          <t>Barasat</t>
        </is>
      </c>
      <c r="C238" s="37" t="inlineStr">
        <is>
          <t>GROW Youth-JPM</t>
        </is>
      </c>
      <c r="D238" s="37" t="inlineStr">
        <is>
          <t>2026-07-06</t>
        </is>
      </c>
      <c r="E238" s="37" t="inlineStr">
        <is>
          <t>Aspirant Interaction</t>
        </is>
      </c>
      <c r="F238" s="37" t="inlineStr">
        <is>
          <t>Ask whether they are aware of the referral scheme?</t>
        </is>
      </c>
      <c r="G238" s="37" t="inlineStr">
        <is>
          <t>All is Well</t>
        </is>
      </c>
    </row>
    <row r="239">
      <c r="A239" s="37" t="inlineStr">
        <is>
          <t>Amit Chakraborty</t>
        </is>
      </c>
      <c r="B239" s="37" t="inlineStr">
        <is>
          <t>Barasat</t>
        </is>
      </c>
      <c r="C239" s="37" t="inlineStr">
        <is>
          <t>GROW Youth-JPM</t>
        </is>
      </c>
      <c r="D239" s="37" t="inlineStr">
        <is>
          <t>2026-07-06</t>
        </is>
      </c>
      <c r="E239" s="37" t="inlineStr">
        <is>
          <t>Aspirant Interaction</t>
        </is>
      </c>
      <c r="F239" s="37" t="inlineStr">
        <is>
          <t>Ask whether the AH explained the importance of the offer letter and sharing it with us once received for reporting purposes?</t>
        </is>
      </c>
      <c r="G239" s="37" t="inlineStr">
        <is>
          <t>All is Well</t>
        </is>
      </c>
    </row>
    <row r="240">
      <c r="A240" s="37" t="inlineStr">
        <is>
          <t>Amit Chakraborty</t>
        </is>
      </c>
      <c r="B240" s="37" t="inlineStr">
        <is>
          <t>Barasat</t>
        </is>
      </c>
      <c r="C240" s="37" t="inlineStr">
        <is>
          <t>GROW Youth-JPM</t>
        </is>
      </c>
      <c r="D240" s="37" t="inlineStr">
        <is>
          <t>2026-07-06</t>
        </is>
      </c>
      <c r="E240" s="37" t="inlineStr">
        <is>
          <t>Aspirant Interaction</t>
        </is>
      </c>
      <c r="F240" s="37" t="inlineStr">
        <is>
          <t>Ask how many are not interested in jobs — and if so, why they enrolled in the programme?</t>
        </is>
      </c>
      <c r="G240" s="37" t="inlineStr">
        <is>
          <t>All is Well</t>
        </is>
      </c>
    </row>
    <row r="241">
      <c r="A241" s="37" t="inlineStr">
        <is>
          <t>Amit Chakraborty</t>
        </is>
      </c>
      <c r="B241" s="37" t="inlineStr">
        <is>
          <t>Barasat</t>
        </is>
      </c>
      <c r="C241" s="37" t="inlineStr">
        <is>
          <t>GROW Youth-JPM</t>
        </is>
      </c>
      <c r="D241" s="37" t="inlineStr">
        <is>
          <t>2026-07-06</t>
        </is>
      </c>
      <c r="E241" s="37" t="inlineStr">
        <is>
          <t>Aspirant Interaction</t>
        </is>
      </c>
      <c r="F241" s="37" t="inlineStr">
        <is>
          <t>Ask whether they were told the kind of job they would get during counselling?</t>
        </is>
      </c>
      <c r="G241" s="37" t="inlineStr">
        <is>
          <t>All is Well</t>
        </is>
      </c>
    </row>
    <row r="242">
      <c r="A242" s="37" t="inlineStr">
        <is>
          <t>Amit Chakraborty</t>
        </is>
      </c>
      <c r="B242" s="37" t="inlineStr">
        <is>
          <t>Barasat</t>
        </is>
      </c>
      <c r="C242" s="37" t="inlineStr">
        <is>
          <t>GROW Youth-JPM</t>
        </is>
      </c>
      <c r="D242" s="37" t="inlineStr">
        <is>
          <t>2026-07-06</t>
        </is>
      </c>
      <c r="E242" s="37" t="inlineStr">
        <is>
          <t>Aspirant Interaction</t>
        </is>
      </c>
      <c r="F242" s="37" t="inlineStr">
        <is>
          <t>Ask whether they have been given LMS access?</t>
        </is>
      </c>
      <c r="G242" s="37" t="inlineStr">
        <is>
          <t>All is Well</t>
        </is>
      </c>
    </row>
    <row r="243">
      <c r="A243" s="37" t="inlineStr">
        <is>
          <t>Amit Chakraborty</t>
        </is>
      </c>
      <c r="B243" s="37" t="inlineStr">
        <is>
          <t>Barasat</t>
        </is>
      </c>
      <c r="C243" s="37" t="inlineStr">
        <is>
          <t>GROW Youth-JPM</t>
        </is>
      </c>
      <c r="D243" s="37" t="inlineStr">
        <is>
          <t>2026-07-06</t>
        </is>
      </c>
      <c r="E243" s="37" t="inlineStr">
        <is>
          <t>Aspirant Interaction</t>
        </is>
      </c>
      <c r="F243" s="37" t="inlineStr">
        <is>
          <t>Ask whether anyone asked them for money for training or placement?</t>
        </is>
      </c>
      <c r="G243" s="37" t="inlineStr">
        <is>
          <t>All is Well</t>
        </is>
      </c>
    </row>
    <row r="244">
      <c r="A244" s="37" t="inlineStr">
        <is>
          <t>Amit Chakraborty</t>
        </is>
      </c>
      <c r="B244" s="37" t="inlineStr">
        <is>
          <t>Barasat</t>
        </is>
      </c>
      <c r="C244" s="37" t="inlineStr">
        <is>
          <t>GROW Youth-JPM</t>
        </is>
      </c>
      <c r="D244" s="37" t="inlineStr">
        <is>
          <t>2026-07-06</t>
        </is>
      </c>
      <c r="E244" s="37" t="inlineStr">
        <is>
          <t>Aspirant Interaction</t>
        </is>
      </c>
      <c r="F244" s="37" t="inlineStr">
        <is>
          <t>Ask to show their mobile phones — are they enrolled on Skillfy? If not, get them enrolled and give written feedback to trainers and the AH in your presence.</t>
        </is>
      </c>
      <c r="G244" s="37" t="inlineStr">
        <is>
          <t>All is Well</t>
        </is>
      </c>
    </row>
    <row r="245">
      <c r="A245" s="37" t="inlineStr">
        <is>
          <t>Amit Chakraborty</t>
        </is>
      </c>
      <c r="B245" s="37" t="inlineStr">
        <is>
          <t>Barasat</t>
        </is>
      </c>
      <c r="C245" s="37" t="inlineStr">
        <is>
          <t>GROW Youth-JPM</t>
        </is>
      </c>
      <c r="D245" s="37" t="inlineStr">
        <is>
          <t>2026-07-06</t>
        </is>
      </c>
      <c r="E245" s="37" t="inlineStr">
        <is>
          <t>Aspirant Interaction</t>
        </is>
      </c>
      <c r="F245" s="37" t="inlineStr">
        <is>
          <t>Ask about the quality of the hostel and any issues they face.</t>
        </is>
      </c>
      <c r="G245" s="37" t="inlineStr">
        <is>
          <t>Not Applicable</t>
        </is>
      </c>
    </row>
    <row r="246">
      <c r="A246" s="37" t="inlineStr">
        <is>
          <t>Amit Chakraborty</t>
        </is>
      </c>
      <c r="B246" s="37" t="inlineStr">
        <is>
          <t>Barasat</t>
        </is>
      </c>
      <c r="C246" s="37" t="inlineStr">
        <is>
          <t>GROW Youth-JPM</t>
        </is>
      </c>
      <c r="D246" s="37" t="inlineStr">
        <is>
          <t>2026-07-06</t>
        </is>
      </c>
      <c r="E246" s="37" t="inlineStr">
        <is>
          <t>Aspirant Interaction</t>
        </is>
      </c>
      <c r="F246" s="37" t="inlineStr">
        <is>
          <t>Ask a few relevant screening questions to support the 10th-day report and remove non-serious candidates, explaining to them the reasons.</t>
        </is>
      </c>
      <c r="G246" s="37" t="inlineStr">
        <is>
          <t>All is Well</t>
        </is>
      </c>
    </row>
    <row r="247">
      <c r="A247" s="37" t="inlineStr">
        <is>
          <t>Bhargav Challa</t>
        </is>
      </c>
      <c r="B247" s="37" t="inlineStr">
        <is>
          <t>Warangal</t>
        </is>
      </c>
      <c r="C247" s="37" t="inlineStr">
        <is>
          <t>Grow Youth</t>
        </is>
      </c>
      <c r="D247" s="37" t="inlineStr">
        <is>
          <t>2026-07-07</t>
        </is>
      </c>
      <c r="E247" s="37" t="inlineStr">
        <is>
          <t>Data Check</t>
        </is>
      </c>
      <c r="F247" s="37" t="inlineStr">
        <is>
          <t>Reach the centre on time (unannounced) — confirm the centre opened on time.</t>
        </is>
      </c>
      <c r="G247" s="37" t="inlineStr">
        <is>
          <t>All is Well</t>
        </is>
      </c>
    </row>
    <row r="248">
      <c r="A248" s="37" t="inlineStr">
        <is>
          <t>Bhargav Challa</t>
        </is>
      </c>
      <c r="B248" s="37" t="inlineStr">
        <is>
          <t>Warangal</t>
        </is>
      </c>
      <c r="C248" s="37" t="inlineStr">
        <is>
          <t>Grow Youth</t>
        </is>
      </c>
      <c r="D248" s="37" t="inlineStr">
        <is>
          <t>2026-07-07</t>
        </is>
      </c>
      <c r="E248" s="37" t="inlineStr">
        <is>
          <t>Data Check</t>
        </is>
      </c>
      <c r="F248" s="37" t="inlineStr">
        <is>
          <t>Check the staff attendance register, the Google Sheet, and geo-tagged photos for aspirants.</t>
        </is>
      </c>
      <c r="G248" s="37" t="inlineStr">
        <is>
          <t>Need Improvement</t>
        </is>
      </c>
    </row>
    <row r="249">
      <c r="A249" s="37" t="inlineStr">
        <is>
          <t>Bhargav Challa</t>
        </is>
      </c>
      <c r="B249" s="37" t="inlineStr">
        <is>
          <t>Warangal</t>
        </is>
      </c>
      <c r="C249" s="37" t="inlineStr">
        <is>
          <t>Grow Youth</t>
        </is>
      </c>
      <c r="D249" s="37" t="inlineStr">
        <is>
          <t>2026-07-07</t>
        </is>
      </c>
      <c r="E249" s="37" t="inlineStr">
        <is>
          <t>Data Check</t>
        </is>
      </c>
      <c r="F249" s="37" t="inlineStr">
        <is>
          <t>Check Counselling and Screening Forms of recently started batches.</t>
        </is>
      </c>
      <c r="G249" s="37" t="inlineStr">
        <is>
          <t>All is Well</t>
        </is>
      </c>
    </row>
    <row r="250">
      <c r="A250" s="37" t="inlineStr">
        <is>
          <t>Bhargav Challa</t>
        </is>
      </c>
      <c r="B250" s="37" t="inlineStr">
        <is>
          <t>Warangal</t>
        </is>
      </c>
      <c r="C250" s="37" t="inlineStr">
        <is>
          <t>Grow Youth</t>
        </is>
      </c>
      <c r="D250" s="37" t="inlineStr">
        <is>
          <t>2026-07-07</t>
        </is>
      </c>
      <c r="E250" s="37" t="inlineStr">
        <is>
          <t>Data Check</t>
        </is>
      </c>
      <c r="F250" s="37" t="inlineStr">
        <is>
          <t>Check Aspirant Registration Forms and related documents.</t>
        </is>
      </c>
      <c r="G250" s="37" t="inlineStr">
        <is>
          <t>All is Well</t>
        </is>
      </c>
    </row>
    <row r="251">
      <c r="A251" s="37" t="inlineStr">
        <is>
          <t>Bhargav Challa</t>
        </is>
      </c>
      <c r="B251" s="37" t="inlineStr">
        <is>
          <t>Warangal</t>
        </is>
      </c>
      <c r="C251" s="37" t="inlineStr">
        <is>
          <t>Grow Youth</t>
        </is>
      </c>
      <c r="D251" s="37" t="inlineStr">
        <is>
          <t>2026-07-07</t>
        </is>
      </c>
      <c r="E251" s="37" t="inlineStr">
        <is>
          <t>Data Check</t>
        </is>
      </c>
      <c r="F251" s="37" t="inlineStr">
        <is>
          <t>On the GROW portal, confirm all student profile details and batch updates are currect.</t>
        </is>
      </c>
      <c r="G251" s="37" t="inlineStr">
        <is>
          <t>All is Well</t>
        </is>
      </c>
    </row>
    <row r="252">
      <c r="A252" s="37" t="inlineStr">
        <is>
          <t>Bhargav Challa</t>
        </is>
      </c>
      <c r="B252" s="37" t="inlineStr">
        <is>
          <t>Warangal</t>
        </is>
      </c>
      <c r="C252" s="37" t="inlineStr">
        <is>
          <t>Grow Youth</t>
        </is>
      </c>
      <c r="D252" s="37" t="inlineStr">
        <is>
          <t>2026-07-07</t>
        </is>
      </c>
      <c r="E252" s="37" t="inlineStr">
        <is>
          <t>Data Check</t>
        </is>
      </c>
      <c r="F252" s="37" t="inlineStr">
        <is>
          <t>Verify placement data — randomly call 3–4 alumni placed in the last 3 months to confirm veracity (random selection is essential).</t>
        </is>
      </c>
      <c r="G252" s="37" t="inlineStr">
        <is>
          <t>All is Well</t>
        </is>
      </c>
    </row>
    <row r="253">
      <c r="A253" s="37" t="inlineStr">
        <is>
          <t>Bhargav Challa</t>
        </is>
      </c>
      <c r="B253" s="37" t="inlineStr">
        <is>
          <t>Warangal</t>
        </is>
      </c>
      <c r="C253" s="37" t="inlineStr">
        <is>
          <t>Grow Youth</t>
        </is>
      </c>
      <c r="D253" s="37" t="inlineStr">
        <is>
          <t>2026-07-07</t>
        </is>
      </c>
      <c r="E253" s="37" t="inlineStr">
        <is>
          <t>Data Check</t>
        </is>
      </c>
      <c r="F253" s="37" t="inlineStr">
        <is>
          <t>Verify retention — check the Alumni Hand-holding Format is being updated as designed.</t>
        </is>
      </c>
      <c r="G253" s="37" t="inlineStr">
        <is>
          <t>Need Improvement</t>
        </is>
      </c>
    </row>
    <row r="254">
      <c r="A254" s="37" t="inlineStr">
        <is>
          <t>Bhargav Challa</t>
        </is>
      </c>
      <c r="B254" s="37" t="inlineStr">
        <is>
          <t>Warangal</t>
        </is>
      </c>
      <c r="C254" s="37" t="inlineStr">
        <is>
          <t>Grow Youth</t>
        </is>
      </c>
      <c r="D254" s="37" t="inlineStr">
        <is>
          <t>2026-07-07</t>
        </is>
      </c>
      <c r="E254" s="37" t="inlineStr">
        <is>
          <t>Data Check</t>
        </is>
      </c>
      <c r="F254" s="37" t="inlineStr">
        <is>
          <t>Check aspirant Hostel Forms are properly filled or not.</t>
        </is>
      </c>
      <c r="G254" s="37" t="inlineStr">
        <is>
          <t>Not Applicable</t>
        </is>
      </c>
    </row>
    <row r="255">
      <c r="A255" s="37" t="inlineStr">
        <is>
          <t>Bhargav Challa</t>
        </is>
      </c>
      <c r="B255" s="37" t="inlineStr">
        <is>
          <t>Warangal</t>
        </is>
      </c>
      <c r="C255" s="37" t="inlineStr">
        <is>
          <t>Grow Youth</t>
        </is>
      </c>
      <c r="D255" s="37" t="inlineStr">
        <is>
          <t>2026-07-07</t>
        </is>
      </c>
      <c r="E255" s="37" t="inlineStr">
        <is>
          <t>Infra Check</t>
        </is>
      </c>
      <c r="F255" s="37" t="inlineStr">
        <is>
          <t>Check all CCTV cameras; if any are not working, ask the AH to troubleshoot or call the vendor.</t>
        </is>
      </c>
      <c r="G255" s="37" t="inlineStr">
        <is>
          <t>All is Well</t>
        </is>
      </c>
    </row>
    <row r="256">
      <c r="A256" s="37" t="inlineStr">
        <is>
          <t>Bhargav Challa</t>
        </is>
      </c>
      <c r="B256" s="37" t="inlineStr">
        <is>
          <t>Warangal</t>
        </is>
      </c>
      <c r="C256" s="37" t="inlineStr">
        <is>
          <t>Grow Youth</t>
        </is>
      </c>
      <c r="D256" s="37" t="inlineStr">
        <is>
          <t>2026-07-07</t>
        </is>
      </c>
      <c r="E256" s="37" t="inlineStr">
        <is>
          <t>Infra Check</t>
        </is>
      </c>
      <c r="F256" s="37" t="inlineStr">
        <is>
          <t>Check for any scrap material and get it cleared, with support of Admin</t>
        </is>
      </c>
      <c r="G256" s="37" t="inlineStr">
        <is>
          <t>All is Well</t>
        </is>
      </c>
    </row>
    <row r="257">
      <c r="A257" s="37" t="inlineStr">
        <is>
          <t>Bhargav Challa</t>
        </is>
      </c>
      <c r="B257" s="37" t="inlineStr">
        <is>
          <t>Warangal</t>
        </is>
      </c>
      <c r="C257" s="37" t="inlineStr">
        <is>
          <t>Grow Youth</t>
        </is>
      </c>
      <c r="D257" s="37" t="inlineStr">
        <is>
          <t>2026-07-07</t>
        </is>
      </c>
      <c r="E257" s="37" t="inlineStr">
        <is>
          <t>Infra Check</t>
        </is>
      </c>
      <c r="F257" s="37" t="inlineStr">
        <is>
          <t>Check for any pending infra repairs.</t>
        </is>
      </c>
      <c r="G257" s="37" t="inlineStr">
        <is>
          <t>Need Improvement</t>
        </is>
      </c>
    </row>
    <row r="258">
      <c r="A258" s="37" t="inlineStr">
        <is>
          <t>Bhargav Challa</t>
        </is>
      </c>
      <c r="B258" s="37" t="inlineStr">
        <is>
          <t>Warangal</t>
        </is>
      </c>
      <c r="C258" s="37" t="inlineStr">
        <is>
          <t>Grow Youth</t>
        </is>
      </c>
      <c r="D258" s="37" t="inlineStr">
        <is>
          <t>2026-07-07</t>
        </is>
      </c>
      <c r="E258" s="37" t="inlineStr">
        <is>
          <t>Infra Check</t>
        </is>
      </c>
      <c r="F258" s="37" t="inlineStr">
        <is>
          <t>Check whether any fire extinguishers have expired (check the needle and expiry date both).</t>
        </is>
      </c>
      <c r="G258" s="37" t="inlineStr">
        <is>
          <t>All is Well</t>
        </is>
      </c>
    </row>
    <row r="259">
      <c r="A259" s="37" t="inlineStr">
        <is>
          <t>Bhargav Challa</t>
        </is>
      </c>
      <c r="B259" s="37" t="inlineStr">
        <is>
          <t>Warangal</t>
        </is>
      </c>
      <c r="C259" s="37" t="inlineStr">
        <is>
          <t>Grow Youth</t>
        </is>
      </c>
      <c r="D259" s="37" t="inlineStr">
        <is>
          <t>2026-07-07</t>
        </is>
      </c>
      <c r="E259" s="37" t="inlineStr">
        <is>
          <t>Infra Check</t>
        </is>
      </c>
      <c r="F259" s="37" t="inlineStr">
        <is>
          <t>Check basic cleanliness of the washrooms and the centre.</t>
        </is>
      </c>
      <c r="G259" s="37" t="inlineStr">
        <is>
          <t>All is Well</t>
        </is>
      </c>
    </row>
    <row r="260">
      <c r="A260" s="37" t="inlineStr">
        <is>
          <t>Bhargav Challa</t>
        </is>
      </c>
      <c r="B260" s="37" t="inlineStr">
        <is>
          <t>Warangal</t>
        </is>
      </c>
      <c r="C260" s="37" t="inlineStr">
        <is>
          <t>Grow Youth</t>
        </is>
      </c>
      <c r="D260" s="37" t="inlineStr">
        <is>
          <t>2026-07-07</t>
        </is>
      </c>
      <c r="E260" s="37" t="inlineStr">
        <is>
          <t>Infra Check</t>
        </is>
      </c>
      <c r="F260" s="37" t="inlineStr">
        <is>
          <t>Confirm the correct program and partner logos are displayed.</t>
        </is>
      </c>
      <c r="G260" s="37" t="inlineStr">
        <is>
          <t>All is Well</t>
        </is>
      </c>
    </row>
    <row r="261">
      <c r="A261" s="37" t="inlineStr">
        <is>
          <t>Bhargav Challa</t>
        </is>
      </c>
      <c r="B261" s="37" t="inlineStr">
        <is>
          <t>Warangal</t>
        </is>
      </c>
      <c r="C261" s="37" t="inlineStr">
        <is>
          <t>Grow Youth</t>
        </is>
      </c>
      <c r="D261" s="37" t="inlineStr">
        <is>
          <t>2026-07-07</t>
        </is>
      </c>
      <c r="E261" s="37" t="inlineStr">
        <is>
          <t>Infra Check</t>
        </is>
      </c>
      <c r="F261" s="37" t="inlineStr">
        <is>
          <t>Check the status of digital infra — PCs, smartboards, tablets, laptops, etc.</t>
        </is>
      </c>
      <c r="G261" s="37" t="inlineStr">
        <is>
          <t>All is Well</t>
        </is>
      </c>
    </row>
    <row r="262">
      <c r="A262" s="37" t="inlineStr">
        <is>
          <t>Bhargav Challa</t>
        </is>
      </c>
      <c r="B262" s="37" t="inlineStr">
        <is>
          <t>Warangal</t>
        </is>
      </c>
      <c r="C262" s="37" t="inlineStr">
        <is>
          <t>Grow Youth</t>
        </is>
      </c>
      <c r="D262" s="37" t="inlineStr">
        <is>
          <t>2026-07-07</t>
        </is>
      </c>
      <c r="E262" s="37" t="inlineStr">
        <is>
          <t>Infra Check</t>
        </is>
      </c>
      <c r="F262" s="37" t="inlineStr">
        <is>
          <t>Make a quick hostel visit; have lunch there if possible to test the food quality.</t>
        </is>
      </c>
      <c r="G262" s="37" t="inlineStr">
        <is>
          <t>Not Applicable</t>
        </is>
      </c>
    </row>
    <row r="263">
      <c r="A263" s="37" t="inlineStr">
        <is>
          <t>Bhargav Challa</t>
        </is>
      </c>
      <c r="B263" s="37" t="inlineStr">
        <is>
          <t>Warangal</t>
        </is>
      </c>
      <c r="C263" s="37" t="inlineStr">
        <is>
          <t>Grow Youth</t>
        </is>
      </c>
      <c r="D263" s="37" t="inlineStr">
        <is>
          <t>2026-07-07</t>
        </is>
      </c>
      <c r="E263" s="37" t="inlineStr">
        <is>
          <t>Process Check</t>
        </is>
      </c>
      <c r="F263" s="37" t="inlineStr">
        <is>
          <t>Refer to the activity planner — check if any activities are delayed.</t>
        </is>
      </c>
      <c r="G263" s="37" t="inlineStr">
        <is>
          <t>Not Applicable</t>
        </is>
      </c>
    </row>
    <row r="264">
      <c r="A264" s="37" t="inlineStr">
        <is>
          <t>Bhargav Challa</t>
        </is>
      </c>
      <c r="B264" s="37" t="inlineStr">
        <is>
          <t>Warangal</t>
        </is>
      </c>
      <c r="C264" s="37" t="inlineStr">
        <is>
          <t>Grow Youth</t>
        </is>
      </c>
      <c r="D264" s="37" t="inlineStr">
        <is>
          <t>2026-07-07</t>
        </is>
      </c>
      <c r="E264" s="37" t="inlineStr">
        <is>
          <t>Process Check</t>
        </is>
      </c>
      <c r="F264" s="37" t="inlineStr">
        <is>
          <t>Check planning for the next batch-start announcement.</t>
        </is>
      </c>
      <c r="G264" s="37" t="inlineStr">
        <is>
          <t>Need Improvement</t>
        </is>
      </c>
    </row>
    <row r="265">
      <c r="A265" s="37" t="inlineStr">
        <is>
          <t>Bhargav Challa</t>
        </is>
      </c>
      <c r="B265" s="37" t="inlineStr">
        <is>
          <t>Warangal</t>
        </is>
      </c>
      <c r="C265" s="37" t="inlineStr">
        <is>
          <t>Grow Youth</t>
        </is>
      </c>
      <c r="D265" s="37" t="inlineStr">
        <is>
          <t>2026-07-07</t>
        </is>
      </c>
      <c r="E265" s="37" t="inlineStr">
        <is>
          <t>Process Check</t>
        </is>
      </c>
      <c r="F265" s="37" t="inlineStr">
        <is>
          <t>Check if any hiring is delayed and plan a resolution.</t>
        </is>
      </c>
      <c r="G265" s="37" t="inlineStr">
        <is>
          <t>Need Improvement</t>
        </is>
      </c>
    </row>
    <row r="266">
      <c r="A266" s="37" t="inlineStr">
        <is>
          <t>Bhargav Challa</t>
        </is>
      </c>
      <c r="B266" s="37" t="inlineStr">
        <is>
          <t>Warangal</t>
        </is>
      </c>
      <c r="C266" s="37" t="inlineStr">
        <is>
          <t>Grow Youth</t>
        </is>
      </c>
      <c r="D266" s="37" t="inlineStr">
        <is>
          <t>2026-07-07</t>
        </is>
      </c>
      <c r="E266" s="37" t="inlineStr">
        <is>
          <t>Process Check</t>
        </is>
      </c>
      <c r="F266" s="37" t="inlineStr">
        <is>
          <t>Check the CA’s diary — is CA guided daily by the AH during planning days?</t>
        </is>
      </c>
      <c r="G266" s="37" t="inlineStr">
        <is>
          <t>Not Applicable</t>
        </is>
      </c>
    </row>
    <row r="267">
      <c r="A267" s="37" t="inlineStr">
        <is>
          <t>Bhargav Challa</t>
        </is>
      </c>
      <c r="B267" s="37" t="inlineStr">
        <is>
          <t>Warangal</t>
        </is>
      </c>
      <c r="C267" s="37" t="inlineStr">
        <is>
          <t>Grow Youth</t>
        </is>
      </c>
      <c r="D267" s="37" t="inlineStr">
        <is>
          <t>2026-07-07</t>
        </is>
      </c>
      <c r="E267" s="37" t="inlineStr">
        <is>
          <t>Process Check</t>
        </is>
      </c>
      <c r="F267" s="37" t="inlineStr">
        <is>
          <t>Check the AH is regularly meeting employers (in person and online) and updating the centre’s Top 20 Employer format.</t>
        </is>
      </c>
      <c r="G267" s="37" t="inlineStr">
        <is>
          <t>Not Applicable</t>
        </is>
      </c>
    </row>
    <row r="268">
      <c r="A268" s="37" t="inlineStr">
        <is>
          <t>Bhargav Challa</t>
        </is>
      </c>
      <c r="B268" s="37" t="inlineStr">
        <is>
          <t>Warangal</t>
        </is>
      </c>
      <c r="C268" s="37" t="inlineStr">
        <is>
          <t>Grow Youth</t>
        </is>
      </c>
      <c r="D268" s="37" t="inlineStr">
        <is>
          <t>2026-07-07</t>
        </is>
      </c>
      <c r="E268" s="37" t="inlineStr">
        <is>
          <t>Process Check</t>
        </is>
      </c>
      <c r="F268" s="37" t="inlineStr">
        <is>
          <t>Confirm all new employers are registered on portal as per new process.</t>
        </is>
      </c>
      <c r="G268" s="37" t="inlineStr">
        <is>
          <t>Not Applicable</t>
        </is>
      </c>
    </row>
    <row r="269">
      <c r="A269" s="37" t="inlineStr">
        <is>
          <t>Bhargav Challa</t>
        </is>
      </c>
      <c r="B269" s="37" t="inlineStr">
        <is>
          <t>Warangal</t>
        </is>
      </c>
      <c r="C269" s="37" t="inlineStr">
        <is>
          <t>Grow Youth</t>
        </is>
      </c>
      <c r="D269" s="37" t="inlineStr">
        <is>
          <t>2026-07-07</t>
        </is>
      </c>
      <c r="E269" s="37" t="inlineStr">
        <is>
          <t>Process Check</t>
        </is>
      </c>
      <c r="F269" s="37" t="inlineStr">
        <is>
          <t>Confirm 100% of enrolled students undergone screening (for technical courses).</t>
        </is>
      </c>
      <c r="G269" s="37" t="inlineStr">
        <is>
          <t>Not Applicable</t>
        </is>
      </c>
    </row>
    <row r="270">
      <c r="A270" s="37" t="inlineStr">
        <is>
          <t>Bhargav Challa</t>
        </is>
      </c>
      <c r="B270" s="37" t="inlineStr">
        <is>
          <t>Warangal</t>
        </is>
      </c>
      <c r="C270" s="37" t="inlineStr">
        <is>
          <t>Grow Youth</t>
        </is>
      </c>
      <c r="D270" s="37" t="inlineStr">
        <is>
          <t>2026-07-07</t>
        </is>
      </c>
      <c r="E270" s="37" t="inlineStr">
        <is>
          <t>Process Check</t>
        </is>
      </c>
      <c r="F270" s="37" t="inlineStr">
        <is>
          <t>Confirm ESA is done (in GROW full ESA and in Technical courses relevant sections of Core Employability Part).</t>
        </is>
      </c>
      <c r="G270" s="37" t="inlineStr">
        <is>
          <t>All is Well</t>
        </is>
      </c>
    </row>
    <row r="271">
      <c r="A271" s="37" t="inlineStr">
        <is>
          <t>Bhargav Challa</t>
        </is>
      </c>
      <c r="B271" s="37" t="inlineStr">
        <is>
          <t>Warangal</t>
        </is>
      </c>
      <c r="C271" s="37" t="inlineStr">
        <is>
          <t>Grow Youth</t>
        </is>
      </c>
      <c r="D271" s="37" t="inlineStr">
        <is>
          <t>2026-07-07</t>
        </is>
      </c>
      <c r="E271" s="37" t="inlineStr">
        <is>
          <t>Process Check</t>
        </is>
      </c>
      <c r="F271" s="37" t="inlineStr">
        <is>
          <t>Check is AH giving capstone project in GROW Tech.</t>
        </is>
      </c>
      <c r="G271" s="37" t="inlineStr">
        <is>
          <t>Not Applicable</t>
        </is>
      </c>
    </row>
    <row r="272">
      <c r="A272" s="37" t="inlineStr">
        <is>
          <t>Bhargav Challa</t>
        </is>
      </c>
      <c r="B272" s="37" t="inlineStr">
        <is>
          <t>Warangal</t>
        </is>
      </c>
      <c r="C272" s="37" t="inlineStr">
        <is>
          <t>Grow Youth</t>
        </is>
      </c>
      <c r="D272" s="37" t="inlineStr">
        <is>
          <t>2026-07-07</t>
        </is>
      </c>
      <c r="E272" s="37" t="inlineStr">
        <is>
          <t>Process Check</t>
        </is>
      </c>
      <c r="F272" s="37" t="inlineStr">
        <is>
          <t>Check is AH planning OJT as per guidelines and proofs are collected for technical courses.</t>
        </is>
      </c>
      <c r="G272" s="37" t="inlineStr">
        <is>
          <t>Not Applicable</t>
        </is>
      </c>
    </row>
    <row r="273">
      <c r="A273" s="37" t="inlineStr">
        <is>
          <t>Bhargav Challa</t>
        </is>
      </c>
      <c r="B273" s="37" t="inlineStr">
        <is>
          <t>Warangal</t>
        </is>
      </c>
      <c r="C273" s="37" t="inlineStr">
        <is>
          <t>Grow Youth</t>
        </is>
      </c>
      <c r="D273" s="37" t="inlineStr">
        <is>
          <t>2026-07-07</t>
        </is>
      </c>
      <c r="E273" s="37" t="inlineStr">
        <is>
          <t>Process Check</t>
        </is>
      </c>
      <c r="F273" s="37" t="inlineStr">
        <is>
          <t>Check are trainers contacting aspirants to find reason for their absenteeism of more than 1 day.</t>
        </is>
      </c>
      <c r="G273" s="37" t="inlineStr">
        <is>
          <t>All is Well</t>
        </is>
      </c>
    </row>
    <row r="274">
      <c r="A274" s="37" t="inlineStr">
        <is>
          <t>Bhargav Challa</t>
        </is>
      </c>
      <c r="B274" s="37" t="inlineStr">
        <is>
          <t>Warangal</t>
        </is>
      </c>
      <c r="C274" s="37" t="inlineStr">
        <is>
          <t>Grow Youth</t>
        </is>
      </c>
      <c r="D274" s="37" t="inlineStr">
        <is>
          <t>2026-07-07</t>
        </is>
      </c>
      <c r="E274" s="37" t="inlineStr">
        <is>
          <t>Process Check</t>
        </is>
      </c>
      <c r="F274" s="37" t="inlineStr">
        <is>
          <t>Check the AH plans monthly enrolment and placement numbers by the 3rd of each month and shares them with second level managers.</t>
        </is>
      </c>
      <c r="G274" s="37" t="inlineStr">
        <is>
          <t>Need Improvement</t>
        </is>
      </c>
    </row>
    <row r="275">
      <c r="A275" s="37" t="inlineStr">
        <is>
          <t>Bhargav Challa</t>
        </is>
      </c>
      <c r="B275" s="37" t="inlineStr">
        <is>
          <t>Warangal</t>
        </is>
      </c>
      <c r="C275" s="37" t="inlineStr">
        <is>
          <t>Grow Youth</t>
        </is>
      </c>
      <c r="D275" s="37" t="inlineStr">
        <is>
          <t>2026-07-07</t>
        </is>
      </c>
      <c r="E275" s="37" t="inlineStr">
        <is>
          <t>Process Check</t>
        </is>
      </c>
      <c r="F275" s="37" t="inlineStr">
        <is>
          <t>Check trainers submit aspirants’ placement interest areas to the AH by the batch’s 25th day (in GROW).</t>
        </is>
      </c>
      <c r="G275" s="37" t="inlineStr">
        <is>
          <t>All is Well</t>
        </is>
      </c>
    </row>
    <row r="276">
      <c r="A276" s="37" t="inlineStr">
        <is>
          <t>Bhargav Challa</t>
        </is>
      </c>
      <c r="B276" s="37" t="inlineStr">
        <is>
          <t>Warangal</t>
        </is>
      </c>
      <c r="C276" s="37" t="inlineStr">
        <is>
          <t>Grow Youth</t>
        </is>
      </c>
      <c r="D276" s="37" t="inlineStr">
        <is>
          <t>2026-07-07</t>
        </is>
      </c>
      <c r="E276" s="37" t="inlineStr">
        <is>
          <t>Process Check</t>
        </is>
      </c>
      <c r="F276" s="37" t="inlineStr">
        <is>
          <t>Ckeck For technical programs, placement is done only in technical jobs,on which aspirants are trained and relevant emplyers are identified by 45th day.</t>
        </is>
      </c>
      <c r="G276" s="37" t="inlineStr">
        <is>
          <t>Not Applicable</t>
        </is>
      </c>
    </row>
    <row r="277">
      <c r="A277" s="37" t="inlineStr">
        <is>
          <t>Bhargav Challa</t>
        </is>
      </c>
      <c r="B277" s="37" t="inlineStr">
        <is>
          <t>Warangal</t>
        </is>
      </c>
      <c r="C277" s="37" t="inlineStr">
        <is>
          <t>Grow Youth</t>
        </is>
      </c>
      <c r="D277" s="37" t="inlineStr">
        <is>
          <t>2026-07-07</t>
        </is>
      </c>
      <c r="E277" s="37" t="inlineStr">
        <is>
          <t>Process Check</t>
        </is>
      </c>
      <c r="F277" s="37" t="inlineStr">
        <is>
          <t>Check the AH follows EP guidelines and minimum benchmark salary guidelines.</t>
        </is>
      </c>
      <c r="G277" s="37" t="inlineStr">
        <is>
          <t>All is Well</t>
        </is>
      </c>
    </row>
    <row r="278">
      <c r="A278" s="37" t="inlineStr">
        <is>
          <t>Bhargav Challa</t>
        </is>
      </c>
      <c r="B278" s="37" t="inlineStr">
        <is>
          <t>Warangal</t>
        </is>
      </c>
      <c r="C278" s="37" t="inlineStr">
        <is>
          <t>Grow Youth</t>
        </is>
      </c>
      <c r="D278" s="37" t="inlineStr">
        <is>
          <t>2026-07-07</t>
        </is>
      </c>
      <c r="E278" s="37" t="inlineStr">
        <is>
          <t>Process Check</t>
        </is>
      </c>
      <c r="F278" s="37" t="inlineStr">
        <is>
          <t>Check that AH is enrolling only the right traget group in the program -as per the defined target.</t>
        </is>
      </c>
      <c r="G278" s="37" t="inlineStr">
        <is>
          <t>All is Well</t>
        </is>
      </c>
    </row>
    <row r="279">
      <c r="A279" s="37" t="inlineStr">
        <is>
          <t>Bhargav Challa</t>
        </is>
      </c>
      <c r="B279" s="37" t="inlineStr">
        <is>
          <t>Warangal</t>
        </is>
      </c>
      <c r="C279" s="37" t="inlineStr">
        <is>
          <t>Grow Youth</t>
        </is>
      </c>
      <c r="D279" s="37" t="inlineStr">
        <is>
          <t>2026-07-07</t>
        </is>
      </c>
      <c r="E279" s="37" t="inlineStr">
        <is>
          <t>Process Check</t>
        </is>
      </c>
      <c r="F279" s="37" t="inlineStr">
        <is>
          <t>Check the AH announces the next batch-start date by the 3rd of the month on all notice boards — focus on Zero-Day start.</t>
        </is>
      </c>
      <c r="G279" s="37" t="inlineStr">
        <is>
          <t>Need Improvement</t>
        </is>
      </c>
    </row>
    <row r="280">
      <c r="A280" s="37" t="inlineStr">
        <is>
          <t>Bhargav Challa</t>
        </is>
      </c>
      <c r="B280" s="37" t="inlineStr">
        <is>
          <t>Warangal</t>
        </is>
      </c>
      <c r="C280" s="37" t="inlineStr">
        <is>
          <t>Grow Youth</t>
        </is>
      </c>
      <c r="D280" s="37" t="inlineStr">
        <is>
          <t>2026-07-07</t>
        </is>
      </c>
      <c r="E280" s="37" t="inlineStr">
        <is>
          <t>Process Check</t>
        </is>
      </c>
      <c r="F280" s="37" t="inlineStr">
        <is>
          <t>Check the Aspirant Mock Interview Score Tracker is updated after every mock interview in the L&amp;D Google Sheet.</t>
        </is>
      </c>
      <c r="G280" s="37" t="inlineStr">
        <is>
          <t>Need Improvement</t>
        </is>
      </c>
    </row>
    <row r="281">
      <c r="A281" s="37" t="inlineStr">
        <is>
          <t>Bhargav Challa</t>
        </is>
      </c>
      <c r="B281" s="37" t="inlineStr">
        <is>
          <t>Warangal</t>
        </is>
      </c>
      <c r="C281" s="37" t="inlineStr">
        <is>
          <t>Grow Youth</t>
        </is>
      </c>
      <c r="D281" s="37" t="inlineStr">
        <is>
          <t>2026-07-07</t>
        </is>
      </c>
      <c r="E281" s="37" t="inlineStr">
        <is>
          <t>Process Check</t>
        </is>
      </c>
      <c r="F281" s="37" t="inlineStr">
        <is>
          <t>Confirm NPS (Net Promoter Score) is collected at MSDF centres.</t>
        </is>
      </c>
      <c r="G281" s="37" t="inlineStr">
        <is>
          <t>Not Applicable</t>
        </is>
      </c>
    </row>
    <row r="282">
      <c r="A282" s="37" t="inlineStr">
        <is>
          <t>Bhargav Challa</t>
        </is>
      </c>
      <c r="B282" s="37" t="inlineStr">
        <is>
          <t>Warangal</t>
        </is>
      </c>
      <c r="C282" s="37" t="inlineStr">
        <is>
          <t>Grow Youth</t>
        </is>
      </c>
      <c r="D282" s="37" t="inlineStr">
        <is>
          <t>2026-07-07</t>
        </is>
      </c>
      <c r="E282" s="37" t="inlineStr">
        <is>
          <t>Process Check</t>
        </is>
      </c>
      <c r="F282" s="37" t="inlineStr">
        <is>
          <t>Confirm that QAE is collecting student feedback for every batch.</t>
        </is>
      </c>
      <c r="G282" s="37" t="inlineStr">
        <is>
          <t>All is Well</t>
        </is>
      </c>
    </row>
    <row r="283">
      <c r="A283" s="37" t="inlineStr">
        <is>
          <t>Bhargav Challa</t>
        </is>
      </c>
      <c r="B283" s="37" t="inlineStr">
        <is>
          <t>Warangal</t>
        </is>
      </c>
      <c r="C283" s="37" t="inlineStr">
        <is>
          <t>Grow Youth</t>
        </is>
      </c>
      <c r="D283" s="37" t="inlineStr">
        <is>
          <t>2026-07-07</t>
        </is>
      </c>
      <c r="E283" s="37" t="inlineStr">
        <is>
          <t>Process Check</t>
        </is>
      </c>
      <c r="F283" s="37" t="inlineStr">
        <is>
          <t>Confirm all centre teams have completed the GROW Manual Course on Skillfy — ask for achievement certificates.</t>
        </is>
      </c>
      <c r="G283" s="37" t="inlineStr">
        <is>
          <t>Need Improvement</t>
        </is>
      </c>
    </row>
    <row r="284">
      <c r="A284" s="37" t="inlineStr">
        <is>
          <t>Bhargav Challa</t>
        </is>
      </c>
      <c r="B284" s="37" t="inlineStr">
        <is>
          <t>Warangal</t>
        </is>
      </c>
      <c r="C284" s="37" t="inlineStr">
        <is>
          <t>Grow Youth</t>
        </is>
      </c>
      <c r="D284" s="37" t="inlineStr">
        <is>
          <t>2026-07-07</t>
        </is>
      </c>
      <c r="E284" s="37" t="inlineStr">
        <is>
          <t>Process Check</t>
        </is>
      </c>
      <c r="F284" s="37" t="inlineStr">
        <is>
          <t>Check AH holds a quality weekly team meeting, documents action points in the weekly meeting format, and sends you a photo on WhatsApp.</t>
        </is>
      </c>
      <c r="G284" s="37" t="inlineStr">
        <is>
          <t>Not Applicable</t>
        </is>
      </c>
    </row>
    <row r="285">
      <c r="A285" s="37" t="inlineStr">
        <is>
          <t>Bhargav Challa</t>
        </is>
      </c>
      <c r="B285" s="37" t="inlineStr">
        <is>
          <t>Warangal</t>
        </is>
      </c>
      <c r="C285" s="37" t="inlineStr">
        <is>
          <t>Grow Youth</t>
        </is>
      </c>
      <c r="D285" s="37" t="inlineStr">
        <is>
          <t>2026-07-07</t>
        </is>
      </c>
      <c r="E285" s="37" t="inlineStr">
        <is>
          <t>Aspirant Interaction</t>
        </is>
      </c>
      <c r="F285" s="37" t="inlineStr">
        <is>
          <t>Ask aspirants about the session plan — confirm training is happening as planned?</t>
        </is>
      </c>
      <c r="G285" s="37" t="inlineStr">
        <is>
          <t>All is Well</t>
        </is>
      </c>
    </row>
    <row r="286">
      <c r="A286" s="37" t="inlineStr">
        <is>
          <t>Bhargav Challa</t>
        </is>
      </c>
      <c r="B286" s="37" t="inlineStr">
        <is>
          <t>Warangal</t>
        </is>
      </c>
      <c r="C286" s="37" t="inlineStr">
        <is>
          <t>Grow Youth</t>
        </is>
      </c>
      <c r="D286" s="37" t="inlineStr">
        <is>
          <t>2026-07-07</t>
        </is>
      </c>
      <c r="E286" s="37" t="inlineStr">
        <is>
          <t>Aspirant Interaction</t>
        </is>
      </c>
      <c r="F286" s="37" t="inlineStr">
        <is>
          <t>Ask about the quality of Core Employability component delivery (technical centres) and who delivers it.</t>
        </is>
      </c>
      <c r="G286" s="37" t="inlineStr">
        <is>
          <t>Not Applicable</t>
        </is>
      </c>
    </row>
    <row r="287">
      <c r="A287" s="37" t="inlineStr">
        <is>
          <t>Bhargav Challa</t>
        </is>
      </c>
      <c r="B287" s="37" t="inlineStr">
        <is>
          <t>Warangal</t>
        </is>
      </c>
      <c r="C287" s="37" t="inlineStr">
        <is>
          <t>Grow Youth</t>
        </is>
      </c>
      <c r="D287" s="37" t="inlineStr">
        <is>
          <t>2026-07-07</t>
        </is>
      </c>
      <c r="E287" s="37" t="inlineStr">
        <is>
          <t>Aspirant Interaction</t>
        </is>
      </c>
      <c r="F287" s="37" t="inlineStr">
        <is>
          <t>Ask whether they are aware of the referral scheme?</t>
        </is>
      </c>
      <c r="G287" s="37" t="inlineStr">
        <is>
          <t>All is Well</t>
        </is>
      </c>
    </row>
    <row r="288">
      <c r="A288" s="37" t="inlineStr">
        <is>
          <t>Bhargav Challa</t>
        </is>
      </c>
      <c r="B288" s="37" t="inlineStr">
        <is>
          <t>Warangal</t>
        </is>
      </c>
      <c r="C288" s="37" t="inlineStr">
        <is>
          <t>Grow Youth</t>
        </is>
      </c>
      <c r="D288" s="37" t="inlineStr">
        <is>
          <t>2026-07-07</t>
        </is>
      </c>
      <c r="E288" s="37" t="inlineStr">
        <is>
          <t>Aspirant Interaction</t>
        </is>
      </c>
      <c r="F288" s="37" t="inlineStr">
        <is>
          <t>Ask whether the AH explained the importance of the offer letter and sharing it with us once received for reporting purposes?</t>
        </is>
      </c>
      <c r="G288" s="37" t="inlineStr">
        <is>
          <t>All is Well</t>
        </is>
      </c>
    </row>
    <row r="289">
      <c r="A289" s="37" t="inlineStr">
        <is>
          <t>Bhargav Challa</t>
        </is>
      </c>
      <c r="B289" s="37" t="inlineStr">
        <is>
          <t>Warangal</t>
        </is>
      </c>
      <c r="C289" s="37" t="inlineStr">
        <is>
          <t>Grow Youth</t>
        </is>
      </c>
      <c r="D289" s="37" t="inlineStr">
        <is>
          <t>2026-07-07</t>
        </is>
      </c>
      <c r="E289" s="37" t="inlineStr">
        <is>
          <t>Aspirant Interaction</t>
        </is>
      </c>
      <c r="F289" s="37" t="inlineStr">
        <is>
          <t>Ask how many are not interested in jobs — and if so, why they enrolled in the programme?</t>
        </is>
      </c>
      <c r="G289" s="37" t="inlineStr">
        <is>
          <t>All is Well</t>
        </is>
      </c>
    </row>
    <row r="290">
      <c r="A290" s="37" t="inlineStr">
        <is>
          <t>Bhargav Challa</t>
        </is>
      </c>
      <c r="B290" s="37" t="inlineStr">
        <is>
          <t>Warangal</t>
        </is>
      </c>
      <c r="C290" s="37" t="inlineStr">
        <is>
          <t>Grow Youth</t>
        </is>
      </c>
      <c r="D290" s="37" t="inlineStr">
        <is>
          <t>2026-07-07</t>
        </is>
      </c>
      <c r="E290" s="37" t="inlineStr">
        <is>
          <t>Aspirant Interaction</t>
        </is>
      </c>
      <c r="F290" s="37" t="inlineStr">
        <is>
          <t>Ask whether they were told the kind of job they would get during counselling?</t>
        </is>
      </c>
      <c r="G290" s="37" t="inlineStr">
        <is>
          <t>All is Well</t>
        </is>
      </c>
    </row>
    <row r="291">
      <c r="A291" s="37" t="inlineStr">
        <is>
          <t>Bhargav Challa</t>
        </is>
      </c>
      <c r="B291" s="37" t="inlineStr">
        <is>
          <t>Warangal</t>
        </is>
      </c>
      <c r="C291" s="37" t="inlineStr">
        <is>
          <t>Grow Youth</t>
        </is>
      </c>
      <c r="D291" s="37" t="inlineStr">
        <is>
          <t>2026-07-07</t>
        </is>
      </c>
      <c r="E291" s="37" t="inlineStr">
        <is>
          <t>Aspirant Interaction</t>
        </is>
      </c>
      <c r="F291" s="37" t="inlineStr">
        <is>
          <t>Ask whether they have been given LMS access?</t>
        </is>
      </c>
      <c r="G291" s="37" t="inlineStr">
        <is>
          <t>All is Well</t>
        </is>
      </c>
    </row>
    <row r="292">
      <c r="A292" s="37" t="inlineStr">
        <is>
          <t>Bhargav Challa</t>
        </is>
      </c>
      <c r="B292" s="37" t="inlineStr">
        <is>
          <t>Warangal</t>
        </is>
      </c>
      <c r="C292" s="37" t="inlineStr">
        <is>
          <t>Grow Youth</t>
        </is>
      </c>
      <c r="D292" s="37" t="inlineStr">
        <is>
          <t>2026-07-07</t>
        </is>
      </c>
      <c r="E292" s="37" t="inlineStr">
        <is>
          <t>Aspirant Interaction</t>
        </is>
      </c>
      <c r="F292" s="37" t="inlineStr">
        <is>
          <t>Ask whether anyone asked them for money for training or placement?</t>
        </is>
      </c>
      <c r="G292" s="37" t="inlineStr">
        <is>
          <t>All is Well</t>
        </is>
      </c>
    </row>
    <row r="293">
      <c r="A293" s="37" t="inlineStr">
        <is>
          <t>Bhargav Challa</t>
        </is>
      </c>
      <c r="B293" s="37" t="inlineStr">
        <is>
          <t>Warangal</t>
        </is>
      </c>
      <c r="C293" s="37" t="inlineStr">
        <is>
          <t>Grow Youth</t>
        </is>
      </c>
      <c r="D293" s="37" t="inlineStr">
        <is>
          <t>2026-07-07</t>
        </is>
      </c>
      <c r="E293" s="37" t="inlineStr">
        <is>
          <t>Aspirant Interaction</t>
        </is>
      </c>
      <c r="F293" s="37" t="inlineStr">
        <is>
          <t>Ask to show their mobile phones — are they enrolled on Skillfy? If not, get them enrolled and give written feedback to trainers and the AH in your presence.</t>
        </is>
      </c>
      <c r="G293" s="37" t="inlineStr">
        <is>
          <t>All is Well</t>
        </is>
      </c>
    </row>
    <row r="294">
      <c r="A294" s="37" t="inlineStr">
        <is>
          <t>Bhargav Challa</t>
        </is>
      </c>
      <c r="B294" s="37" t="inlineStr">
        <is>
          <t>Warangal</t>
        </is>
      </c>
      <c r="C294" s="37" t="inlineStr">
        <is>
          <t>Grow Youth</t>
        </is>
      </c>
      <c r="D294" s="37" t="inlineStr">
        <is>
          <t>2026-07-07</t>
        </is>
      </c>
      <c r="E294" s="37" t="inlineStr">
        <is>
          <t>Aspirant Interaction</t>
        </is>
      </c>
      <c r="F294" s="37" t="inlineStr">
        <is>
          <t>Ask about the quality of the hostel and any issues they face.</t>
        </is>
      </c>
      <c r="G294" s="37" t="inlineStr">
        <is>
          <t>Not Applicable</t>
        </is>
      </c>
    </row>
    <row r="295">
      <c r="A295" s="37" t="inlineStr">
        <is>
          <t>Bhargav Challa</t>
        </is>
      </c>
      <c r="B295" s="37" t="inlineStr">
        <is>
          <t>Warangal</t>
        </is>
      </c>
      <c r="C295" s="37" t="inlineStr">
        <is>
          <t>Grow Youth</t>
        </is>
      </c>
      <c r="D295" s="37" t="inlineStr">
        <is>
          <t>2026-07-07</t>
        </is>
      </c>
      <c r="E295" s="37" t="inlineStr">
        <is>
          <t>Aspirant Interaction</t>
        </is>
      </c>
      <c r="F295" s="37" t="inlineStr">
        <is>
          <t>Ask a few relevant screening questions to support the 10th-day report and remove non-serious candidates, explaining to them the reasons.</t>
        </is>
      </c>
      <c r="G295" s="37" t="inlineStr">
        <is>
          <t>All is Well</t>
        </is>
      </c>
    </row>
    <row r="296">
      <c r="A296" s="37" t="inlineStr">
        <is>
          <t>Raghavender Rao</t>
        </is>
      </c>
      <c r="B296" s="37" t="inlineStr">
        <is>
          <t>CFRSI-Chandanagar</t>
        </is>
      </c>
      <c r="C296" s="37" t="inlineStr">
        <is>
          <t>CFRSI-Innocation</t>
        </is>
      </c>
      <c r="D296" s="37" t="inlineStr">
        <is>
          <t>2026-07-07</t>
        </is>
      </c>
      <c r="E296" s="37" t="inlineStr">
        <is>
          <t>Data Check</t>
        </is>
      </c>
      <c r="F296" s="37" t="inlineStr">
        <is>
          <t>Reach the centre on time (unannounced) — confirm the centre opened on time.</t>
        </is>
      </c>
      <c r="G296" s="37" t="inlineStr">
        <is>
          <t>All is Well</t>
        </is>
      </c>
    </row>
    <row r="297">
      <c r="A297" s="37" t="inlineStr">
        <is>
          <t>Raghavender Rao</t>
        </is>
      </c>
      <c r="B297" s="37" t="inlineStr">
        <is>
          <t>CFRSI-Chandanagar</t>
        </is>
      </c>
      <c r="C297" s="37" t="inlineStr">
        <is>
          <t>CFRSI-Innocation</t>
        </is>
      </c>
      <c r="D297" s="37" t="inlineStr">
        <is>
          <t>2026-07-07</t>
        </is>
      </c>
      <c r="E297" s="37" t="inlineStr">
        <is>
          <t>Data Check</t>
        </is>
      </c>
      <c r="F297" s="37" t="inlineStr">
        <is>
          <t>Check the staff attendance register, the Google Sheet, and geo-tagged photos for aspirants.</t>
        </is>
      </c>
      <c r="G297" s="37" t="inlineStr">
        <is>
          <t>All is Well</t>
        </is>
      </c>
    </row>
    <row r="298">
      <c r="A298" s="37" t="inlineStr">
        <is>
          <t>Raghavender Rao</t>
        </is>
      </c>
      <c r="B298" s="37" t="inlineStr">
        <is>
          <t>CFRSI-Chandanagar</t>
        </is>
      </c>
      <c r="C298" s="37" t="inlineStr">
        <is>
          <t>CFRSI-Innocation</t>
        </is>
      </c>
      <c r="D298" s="37" t="inlineStr">
        <is>
          <t>2026-07-07</t>
        </is>
      </c>
      <c r="E298" s="37" t="inlineStr">
        <is>
          <t>Data Check</t>
        </is>
      </c>
      <c r="F298" s="37" t="inlineStr">
        <is>
          <t>Check Counselling and Screening Forms of recently started batches.</t>
        </is>
      </c>
      <c r="G298" s="37" t="inlineStr">
        <is>
          <t>All is Well</t>
        </is>
      </c>
    </row>
    <row r="299">
      <c r="A299" s="37" t="inlineStr">
        <is>
          <t>Raghavender Rao</t>
        </is>
      </c>
      <c r="B299" s="37" t="inlineStr">
        <is>
          <t>CFRSI-Chandanagar</t>
        </is>
      </c>
      <c r="C299" s="37" t="inlineStr">
        <is>
          <t>CFRSI-Innocation</t>
        </is>
      </c>
      <c r="D299" s="37" t="inlineStr">
        <is>
          <t>2026-07-07</t>
        </is>
      </c>
      <c r="E299" s="37" t="inlineStr">
        <is>
          <t>Data Check</t>
        </is>
      </c>
      <c r="F299" s="37" t="inlineStr">
        <is>
          <t>Check Aspirant Registration Forms and related documents.</t>
        </is>
      </c>
      <c r="G299" s="37" t="inlineStr">
        <is>
          <t>All is Well</t>
        </is>
      </c>
    </row>
    <row r="300">
      <c r="A300" s="37" t="inlineStr">
        <is>
          <t>Raghavender Rao</t>
        </is>
      </c>
      <c r="B300" s="37" t="inlineStr">
        <is>
          <t>CFRSI-Chandanagar</t>
        </is>
      </c>
      <c r="C300" s="37" t="inlineStr">
        <is>
          <t>CFRSI-Innocation</t>
        </is>
      </c>
      <c r="D300" s="37" t="inlineStr">
        <is>
          <t>2026-07-07</t>
        </is>
      </c>
      <c r="E300" s="37" t="inlineStr">
        <is>
          <t>Data Check</t>
        </is>
      </c>
      <c r="F300" s="37" t="inlineStr">
        <is>
          <t>On the GROW portal, confirm all student profile details and batch updates are currect.</t>
        </is>
      </c>
      <c r="G300" s="37" t="inlineStr">
        <is>
          <t>All is Well</t>
        </is>
      </c>
    </row>
    <row r="301">
      <c r="A301" s="37" t="inlineStr">
        <is>
          <t>Raghavender Rao</t>
        </is>
      </c>
      <c r="B301" s="37" t="inlineStr">
        <is>
          <t>CFRSI-Chandanagar</t>
        </is>
      </c>
      <c r="C301" s="37" t="inlineStr">
        <is>
          <t>CFRSI-Innocation</t>
        </is>
      </c>
      <c r="D301" s="37" t="inlineStr">
        <is>
          <t>2026-07-07</t>
        </is>
      </c>
      <c r="E301" s="37" t="inlineStr">
        <is>
          <t>Data Check</t>
        </is>
      </c>
      <c r="F301" s="37" t="inlineStr">
        <is>
          <t>Verify placement data — randomly call 3–4 alumni placed in the last 3 months to confirm veracity (random selection is essential).</t>
        </is>
      </c>
      <c r="G301" s="37" t="inlineStr">
        <is>
          <t>All is Well</t>
        </is>
      </c>
    </row>
    <row r="302">
      <c r="A302" s="37" t="inlineStr">
        <is>
          <t>Raghavender Rao</t>
        </is>
      </c>
      <c r="B302" s="37" t="inlineStr">
        <is>
          <t>CFRSI-Chandanagar</t>
        </is>
      </c>
      <c r="C302" s="37" t="inlineStr">
        <is>
          <t>CFRSI-Innocation</t>
        </is>
      </c>
      <c r="D302" s="37" t="inlineStr">
        <is>
          <t>2026-07-07</t>
        </is>
      </c>
      <c r="E302" s="37" t="inlineStr">
        <is>
          <t>Data Check</t>
        </is>
      </c>
      <c r="F302" s="37" t="inlineStr">
        <is>
          <t>Verify retention — check the Alumni Hand-holding Format is being updated as designed.</t>
        </is>
      </c>
      <c r="G302" s="37" t="inlineStr">
        <is>
          <t>Not Applicable</t>
        </is>
      </c>
    </row>
    <row r="303">
      <c r="A303" s="37" t="inlineStr">
        <is>
          <t>Raghavender Rao</t>
        </is>
      </c>
      <c r="B303" s="37" t="inlineStr">
        <is>
          <t>CFRSI-Chandanagar</t>
        </is>
      </c>
      <c r="C303" s="37" t="inlineStr">
        <is>
          <t>CFRSI-Innocation</t>
        </is>
      </c>
      <c r="D303" s="37" t="inlineStr">
        <is>
          <t>2026-07-07</t>
        </is>
      </c>
      <c r="E303" s="37" t="inlineStr">
        <is>
          <t>Data Check</t>
        </is>
      </c>
      <c r="F303" s="37" t="inlineStr">
        <is>
          <t>Check aspirant Hostel Forms are properly filled or not.</t>
        </is>
      </c>
      <c r="G303" s="37" t="inlineStr">
        <is>
          <t>All is Well</t>
        </is>
      </c>
    </row>
    <row r="304">
      <c r="A304" s="37" t="inlineStr">
        <is>
          <t>Raghavender Rao</t>
        </is>
      </c>
      <c r="B304" s="37" t="inlineStr">
        <is>
          <t>CFRSI-Chandanagar</t>
        </is>
      </c>
      <c r="C304" s="37" t="inlineStr">
        <is>
          <t>CFRSI-Innocation</t>
        </is>
      </c>
      <c r="D304" s="37" t="inlineStr">
        <is>
          <t>2026-07-07</t>
        </is>
      </c>
      <c r="E304" s="37" t="inlineStr">
        <is>
          <t>Infra Check</t>
        </is>
      </c>
      <c r="F304" s="37" t="inlineStr">
        <is>
          <t>Check all CCTV cameras; if any are not working, ask the AH to troubleshoot or call the vendor.</t>
        </is>
      </c>
      <c r="G304" s="37" t="inlineStr">
        <is>
          <t>All is Well</t>
        </is>
      </c>
    </row>
    <row r="305">
      <c r="A305" s="37" t="inlineStr">
        <is>
          <t>Raghavender Rao</t>
        </is>
      </c>
      <c r="B305" s="37" t="inlineStr">
        <is>
          <t>CFRSI-Chandanagar</t>
        </is>
      </c>
      <c r="C305" s="37" t="inlineStr">
        <is>
          <t>CFRSI-Innocation</t>
        </is>
      </c>
      <c r="D305" s="37" t="inlineStr">
        <is>
          <t>2026-07-07</t>
        </is>
      </c>
      <c r="E305" s="37" t="inlineStr">
        <is>
          <t>Infra Check</t>
        </is>
      </c>
      <c r="F305" s="37" t="inlineStr">
        <is>
          <t>Check for any scrap material and get it cleared, with support of Admin</t>
        </is>
      </c>
      <c r="G305" s="37" t="inlineStr">
        <is>
          <t>Not Applicable</t>
        </is>
      </c>
    </row>
    <row r="306">
      <c r="A306" s="37" t="inlineStr">
        <is>
          <t>Raghavender Rao</t>
        </is>
      </c>
      <c r="B306" s="37" t="inlineStr">
        <is>
          <t>CFRSI-Chandanagar</t>
        </is>
      </c>
      <c r="C306" s="37" t="inlineStr">
        <is>
          <t>CFRSI-Innocation</t>
        </is>
      </c>
      <c r="D306" s="37" t="inlineStr">
        <is>
          <t>2026-07-07</t>
        </is>
      </c>
      <c r="E306" s="37" t="inlineStr">
        <is>
          <t>Infra Check</t>
        </is>
      </c>
      <c r="F306" s="37" t="inlineStr">
        <is>
          <t>Check for any pending infra repairs.</t>
        </is>
      </c>
      <c r="G306" s="37" t="inlineStr">
        <is>
          <t>All is Well</t>
        </is>
      </c>
    </row>
    <row r="307">
      <c r="A307" s="37" t="inlineStr">
        <is>
          <t>Raghavender Rao</t>
        </is>
      </c>
      <c r="B307" s="37" t="inlineStr">
        <is>
          <t>CFRSI-Chandanagar</t>
        </is>
      </c>
      <c r="C307" s="37" t="inlineStr">
        <is>
          <t>CFRSI-Innocation</t>
        </is>
      </c>
      <c r="D307" s="37" t="inlineStr">
        <is>
          <t>2026-07-07</t>
        </is>
      </c>
      <c r="E307" s="37" t="inlineStr">
        <is>
          <t>Infra Check</t>
        </is>
      </c>
      <c r="F307" s="37" t="inlineStr">
        <is>
          <t>Check whether any fire extinguishers have expired (check the needle and expiry date both).</t>
        </is>
      </c>
      <c r="G307" s="37" t="inlineStr">
        <is>
          <t>All is Well</t>
        </is>
      </c>
    </row>
    <row r="308">
      <c r="A308" s="37" t="inlineStr">
        <is>
          <t>Raghavender Rao</t>
        </is>
      </c>
      <c r="B308" s="37" t="inlineStr">
        <is>
          <t>CFRSI-Chandanagar</t>
        </is>
      </c>
      <c r="C308" s="37" t="inlineStr">
        <is>
          <t>CFRSI-Innocation</t>
        </is>
      </c>
      <c r="D308" s="37" t="inlineStr">
        <is>
          <t>2026-07-07</t>
        </is>
      </c>
      <c r="E308" s="37" t="inlineStr">
        <is>
          <t>Infra Check</t>
        </is>
      </c>
      <c r="F308" s="37" t="inlineStr">
        <is>
          <t>Check basic cleanliness of the washrooms and the centre.</t>
        </is>
      </c>
      <c r="G308" s="37" t="inlineStr">
        <is>
          <t>All is Well</t>
        </is>
      </c>
    </row>
    <row r="309">
      <c r="A309" s="37" t="inlineStr">
        <is>
          <t>Raghavender Rao</t>
        </is>
      </c>
      <c r="B309" s="37" t="inlineStr">
        <is>
          <t>CFRSI-Chandanagar</t>
        </is>
      </c>
      <c r="C309" s="37" t="inlineStr">
        <is>
          <t>CFRSI-Innocation</t>
        </is>
      </c>
      <c r="D309" s="37" t="inlineStr">
        <is>
          <t>2026-07-07</t>
        </is>
      </c>
      <c r="E309" s="37" t="inlineStr">
        <is>
          <t>Infra Check</t>
        </is>
      </c>
      <c r="F309" s="37" t="inlineStr">
        <is>
          <t>Confirm the correct program and partner logos are displayed.</t>
        </is>
      </c>
      <c r="G309" s="37" t="inlineStr">
        <is>
          <t>All is Well</t>
        </is>
      </c>
    </row>
    <row r="310">
      <c r="A310" s="37" t="inlineStr">
        <is>
          <t>Raghavender Rao</t>
        </is>
      </c>
      <c r="B310" s="37" t="inlineStr">
        <is>
          <t>CFRSI-Chandanagar</t>
        </is>
      </c>
      <c r="C310" s="37" t="inlineStr">
        <is>
          <t>CFRSI-Innocation</t>
        </is>
      </c>
      <c r="D310" s="37" t="inlineStr">
        <is>
          <t>2026-07-07</t>
        </is>
      </c>
      <c r="E310" s="37" t="inlineStr">
        <is>
          <t>Infra Check</t>
        </is>
      </c>
      <c r="F310" s="37" t="inlineStr">
        <is>
          <t>Check the status of digital infra — PCs, smartboards, tablets, laptops, etc.</t>
        </is>
      </c>
      <c r="G310" s="37" t="inlineStr">
        <is>
          <t>All is Well</t>
        </is>
      </c>
    </row>
    <row r="311">
      <c r="A311" s="37" t="inlineStr">
        <is>
          <t>Raghavender Rao</t>
        </is>
      </c>
      <c r="B311" s="37" t="inlineStr">
        <is>
          <t>CFRSI-Chandanagar</t>
        </is>
      </c>
      <c r="C311" s="37" t="inlineStr">
        <is>
          <t>CFRSI-Innocation</t>
        </is>
      </c>
      <c r="D311" s="37" t="inlineStr">
        <is>
          <t>2026-07-07</t>
        </is>
      </c>
      <c r="E311" s="37" t="inlineStr">
        <is>
          <t>Infra Check</t>
        </is>
      </c>
      <c r="F311" s="37" t="inlineStr">
        <is>
          <t>Make a quick hostel visit; have lunch there if possible to test the food quality.</t>
        </is>
      </c>
      <c r="G311" s="37" t="inlineStr">
        <is>
          <t>All is Well</t>
        </is>
      </c>
    </row>
    <row r="312">
      <c r="A312" s="37" t="inlineStr">
        <is>
          <t>Raghavender Rao</t>
        </is>
      </c>
      <c r="B312" s="37" t="inlineStr">
        <is>
          <t>CFRSI-Chandanagar</t>
        </is>
      </c>
      <c r="C312" s="37" t="inlineStr">
        <is>
          <t>CFRSI-Innocation</t>
        </is>
      </c>
      <c r="D312" s="37" t="inlineStr">
        <is>
          <t>2026-07-07</t>
        </is>
      </c>
      <c r="E312" s="37" t="inlineStr">
        <is>
          <t>Process Check</t>
        </is>
      </c>
      <c r="F312" s="37" t="inlineStr">
        <is>
          <t>Refer to the activity planner — check if any activities are delayed.</t>
        </is>
      </c>
      <c r="G312" s="37" t="inlineStr">
        <is>
          <t>All is Well</t>
        </is>
      </c>
    </row>
    <row r="313">
      <c r="A313" s="37" t="inlineStr">
        <is>
          <t>Raghavender Rao</t>
        </is>
      </c>
      <c r="B313" s="37" t="inlineStr">
        <is>
          <t>CFRSI-Chandanagar</t>
        </is>
      </c>
      <c r="C313" s="37" t="inlineStr">
        <is>
          <t>CFRSI-Innocation</t>
        </is>
      </c>
      <c r="D313" s="37" t="inlineStr">
        <is>
          <t>2026-07-07</t>
        </is>
      </c>
      <c r="E313" s="37" t="inlineStr">
        <is>
          <t>Process Check</t>
        </is>
      </c>
      <c r="F313" s="37" t="inlineStr">
        <is>
          <t>Check planning for the next batch-start announcement.</t>
        </is>
      </c>
      <c r="G313" s="37" t="inlineStr">
        <is>
          <t>Need Improvement</t>
        </is>
      </c>
    </row>
    <row r="314">
      <c r="A314" s="37" t="inlineStr">
        <is>
          <t>Raghavender Rao</t>
        </is>
      </c>
      <c r="B314" s="37" t="inlineStr">
        <is>
          <t>CFRSI-Chandanagar</t>
        </is>
      </c>
      <c r="C314" s="37" t="inlineStr">
        <is>
          <t>CFRSI-Innocation</t>
        </is>
      </c>
      <c r="D314" s="37" t="inlineStr">
        <is>
          <t>2026-07-07</t>
        </is>
      </c>
      <c r="E314" s="37" t="inlineStr">
        <is>
          <t>Process Check</t>
        </is>
      </c>
      <c r="F314" s="37" t="inlineStr">
        <is>
          <t>Check if any hiring is delayed and plan a resolution.</t>
        </is>
      </c>
      <c r="G314" s="37" t="inlineStr">
        <is>
          <t>All is Well</t>
        </is>
      </c>
    </row>
    <row r="315">
      <c r="A315" s="37" t="inlineStr">
        <is>
          <t>Raghavender Rao</t>
        </is>
      </c>
      <c r="B315" s="37" t="inlineStr">
        <is>
          <t>CFRSI-Chandanagar</t>
        </is>
      </c>
      <c r="C315" s="37" t="inlineStr">
        <is>
          <t>CFRSI-Innocation</t>
        </is>
      </c>
      <c r="D315" s="37" t="inlineStr">
        <is>
          <t>2026-07-07</t>
        </is>
      </c>
      <c r="E315" s="37" t="inlineStr">
        <is>
          <t>Process Check</t>
        </is>
      </c>
      <c r="F315" s="37" t="inlineStr">
        <is>
          <t>Check the CA’s diary — is CA guided daily by the AH during planning days?</t>
        </is>
      </c>
      <c r="G315" s="37" t="inlineStr">
        <is>
          <t>Need Improvement</t>
        </is>
      </c>
    </row>
    <row r="316">
      <c r="A316" s="37" t="inlineStr">
        <is>
          <t>Raghavender Rao</t>
        </is>
      </c>
      <c r="B316" s="37" t="inlineStr">
        <is>
          <t>CFRSI-Chandanagar</t>
        </is>
      </c>
      <c r="C316" s="37" t="inlineStr">
        <is>
          <t>CFRSI-Innocation</t>
        </is>
      </c>
      <c r="D316" s="37" t="inlineStr">
        <is>
          <t>2026-07-07</t>
        </is>
      </c>
      <c r="E316" s="37" t="inlineStr">
        <is>
          <t>Process Check</t>
        </is>
      </c>
      <c r="F316" s="37" t="inlineStr">
        <is>
          <t>Check the AH is regularly meeting employers (in person and online) and updating the centre’s Top 20 Employer format.</t>
        </is>
      </c>
      <c r="G316" s="37" t="inlineStr">
        <is>
          <t>Need Improvement</t>
        </is>
      </c>
    </row>
    <row r="317">
      <c r="A317" s="37" t="inlineStr">
        <is>
          <t>Raghavender Rao</t>
        </is>
      </c>
      <c r="B317" s="37" t="inlineStr">
        <is>
          <t>CFRSI-Chandanagar</t>
        </is>
      </c>
      <c r="C317" s="37" t="inlineStr">
        <is>
          <t>CFRSI-Innocation</t>
        </is>
      </c>
      <c r="D317" s="37" t="inlineStr">
        <is>
          <t>2026-07-07</t>
        </is>
      </c>
      <c r="E317" s="37" t="inlineStr">
        <is>
          <t>Process Check</t>
        </is>
      </c>
      <c r="F317" s="37" t="inlineStr">
        <is>
          <t>Confirm all new employers are registered on portal as per new process.</t>
        </is>
      </c>
      <c r="G317" s="37" t="inlineStr">
        <is>
          <t>Need Improvement</t>
        </is>
      </c>
    </row>
    <row r="318">
      <c r="A318" s="37" t="inlineStr">
        <is>
          <t>Raghavender Rao</t>
        </is>
      </c>
      <c r="B318" s="37" t="inlineStr">
        <is>
          <t>CFRSI-Chandanagar</t>
        </is>
      </c>
      <c r="C318" s="37" t="inlineStr">
        <is>
          <t>CFRSI-Innocation</t>
        </is>
      </c>
      <c r="D318" s="37" t="inlineStr">
        <is>
          <t>2026-07-07</t>
        </is>
      </c>
      <c r="E318" s="37" t="inlineStr">
        <is>
          <t>Process Check</t>
        </is>
      </c>
      <c r="F318" s="37" t="inlineStr">
        <is>
          <t>Confirm 100% of enrolled students undergone screening (for technical courses).</t>
        </is>
      </c>
      <c r="G318" s="37" t="inlineStr">
        <is>
          <t>All is Well</t>
        </is>
      </c>
    </row>
    <row r="319">
      <c r="A319" s="37" t="inlineStr">
        <is>
          <t>Raghavender Rao</t>
        </is>
      </c>
      <c r="B319" s="37" t="inlineStr">
        <is>
          <t>CFRSI-Chandanagar</t>
        </is>
      </c>
      <c r="C319" s="37" t="inlineStr">
        <is>
          <t>CFRSI-Innocation</t>
        </is>
      </c>
      <c r="D319" s="37" t="inlineStr">
        <is>
          <t>2026-07-07</t>
        </is>
      </c>
      <c r="E319" s="37" t="inlineStr">
        <is>
          <t>Process Check</t>
        </is>
      </c>
      <c r="F319" s="37" t="inlineStr">
        <is>
          <t>Confirm ESA is done (in GROW full ESA and in Technical courses relevant sections of Core Employability Part).</t>
        </is>
      </c>
      <c r="G319" s="37" t="inlineStr">
        <is>
          <t>All is Well</t>
        </is>
      </c>
    </row>
    <row r="320">
      <c r="A320" s="37" t="inlineStr">
        <is>
          <t>Raghavender Rao</t>
        </is>
      </c>
      <c r="B320" s="37" t="inlineStr">
        <is>
          <t>CFRSI-Chandanagar</t>
        </is>
      </c>
      <c r="C320" s="37" t="inlineStr">
        <is>
          <t>CFRSI-Innocation</t>
        </is>
      </c>
      <c r="D320" s="37" t="inlineStr">
        <is>
          <t>2026-07-07</t>
        </is>
      </c>
      <c r="E320" s="37" t="inlineStr">
        <is>
          <t>Process Check</t>
        </is>
      </c>
      <c r="F320" s="37" t="inlineStr">
        <is>
          <t>Check is AH giving capstone project in GROW Tech.</t>
        </is>
      </c>
      <c r="G320" s="37" t="inlineStr">
        <is>
          <t>Not Applicable</t>
        </is>
      </c>
    </row>
    <row r="321">
      <c r="A321" s="37" t="inlineStr">
        <is>
          <t>Raghavender Rao</t>
        </is>
      </c>
      <c r="B321" s="37" t="inlineStr">
        <is>
          <t>CFRSI-Chandanagar</t>
        </is>
      </c>
      <c r="C321" s="37" t="inlineStr">
        <is>
          <t>CFRSI-Innocation</t>
        </is>
      </c>
      <c r="D321" s="37" t="inlineStr">
        <is>
          <t>2026-07-07</t>
        </is>
      </c>
      <c r="E321" s="37" t="inlineStr">
        <is>
          <t>Process Check</t>
        </is>
      </c>
      <c r="F321" s="37" t="inlineStr">
        <is>
          <t>Check is AH planning OJT as per guidelines and proofs are collected for technical courses.</t>
        </is>
      </c>
      <c r="G321" s="37" t="inlineStr">
        <is>
          <t>All is Well</t>
        </is>
      </c>
    </row>
    <row r="322">
      <c r="A322" s="37" t="inlineStr">
        <is>
          <t>Raghavender Rao</t>
        </is>
      </c>
      <c r="B322" s="37" t="inlineStr">
        <is>
          <t>CFRSI-Chandanagar</t>
        </is>
      </c>
      <c r="C322" s="37" t="inlineStr">
        <is>
          <t>CFRSI-Innocation</t>
        </is>
      </c>
      <c r="D322" s="37" t="inlineStr">
        <is>
          <t>2026-07-07</t>
        </is>
      </c>
      <c r="E322" s="37" t="inlineStr">
        <is>
          <t>Process Check</t>
        </is>
      </c>
      <c r="F322" s="37" t="inlineStr">
        <is>
          <t>Check are trainers contacting aspirants to find reason for their absenteeism of more than 1 day.</t>
        </is>
      </c>
      <c r="G322" s="37" t="inlineStr">
        <is>
          <t>All is Well</t>
        </is>
      </c>
    </row>
    <row r="323">
      <c r="A323" s="37" t="inlineStr">
        <is>
          <t>Raghavender Rao</t>
        </is>
      </c>
      <c r="B323" s="37" t="inlineStr">
        <is>
          <t>CFRSI-Chandanagar</t>
        </is>
      </c>
      <c r="C323" s="37" t="inlineStr">
        <is>
          <t>CFRSI-Innocation</t>
        </is>
      </c>
      <c r="D323" s="37" t="inlineStr">
        <is>
          <t>2026-07-07</t>
        </is>
      </c>
      <c r="E323" s="37" t="inlineStr">
        <is>
          <t>Process Check</t>
        </is>
      </c>
      <c r="F323" s="37" t="inlineStr">
        <is>
          <t>Check the AH plans monthly enrolment and placement numbers by the 3rd of each month and shares them with second level managers.</t>
        </is>
      </c>
      <c r="G323" s="37" t="inlineStr">
        <is>
          <t>Need Improvement</t>
        </is>
      </c>
    </row>
    <row r="324">
      <c r="A324" s="37" t="inlineStr">
        <is>
          <t>Raghavender Rao</t>
        </is>
      </c>
      <c r="B324" s="37" t="inlineStr">
        <is>
          <t>CFRSI-Chandanagar</t>
        </is>
      </c>
      <c r="C324" s="37" t="inlineStr">
        <is>
          <t>CFRSI-Innocation</t>
        </is>
      </c>
      <c r="D324" s="37" t="inlineStr">
        <is>
          <t>2026-07-07</t>
        </is>
      </c>
      <c r="E324" s="37" t="inlineStr">
        <is>
          <t>Process Check</t>
        </is>
      </c>
      <c r="F324" s="37" t="inlineStr">
        <is>
          <t>Check trainers submit aspirants’ placement interest areas to the AH by the batch’s 25th day (in GROW).</t>
        </is>
      </c>
      <c r="G324" s="37" t="inlineStr">
        <is>
          <t>Not Applicable</t>
        </is>
      </c>
    </row>
    <row r="325">
      <c r="A325" s="37" t="inlineStr">
        <is>
          <t>Raghavender Rao</t>
        </is>
      </c>
      <c r="B325" s="37" t="inlineStr">
        <is>
          <t>CFRSI-Chandanagar</t>
        </is>
      </c>
      <c r="C325" s="37" t="inlineStr">
        <is>
          <t>CFRSI-Innocation</t>
        </is>
      </c>
      <c r="D325" s="37" t="inlineStr">
        <is>
          <t>2026-07-07</t>
        </is>
      </c>
      <c r="E325" s="37" t="inlineStr">
        <is>
          <t>Process Check</t>
        </is>
      </c>
      <c r="F325" s="37" t="inlineStr">
        <is>
          <t>Ckeck For technical programs, placement is done only in technical jobs,on which aspirants are trained and relevant emplyers are identified by 45th day.</t>
        </is>
      </c>
      <c r="G325" s="37" t="inlineStr">
        <is>
          <t>All is Well</t>
        </is>
      </c>
    </row>
    <row r="326">
      <c r="A326" s="37" t="inlineStr">
        <is>
          <t>Raghavender Rao</t>
        </is>
      </c>
      <c r="B326" s="37" t="inlineStr">
        <is>
          <t>CFRSI-Chandanagar</t>
        </is>
      </c>
      <c r="C326" s="37" t="inlineStr">
        <is>
          <t>CFRSI-Innocation</t>
        </is>
      </c>
      <c r="D326" s="37" t="inlineStr">
        <is>
          <t>2026-07-07</t>
        </is>
      </c>
      <c r="E326" s="37" t="inlineStr">
        <is>
          <t>Process Check</t>
        </is>
      </c>
      <c r="F326" s="37" t="inlineStr">
        <is>
          <t>Check the AH follows EP guidelines and minimum benchmark salary guidelines.</t>
        </is>
      </c>
      <c r="G326" s="37" t="inlineStr">
        <is>
          <t>All is Well</t>
        </is>
      </c>
    </row>
    <row r="327">
      <c r="A327" s="37" t="inlineStr">
        <is>
          <t>Raghavender Rao</t>
        </is>
      </c>
      <c r="B327" s="37" t="inlineStr">
        <is>
          <t>CFRSI-Chandanagar</t>
        </is>
      </c>
      <c r="C327" s="37" t="inlineStr">
        <is>
          <t>CFRSI-Innocation</t>
        </is>
      </c>
      <c r="D327" s="37" t="inlineStr">
        <is>
          <t>2026-07-07</t>
        </is>
      </c>
      <c r="E327" s="37" t="inlineStr">
        <is>
          <t>Process Check</t>
        </is>
      </c>
      <c r="F327" s="37" t="inlineStr">
        <is>
          <t>Check that AH is enrolling only the right traget group in the program -as per the defined target.</t>
        </is>
      </c>
      <c r="G327" s="37" t="inlineStr">
        <is>
          <t>All is Well</t>
        </is>
      </c>
    </row>
    <row r="328">
      <c r="A328" s="37" t="inlineStr">
        <is>
          <t>Raghavender Rao</t>
        </is>
      </c>
      <c r="B328" s="37" t="inlineStr">
        <is>
          <t>CFRSI-Chandanagar</t>
        </is>
      </c>
      <c r="C328" s="37" t="inlineStr">
        <is>
          <t>CFRSI-Innocation</t>
        </is>
      </c>
      <c r="D328" s="37" t="inlineStr">
        <is>
          <t>2026-07-07</t>
        </is>
      </c>
      <c r="E328" s="37" t="inlineStr">
        <is>
          <t>Process Check</t>
        </is>
      </c>
      <c r="F328" s="37" t="inlineStr">
        <is>
          <t>Check the AH announces the next batch-start date by the 3rd of the month on all notice boards — focus on Zero-Day start.</t>
        </is>
      </c>
      <c r="G328" s="37" t="inlineStr">
        <is>
          <t>Need Improvement</t>
        </is>
      </c>
    </row>
    <row r="329">
      <c r="A329" s="37" t="inlineStr">
        <is>
          <t>Raghavender Rao</t>
        </is>
      </c>
      <c r="B329" s="37" t="inlineStr">
        <is>
          <t>CFRSI-Chandanagar</t>
        </is>
      </c>
      <c r="C329" s="37" t="inlineStr">
        <is>
          <t>CFRSI-Innocation</t>
        </is>
      </c>
      <c r="D329" s="37" t="inlineStr">
        <is>
          <t>2026-07-07</t>
        </is>
      </c>
      <c r="E329" s="37" t="inlineStr">
        <is>
          <t>Process Check</t>
        </is>
      </c>
      <c r="F329" s="37" t="inlineStr">
        <is>
          <t>Check the Aspirant Mock Interview Score Tracker is updated after every mock interview in the L&amp;D Google Sheet.</t>
        </is>
      </c>
      <c r="G329" s="37" t="inlineStr">
        <is>
          <t>Need Improvement</t>
        </is>
      </c>
    </row>
    <row r="330">
      <c r="A330" s="37" t="inlineStr">
        <is>
          <t>Raghavender Rao</t>
        </is>
      </c>
      <c r="B330" s="37" t="inlineStr">
        <is>
          <t>CFRSI-Chandanagar</t>
        </is>
      </c>
      <c r="C330" s="37" t="inlineStr">
        <is>
          <t>CFRSI-Innocation</t>
        </is>
      </c>
      <c r="D330" s="37" t="inlineStr">
        <is>
          <t>2026-07-07</t>
        </is>
      </c>
      <c r="E330" s="37" t="inlineStr">
        <is>
          <t>Process Check</t>
        </is>
      </c>
      <c r="F330" s="37" t="inlineStr">
        <is>
          <t>Confirm NPS (Net Promoter Score) is collected at MSDF centres.</t>
        </is>
      </c>
      <c r="G330" s="37" t="inlineStr">
        <is>
          <t>Not Applicable</t>
        </is>
      </c>
    </row>
    <row r="331">
      <c r="A331" s="37" t="inlineStr">
        <is>
          <t>Raghavender Rao</t>
        </is>
      </c>
      <c r="B331" s="37" t="inlineStr">
        <is>
          <t>CFRSI-Chandanagar</t>
        </is>
      </c>
      <c r="C331" s="37" t="inlineStr">
        <is>
          <t>CFRSI-Innocation</t>
        </is>
      </c>
      <c r="D331" s="37" t="inlineStr">
        <is>
          <t>2026-07-07</t>
        </is>
      </c>
      <c r="E331" s="37" t="inlineStr">
        <is>
          <t>Process Check</t>
        </is>
      </c>
      <c r="F331" s="37" t="inlineStr">
        <is>
          <t>Confirm that QAE is collecting student feedback for every batch.</t>
        </is>
      </c>
      <c r="G331" s="37" t="inlineStr">
        <is>
          <t>All is Well</t>
        </is>
      </c>
    </row>
    <row r="332">
      <c r="A332" s="37" t="inlineStr">
        <is>
          <t>Raghavender Rao</t>
        </is>
      </c>
      <c r="B332" s="37" t="inlineStr">
        <is>
          <t>CFRSI-Chandanagar</t>
        </is>
      </c>
      <c r="C332" s="37" t="inlineStr">
        <is>
          <t>CFRSI-Innocation</t>
        </is>
      </c>
      <c r="D332" s="37" t="inlineStr">
        <is>
          <t>2026-07-07</t>
        </is>
      </c>
      <c r="E332" s="37" t="inlineStr">
        <is>
          <t>Process Check</t>
        </is>
      </c>
      <c r="F332" s="37" t="inlineStr">
        <is>
          <t>Confirm all centre teams have completed the GROW Manual Course on Skillfy — ask for achievement certificates.</t>
        </is>
      </c>
      <c r="G332" s="37" t="inlineStr">
        <is>
          <t>All is Well</t>
        </is>
      </c>
    </row>
    <row r="333">
      <c r="A333" s="37" t="inlineStr">
        <is>
          <t>Raghavender Rao</t>
        </is>
      </c>
      <c r="B333" s="37" t="inlineStr">
        <is>
          <t>CFRSI-Chandanagar</t>
        </is>
      </c>
      <c r="C333" s="37" t="inlineStr">
        <is>
          <t>CFRSI-Innocation</t>
        </is>
      </c>
      <c r="D333" s="37" t="inlineStr">
        <is>
          <t>2026-07-07</t>
        </is>
      </c>
      <c r="E333" s="37" t="inlineStr">
        <is>
          <t>Process Check</t>
        </is>
      </c>
      <c r="F333" s="37" t="inlineStr">
        <is>
          <t>Check AH holds a quality weekly team meeting, documents action points in the weekly meeting format, and sends you a photo on WhatsApp.</t>
        </is>
      </c>
      <c r="G333" s="37" t="inlineStr">
        <is>
          <t>All is Well</t>
        </is>
      </c>
    </row>
    <row r="334">
      <c r="A334" s="37" t="inlineStr">
        <is>
          <t>Raghavender Rao</t>
        </is>
      </c>
      <c r="B334" s="37" t="inlineStr">
        <is>
          <t>CFRSI-Chandanagar</t>
        </is>
      </c>
      <c r="C334" s="37" t="inlineStr">
        <is>
          <t>CFRSI-Innocation</t>
        </is>
      </c>
      <c r="D334" s="37" t="inlineStr">
        <is>
          <t>2026-07-07</t>
        </is>
      </c>
      <c r="E334" s="37" t="inlineStr">
        <is>
          <t>Aspirant Interaction</t>
        </is>
      </c>
      <c r="F334" s="37" t="inlineStr">
        <is>
          <t>Ask aspirants about the session plan — confirm training is happening as planned?</t>
        </is>
      </c>
      <c r="G334" s="37" t="inlineStr">
        <is>
          <t>All is Well</t>
        </is>
      </c>
    </row>
    <row r="335">
      <c r="A335" s="37" t="inlineStr">
        <is>
          <t>Raghavender Rao</t>
        </is>
      </c>
      <c r="B335" s="37" t="inlineStr">
        <is>
          <t>CFRSI-Chandanagar</t>
        </is>
      </c>
      <c r="C335" s="37" t="inlineStr">
        <is>
          <t>CFRSI-Innocation</t>
        </is>
      </c>
      <c r="D335" s="37" t="inlineStr">
        <is>
          <t>2026-07-07</t>
        </is>
      </c>
      <c r="E335" s="37" t="inlineStr">
        <is>
          <t>Aspirant Interaction</t>
        </is>
      </c>
      <c r="F335" s="37" t="inlineStr">
        <is>
          <t>Ask about the quality of Core Employability component delivery (technical centres) and who delivers it.</t>
        </is>
      </c>
      <c r="G335" s="37" t="inlineStr">
        <is>
          <t>All is Well</t>
        </is>
      </c>
    </row>
    <row r="336">
      <c r="A336" s="37" t="inlineStr">
        <is>
          <t>Raghavender Rao</t>
        </is>
      </c>
      <c r="B336" s="37" t="inlineStr">
        <is>
          <t>CFRSI-Chandanagar</t>
        </is>
      </c>
      <c r="C336" s="37" t="inlineStr">
        <is>
          <t>CFRSI-Innocation</t>
        </is>
      </c>
      <c r="D336" s="37" t="inlineStr">
        <is>
          <t>2026-07-07</t>
        </is>
      </c>
      <c r="E336" s="37" t="inlineStr">
        <is>
          <t>Aspirant Interaction</t>
        </is>
      </c>
      <c r="F336" s="37" t="inlineStr">
        <is>
          <t>Ask whether they are aware of the referral scheme?</t>
        </is>
      </c>
      <c r="G336" s="37" t="inlineStr">
        <is>
          <t>All is Well</t>
        </is>
      </c>
    </row>
    <row r="337">
      <c r="A337" s="37" t="inlineStr">
        <is>
          <t>Raghavender Rao</t>
        </is>
      </c>
      <c r="B337" s="37" t="inlineStr">
        <is>
          <t>CFRSI-Chandanagar</t>
        </is>
      </c>
      <c r="C337" s="37" t="inlineStr">
        <is>
          <t>CFRSI-Innocation</t>
        </is>
      </c>
      <c r="D337" s="37" t="inlineStr">
        <is>
          <t>2026-07-07</t>
        </is>
      </c>
      <c r="E337" s="37" t="inlineStr">
        <is>
          <t>Aspirant Interaction</t>
        </is>
      </c>
      <c r="F337" s="37" t="inlineStr">
        <is>
          <t>Ask whether the AH explained the importance of the offer letter and sharing it with us once received for reporting purposes?</t>
        </is>
      </c>
      <c r="G337" s="37" t="inlineStr">
        <is>
          <t>All is Well</t>
        </is>
      </c>
    </row>
    <row r="338">
      <c r="A338" s="37" t="inlineStr">
        <is>
          <t>Raghavender Rao</t>
        </is>
      </c>
      <c r="B338" s="37" t="inlineStr">
        <is>
          <t>CFRSI-Chandanagar</t>
        </is>
      </c>
      <c r="C338" s="37" t="inlineStr">
        <is>
          <t>CFRSI-Innocation</t>
        </is>
      </c>
      <c r="D338" s="37" t="inlineStr">
        <is>
          <t>2026-07-07</t>
        </is>
      </c>
      <c r="E338" s="37" t="inlineStr">
        <is>
          <t>Aspirant Interaction</t>
        </is>
      </c>
      <c r="F338" s="37" t="inlineStr">
        <is>
          <t>Ask how many are not interested in jobs — and if so, why they enrolled in the programme?</t>
        </is>
      </c>
      <c r="G338" s="37" t="inlineStr">
        <is>
          <t>All is Well</t>
        </is>
      </c>
    </row>
    <row r="339">
      <c r="A339" s="37" t="inlineStr">
        <is>
          <t>Raghavender Rao</t>
        </is>
      </c>
      <c r="B339" s="37" t="inlineStr">
        <is>
          <t>CFRSI-Chandanagar</t>
        </is>
      </c>
      <c r="C339" s="37" t="inlineStr">
        <is>
          <t>CFRSI-Innocation</t>
        </is>
      </c>
      <c r="D339" s="37" t="inlineStr">
        <is>
          <t>2026-07-07</t>
        </is>
      </c>
      <c r="E339" s="37" t="inlineStr">
        <is>
          <t>Aspirant Interaction</t>
        </is>
      </c>
      <c r="F339" s="37" t="inlineStr">
        <is>
          <t>Ask whether they were told the kind of job they would get during counselling?</t>
        </is>
      </c>
      <c r="G339" s="37" t="inlineStr">
        <is>
          <t>All is Well</t>
        </is>
      </c>
    </row>
    <row r="340">
      <c r="A340" s="37" t="inlineStr">
        <is>
          <t>Raghavender Rao</t>
        </is>
      </c>
      <c r="B340" s="37" t="inlineStr">
        <is>
          <t>CFRSI-Chandanagar</t>
        </is>
      </c>
      <c r="C340" s="37" t="inlineStr">
        <is>
          <t>CFRSI-Innocation</t>
        </is>
      </c>
      <c r="D340" s="37" t="inlineStr">
        <is>
          <t>2026-07-07</t>
        </is>
      </c>
      <c r="E340" s="37" t="inlineStr">
        <is>
          <t>Aspirant Interaction</t>
        </is>
      </c>
      <c r="F340" s="37" t="inlineStr">
        <is>
          <t>Ask whether they have been given LMS access?</t>
        </is>
      </c>
      <c r="G340" s="37" t="inlineStr">
        <is>
          <t>All is Well</t>
        </is>
      </c>
    </row>
    <row r="341">
      <c r="A341" s="37" t="inlineStr">
        <is>
          <t>Raghavender Rao</t>
        </is>
      </c>
      <c r="B341" s="37" t="inlineStr">
        <is>
          <t>CFRSI-Chandanagar</t>
        </is>
      </c>
      <c r="C341" s="37" t="inlineStr">
        <is>
          <t>CFRSI-Innocation</t>
        </is>
      </c>
      <c r="D341" s="37" t="inlineStr">
        <is>
          <t>2026-07-07</t>
        </is>
      </c>
      <c r="E341" s="37" t="inlineStr">
        <is>
          <t>Aspirant Interaction</t>
        </is>
      </c>
      <c r="F341" s="37" t="inlineStr">
        <is>
          <t>Ask whether anyone asked them for money for training or placement?</t>
        </is>
      </c>
      <c r="G341" s="37" t="inlineStr">
        <is>
          <t>All is Well</t>
        </is>
      </c>
    </row>
    <row r="342">
      <c r="A342" s="37" t="inlineStr">
        <is>
          <t>Raghavender Rao</t>
        </is>
      </c>
      <c r="B342" s="37" t="inlineStr">
        <is>
          <t>CFRSI-Chandanagar</t>
        </is>
      </c>
      <c r="C342" s="37" t="inlineStr">
        <is>
          <t>CFRSI-Innocation</t>
        </is>
      </c>
      <c r="D342" s="37" t="inlineStr">
        <is>
          <t>2026-07-07</t>
        </is>
      </c>
      <c r="E342" s="37" t="inlineStr">
        <is>
          <t>Aspirant Interaction</t>
        </is>
      </c>
      <c r="F342" s="37" t="inlineStr">
        <is>
          <t>Ask to show their mobile phones — are they enrolled on Skillfy? If not, get them enrolled and give written feedback to trainers and the AH in your presence.</t>
        </is>
      </c>
      <c r="G342" s="37" t="inlineStr">
        <is>
          <t>All is Well</t>
        </is>
      </c>
    </row>
    <row r="343">
      <c r="A343" s="37" t="inlineStr">
        <is>
          <t>Raghavender Rao</t>
        </is>
      </c>
      <c r="B343" s="37" t="inlineStr">
        <is>
          <t>CFRSI-Chandanagar</t>
        </is>
      </c>
      <c r="C343" s="37" t="inlineStr">
        <is>
          <t>CFRSI-Innocation</t>
        </is>
      </c>
      <c r="D343" s="37" t="inlineStr">
        <is>
          <t>2026-07-07</t>
        </is>
      </c>
      <c r="E343" s="37" t="inlineStr">
        <is>
          <t>Aspirant Interaction</t>
        </is>
      </c>
      <c r="F343" s="37" t="inlineStr">
        <is>
          <t>Ask about the quality of the hostel and any issues they face.</t>
        </is>
      </c>
      <c r="G343" s="37" t="inlineStr">
        <is>
          <t>All is Well</t>
        </is>
      </c>
    </row>
    <row r="344">
      <c r="A344" s="37" t="inlineStr">
        <is>
          <t>Raghavender Rao</t>
        </is>
      </c>
      <c r="B344" s="37" t="inlineStr">
        <is>
          <t>CFRSI-Chandanagar</t>
        </is>
      </c>
      <c r="C344" s="37" t="inlineStr">
        <is>
          <t>CFRSI-Innocation</t>
        </is>
      </c>
      <c r="D344" s="37" t="inlineStr">
        <is>
          <t>2026-07-07</t>
        </is>
      </c>
      <c r="E344" s="37" t="inlineStr">
        <is>
          <t>Aspirant Interaction</t>
        </is>
      </c>
      <c r="F344" s="37" t="inlineStr">
        <is>
          <t>Ask a few relevant screening questions to support the 10th-day report and remove non-serious candidates, explaining to them the reasons.</t>
        </is>
      </c>
      <c r="G344" s="37" t="inlineStr">
        <is>
          <t>All is Well</t>
        </is>
      </c>
    </row>
    <row r="345">
      <c r="A345" s="37" t="inlineStr">
        <is>
          <t>Amit Chakraborty</t>
        </is>
      </c>
      <c r="B345" s="37" t="inlineStr">
        <is>
          <t>Dumdum</t>
        </is>
      </c>
      <c r="C345" s="37" t="inlineStr">
        <is>
          <t>GROW Youth-CITI</t>
        </is>
      </c>
      <c r="D345" s="37" t="inlineStr">
        <is>
          <t>2026-07-08</t>
        </is>
      </c>
      <c r="E345" s="37" t="inlineStr">
        <is>
          <t>Data Check</t>
        </is>
      </c>
      <c r="F345" s="37" t="inlineStr">
        <is>
          <t>Reach the centre on time (unannounced) — confirm the centre opened on time.</t>
        </is>
      </c>
      <c r="G345" s="37" t="inlineStr">
        <is>
          <t>All is Well</t>
        </is>
      </c>
    </row>
    <row r="346">
      <c r="A346" s="37" t="inlineStr">
        <is>
          <t>Amit Chakraborty</t>
        </is>
      </c>
      <c r="B346" s="37" t="inlineStr">
        <is>
          <t>Dumdum</t>
        </is>
      </c>
      <c r="C346" s="37" t="inlineStr">
        <is>
          <t>GROW Youth-CITI</t>
        </is>
      </c>
      <c r="D346" s="37" t="inlineStr">
        <is>
          <t>2026-07-08</t>
        </is>
      </c>
      <c r="E346" s="37" t="inlineStr">
        <is>
          <t>Data Check</t>
        </is>
      </c>
      <c r="F346" s="37" t="inlineStr">
        <is>
          <t>Check the staff attendance register, the Google Sheet, and geo-tagged photos for aspirants.</t>
        </is>
      </c>
      <c r="G346" s="37" t="inlineStr">
        <is>
          <t>Need Improvement</t>
        </is>
      </c>
    </row>
    <row r="347">
      <c r="A347" s="37" t="inlineStr">
        <is>
          <t>Amit Chakraborty</t>
        </is>
      </c>
      <c r="B347" s="37" t="inlineStr">
        <is>
          <t>Dumdum</t>
        </is>
      </c>
      <c r="C347" s="37" t="inlineStr">
        <is>
          <t>GROW Youth-CITI</t>
        </is>
      </c>
      <c r="D347" s="37" t="inlineStr">
        <is>
          <t>2026-07-08</t>
        </is>
      </c>
      <c r="E347" s="37" t="inlineStr">
        <is>
          <t>Data Check</t>
        </is>
      </c>
      <c r="F347" s="37" t="inlineStr">
        <is>
          <t>Check Counselling and Screening Forms of recently started batches.</t>
        </is>
      </c>
      <c r="G347" s="37" t="inlineStr">
        <is>
          <t>All is Well</t>
        </is>
      </c>
    </row>
    <row r="348">
      <c r="A348" s="37" t="inlineStr">
        <is>
          <t>Amit Chakraborty</t>
        </is>
      </c>
      <c r="B348" s="37" t="inlineStr">
        <is>
          <t>Dumdum</t>
        </is>
      </c>
      <c r="C348" s="37" t="inlineStr">
        <is>
          <t>GROW Youth-CITI</t>
        </is>
      </c>
      <c r="D348" s="37" t="inlineStr">
        <is>
          <t>2026-07-08</t>
        </is>
      </c>
      <c r="E348" s="37" t="inlineStr">
        <is>
          <t>Data Check</t>
        </is>
      </c>
      <c r="F348" s="37" t="inlineStr">
        <is>
          <t>Check Aspirant Registration Forms and related documents.</t>
        </is>
      </c>
      <c r="G348" s="37" t="inlineStr">
        <is>
          <t>All is Well</t>
        </is>
      </c>
    </row>
    <row r="349">
      <c r="A349" s="37" t="inlineStr">
        <is>
          <t>Amit Chakraborty</t>
        </is>
      </c>
      <c r="B349" s="37" t="inlineStr">
        <is>
          <t>Dumdum</t>
        </is>
      </c>
      <c r="C349" s="37" t="inlineStr">
        <is>
          <t>GROW Youth-CITI</t>
        </is>
      </c>
      <c r="D349" s="37" t="inlineStr">
        <is>
          <t>2026-07-08</t>
        </is>
      </c>
      <c r="E349" s="37" t="inlineStr">
        <is>
          <t>Data Check</t>
        </is>
      </c>
      <c r="F349" s="37" t="inlineStr">
        <is>
          <t>On the GROW portal, confirm all student profile details and batch updates are currect.</t>
        </is>
      </c>
      <c r="G349" s="37" t="inlineStr">
        <is>
          <t>All is Well</t>
        </is>
      </c>
    </row>
    <row r="350">
      <c r="A350" s="37" t="inlineStr">
        <is>
          <t>Amit Chakraborty</t>
        </is>
      </c>
      <c r="B350" s="37" t="inlineStr">
        <is>
          <t>Dumdum</t>
        </is>
      </c>
      <c r="C350" s="37" t="inlineStr">
        <is>
          <t>GROW Youth-CITI</t>
        </is>
      </c>
      <c r="D350" s="37" t="inlineStr">
        <is>
          <t>2026-07-08</t>
        </is>
      </c>
      <c r="E350" s="37" t="inlineStr">
        <is>
          <t>Data Check</t>
        </is>
      </c>
      <c r="F350" s="37" t="inlineStr">
        <is>
          <t>Verify placement data — randomly call 3–4 alumni placed in the last 3 months to confirm veracity (random selection is essential).</t>
        </is>
      </c>
      <c r="G350" s="37" t="inlineStr">
        <is>
          <t>All is Well</t>
        </is>
      </c>
    </row>
    <row r="351">
      <c r="A351" s="37" t="inlineStr">
        <is>
          <t>Amit Chakraborty</t>
        </is>
      </c>
      <c r="B351" s="37" t="inlineStr">
        <is>
          <t>Dumdum</t>
        </is>
      </c>
      <c r="C351" s="37" t="inlineStr">
        <is>
          <t>GROW Youth-CITI</t>
        </is>
      </c>
      <c r="D351" s="37" t="inlineStr">
        <is>
          <t>2026-07-08</t>
        </is>
      </c>
      <c r="E351" s="37" t="inlineStr">
        <is>
          <t>Data Check</t>
        </is>
      </c>
      <c r="F351" s="37" t="inlineStr">
        <is>
          <t>Verify retention — check the Alumni Hand-holding Format is being updated as designed.</t>
        </is>
      </c>
      <c r="G351" s="37" t="inlineStr">
        <is>
          <t>All is Well</t>
        </is>
      </c>
    </row>
    <row r="352">
      <c r="A352" s="37" t="inlineStr">
        <is>
          <t>Amit Chakraborty</t>
        </is>
      </c>
      <c r="B352" s="37" t="inlineStr">
        <is>
          <t>Dumdum</t>
        </is>
      </c>
      <c r="C352" s="37" t="inlineStr">
        <is>
          <t>GROW Youth-CITI</t>
        </is>
      </c>
      <c r="D352" s="37" t="inlineStr">
        <is>
          <t>2026-07-08</t>
        </is>
      </c>
      <c r="E352" s="37" t="inlineStr">
        <is>
          <t>Data Check</t>
        </is>
      </c>
      <c r="F352" s="37" t="inlineStr">
        <is>
          <t>Check aspirant Hostel Forms are properly filled or not.</t>
        </is>
      </c>
      <c r="G352" s="37" t="inlineStr">
        <is>
          <t>Not Applicable</t>
        </is>
      </c>
    </row>
    <row r="353">
      <c r="A353" s="37" t="inlineStr">
        <is>
          <t>Amit Chakraborty</t>
        </is>
      </c>
      <c r="B353" s="37" t="inlineStr">
        <is>
          <t>Dumdum</t>
        </is>
      </c>
      <c r="C353" s="37" t="inlineStr">
        <is>
          <t>GROW Youth-CITI</t>
        </is>
      </c>
      <c r="D353" s="37" t="inlineStr">
        <is>
          <t>2026-07-08</t>
        </is>
      </c>
      <c r="E353" s="37" t="inlineStr">
        <is>
          <t>Infra Check</t>
        </is>
      </c>
      <c r="F353" s="37" t="inlineStr">
        <is>
          <t>Check all CCTV cameras; if any are not working, ask the AH to troubleshoot or call the vendor.</t>
        </is>
      </c>
      <c r="G353" s="37" t="inlineStr">
        <is>
          <t>All is Well</t>
        </is>
      </c>
    </row>
    <row r="354">
      <c r="A354" s="37" t="inlineStr">
        <is>
          <t>Amit Chakraborty</t>
        </is>
      </c>
      <c r="B354" s="37" t="inlineStr">
        <is>
          <t>Dumdum</t>
        </is>
      </c>
      <c r="C354" s="37" t="inlineStr">
        <is>
          <t>GROW Youth-CITI</t>
        </is>
      </c>
      <c r="D354" s="37" t="inlineStr">
        <is>
          <t>2026-07-08</t>
        </is>
      </c>
      <c r="E354" s="37" t="inlineStr">
        <is>
          <t>Infra Check</t>
        </is>
      </c>
      <c r="F354" s="37" t="inlineStr">
        <is>
          <t>Check for any scrap material and get it cleared, with support of Admin</t>
        </is>
      </c>
      <c r="G354" s="37" t="inlineStr">
        <is>
          <t>All is Well</t>
        </is>
      </c>
    </row>
    <row r="355">
      <c r="A355" s="37" t="inlineStr">
        <is>
          <t>Amit Chakraborty</t>
        </is>
      </c>
      <c r="B355" s="37" t="inlineStr">
        <is>
          <t>Dumdum</t>
        </is>
      </c>
      <c r="C355" s="37" t="inlineStr">
        <is>
          <t>GROW Youth-CITI</t>
        </is>
      </c>
      <c r="D355" s="37" t="inlineStr">
        <is>
          <t>2026-07-08</t>
        </is>
      </c>
      <c r="E355" s="37" t="inlineStr">
        <is>
          <t>Infra Check</t>
        </is>
      </c>
      <c r="F355" s="37" t="inlineStr">
        <is>
          <t>Check for any pending infra repairs.</t>
        </is>
      </c>
      <c r="G355" s="37" t="inlineStr">
        <is>
          <t>Need Improvement</t>
        </is>
      </c>
    </row>
    <row r="356">
      <c r="A356" s="37" t="inlineStr">
        <is>
          <t>Amit Chakraborty</t>
        </is>
      </c>
      <c r="B356" s="37" t="inlineStr">
        <is>
          <t>Dumdum</t>
        </is>
      </c>
      <c r="C356" s="37" t="inlineStr">
        <is>
          <t>GROW Youth-CITI</t>
        </is>
      </c>
      <c r="D356" s="37" t="inlineStr">
        <is>
          <t>2026-07-08</t>
        </is>
      </c>
      <c r="E356" s="37" t="inlineStr">
        <is>
          <t>Infra Check</t>
        </is>
      </c>
      <c r="F356" s="37" t="inlineStr">
        <is>
          <t>Check whether any fire extinguishers have expired (check the needle and expiry date both).</t>
        </is>
      </c>
      <c r="G356" s="37" t="inlineStr">
        <is>
          <t>All is Well</t>
        </is>
      </c>
    </row>
    <row r="357">
      <c r="A357" s="37" t="inlineStr">
        <is>
          <t>Amit Chakraborty</t>
        </is>
      </c>
      <c r="B357" s="37" t="inlineStr">
        <is>
          <t>Dumdum</t>
        </is>
      </c>
      <c r="C357" s="37" t="inlineStr">
        <is>
          <t>GROW Youth-CITI</t>
        </is>
      </c>
      <c r="D357" s="37" t="inlineStr">
        <is>
          <t>2026-07-08</t>
        </is>
      </c>
      <c r="E357" s="37" t="inlineStr">
        <is>
          <t>Infra Check</t>
        </is>
      </c>
      <c r="F357" s="37" t="inlineStr">
        <is>
          <t>Check basic cleanliness of the washrooms and the centre.</t>
        </is>
      </c>
      <c r="G357" s="37" t="inlineStr">
        <is>
          <t>All is Well</t>
        </is>
      </c>
    </row>
    <row r="358">
      <c r="A358" s="37" t="inlineStr">
        <is>
          <t>Amit Chakraborty</t>
        </is>
      </c>
      <c r="B358" s="37" t="inlineStr">
        <is>
          <t>Dumdum</t>
        </is>
      </c>
      <c r="C358" s="37" t="inlineStr">
        <is>
          <t>GROW Youth-CITI</t>
        </is>
      </c>
      <c r="D358" s="37" t="inlineStr">
        <is>
          <t>2026-07-08</t>
        </is>
      </c>
      <c r="E358" s="37" t="inlineStr">
        <is>
          <t>Infra Check</t>
        </is>
      </c>
      <c r="F358" s="37" t="inlineStr">
        <is>
          <t>Confirm the correct program and partner logos are displayed.</t>
        </is>
      </c>
      <c r="G358" s="37" t="inlineStr">
        <is>
          <t>All is Well</t>
        </is>
      </c>
    </row>
    <row r="359">
      <c r="A359" s="37" t="inlineStr">
        <is>
          <t>Amit Chakraborty</t>
        </is>
      </c>
      <c r="B359" s="37" t="inlineStr">
        <is>
          <t>Dumdum</t>
        </is>
      </c>
      <c r="C359" s="37" t="inlineStr">
        <is>
          <t>GROW Youth-CITI</t>
        </is>
      </c>
      <c r="D359" s="37" t="inlineStr">
        <is>
          <t>2026-07-08</t>
        </is>
      </c>
      <c r="E359" s="37" t="inlineStr">
        <is>
          <t>Infra Check</t>
        </is>
      </c>
      <c r="F359" s="37" t="inlineStr">
        <is>
          <t>Check the status of digital infra — PCs, smartboards, tablets, laptops, etc.</t>
        </is>
      </c>
      <c r="G359" s="37" t="inlineStr">
        <is>
          <t>Need Improvement</t>
        </is>
      </c>
    </row>
    <row r="360">
      <c r="A360" s="37" t="inlineStr">
        <is>
          <t>Amit Chakraborty</t>
        </is>
      </c>
      <c r="B360" s="37" t="inlineStr">
        <is>
          <t>Dumdum</t>
        </is>
      </c>
      <c r="C360" s="37" t="inlineStr">
        <is>
          <t>GROW Youth-CITI</t>
        </is>
      </c>
      <c r="D360" s="37" t="inlineStr">
        <is>
          <t>2026-07-08</t>
        </is>
      </c>
      <c r="E360" s="37" t="inlineStr">
        <is>
          <t>Infra Check</t>
        </is>
      </c>
      <c r="F360" s="37" t="inlineStr">
        <is>
          <t>Make a quick hostel visit; have lunch there if possible to test the food quality.</t>
        </is>
      </c>
      <c r="G360" s="37" t="inlineStr">
        <is>
          <t>Not Applicable</t>
        </is>
      </c>
    </row>
    <row r="361">
      <c r="A361" s="37" t="inlineStr">
        <is>
          <t>Amit Chakraborty</t>
        </is>
      </c>
      <c r="B361" s="37" t="inlineStr">
        <is>
          <t>Dumdum</t>
        </is>
      </c>
      <c r="C361" s="37" t="inlineStr">
        <is>
          <t>GROW Youth-CITI</t>
        </is>
      </c>
      <c r="D361" s="37" t="inlineStr">
        <is>
          <t>2026-07-08</t>
        </is>
      </c>
      <c r="E361" s="37" t="inlineStr">
        <is>
          <t>Process Check</t>
        </is>
      </c>
      <c r="F361" s="37" t="inlineStr">
        <is>
          <t>Refer to the activity planner — check if any activities are delayed.</t>
        </is>
      </c>
      <c r="G361" s="37" t="inlineStr">
        <is>
          <t>All is Well</t>
        </is>
      </c>
    </row>
    <row r="362">
      <c r="A362" s="37" t="inlineStr">
        <is>
          <t>Amit Chakraborty</t>
        </is>
      </c>
      <c r="B362" s="37" t="inlineStr">
        <is>
          <t>Dumdum</t>
        </is>
      </c>
      <c r="C362" s="37" t="inlineStr">
        <is>
          <t>GROW Youth-CITI</t>
        </is>
      </c>
      <c r="D362" s="37" t="inlineStr">
        <is>
          <t>2026-07-08</t>
        </is>
      </c>
      <c r="E362" s="37" t="inlineStr">
        <is>
          <t>Process Check</t>
        </is>
      </c>
      <c r="F362" s="37" t="inlineStr">
        <is>
          <t>Check planning for the next batch-start announcement.</t>
        </is>
      </c>
      <c r="G362" s="37" t="inlineStr">
        <is>
          <t>All is Well</t>
        </is>
      </c>
    </row>
    <row r="363">
      <c r="A363" s="37" t="inlineStr">
        <is>
          <t>Amit Chakraborty</t>
        </is>
      </c>
      <c r="B363" s="37" t="inlineStr">
        <is>
          <t>Dumdum</t>
        </is>
      </c>
      <c r="C363" s="37" t="inlineStr">
        <is>
          <t>GROW Youth-CITI</t>
        </is>
      </c>
      <c r="D363" s="37" t="inlineStr">
        <is>
          <t>2026-07-08</t>
        </is>
      </c>
      <c r="E363" s="37" t="inlineStr">
        <is>
          <t>Process Check</t>
        </is>
      </c>
      <c r="F363" s="37" t="inlineStr">
        <is>
          <t>Check if any hiring is delayed and plan a resolution.</t>
        </is>
      </c>
      <c r="G363" s="37" t="inlineStr">
        <is>
          <t>All is Well</t>
        </is>
      </c>
    </row>
    <row r="364">
      <c r="A364" s="37" t="inlineStr">
        <is>
          <t>Amit Chakraborty</t>
        </is>
      </c>
      <c r="B364" s="37" t="inlineStr">
        <is>
          <t>Dumdum</t>
        </is>
      </c>
      <c r="C364" s="37" t="inlineStr">
        <is>
          <t>GROW Youth-CITI</t>
        </is>
      </c>
      <c r="D364" s="37" t="inlineStr">
        <is>
          <t>2026-07-08</t>
        </is>
      </c>
      <c r="E364" s="37" t="inlineStr">
        <is>
          <t>Process Check</t>
        </is>
      </c>
      <c r="F364" s="37" t="inlineStr">
        <is>
          <t>Check the CA’s diary — is CA guided daily by the AH during planning days?</t>
        </is>
      </c>
      <c r="G364" s="37" t="inlineStr">
        <is>
          <t>Need Improvement</t>
        </is>
      </c>
    </row>
    <row r="365">
      <c r="A365" s="37" t="inlineStr">
        <is>
          <t>Amit Chakraborty</t>
        </is>
      </c>
      <c r="B365" s="37" t="inlineStr">
        <is>
          <t>Dumdum</t>
        </is>
      </c>
      <c r="C365" s="37" t="inlineStr">
        <is>
          <t>GROW Youth-CITI</t>
        </is>
      </c>
      <c r="D365" s="37" t="inlineStr">
        <is>
          <t>2026-07-08</t>
        </is>
      </c>
      <c r="E365" s="37" t="inlineStr">
        <is>
          <t>Process Check</t>
        </is>
      </c>
      <c r="F365" s="37" t="inlineStr">
        <is>
          <t>Check the AH is regularly meeting employers (in person and online) and updating the centre’s Top 20 Employer format.</t>
        </is>
      </c>
      <c r="G365" s="37" t="inlineStr">
        <is>
          <t>Need Improvement</t>
        </is>
      </c>
    </row>
    <row r="366">
      <c r="A366" s="37" t="inlineStr">
        <is>
          <t>Amit Chakraborty</t>
        </is>
      </c>
      <c r="B366" s="37" t="inlineStr">
        <is>
          <t>Dumdum</t>
        </is>
      </c>
      <c r="C366" s="37" t="inlineStr">
        <is>
          <t>GROW Youth-CITI</t>
        </is>
      </c>
      <c r="D366" s="37" t="inlineStr">
        <is>
          <t>2026-07-08</t>
        </is>
      </c>
      <c r="E366" s="37" t="inlineStr">
        <is>
          <t>Process Check</t>
        </is>
      </c>
      <c r="F366" s="37" t="inlineStr">
        <is>
          <t>Confirm all new employers are registered on portal as per new process.</t>
        </is>
      </c>
      <c r="G366" s="37" t="inlineStr">
        <is>
          <t>All is Well</t>
        </is>
      </c>
    </row>
    <row r="367">
      <c r="A367" s="37" t="inlineStr">
        <is>
          <t>Amit Chakraborty</t>
        </is>
      </c>
      <c r="B367" s="37" t="inlineStr">
        <is>
          <t>Dumdum</t>
        </is>
      </c>
      <c r="C367" s="37" t="inlineStr">
        <is>
          <t>GROW Youth-CITI</t>
        </is>
      </c>
      <c r="D367" s="37" t="inlineStr">
        <is>
          <t>2026-07-08</t>
        </is>
      </c>
      <c r="E367" s="37" t="inlineStr">
        <is>
          <t>Process Check</t>
        </is>
      </c>
      <c r="F367" s="37" t="inlineStr">
        <is>
          <t>Confirm 100% of enrolled students undergone screening (for technical courses).</t>
        </is>
      </c>
      <c r="G367" s="37" t="inlineStr">
        <is>
          <t>Not Applicable</t>
        </is>
      </c>
    </row>
    <row r="368">
      <c r="A368" s="37" t="inlineStr">
        <is>
          <t>Amit Chakraborty</t>
        </is>
      </c>
      <c r="B368" s="37" t="inlineStr">
        <is>
          <t>Dumdum</t>
        </is>
      </c>
      <c r="C368" s="37" t="inlineStr">
        <is>
          <t>GROW Youth-CITI</t>
        </is>
      </c>
      <c r="D368" s="37" t="inlineStr">
        <is>
          <t>2026-07-08</t>
        </is>
      </c>
      <c r="E368" s="37" t="inlineStr">
        <is>
          <t>Process Check</t>
        </is>
      </c>
      <c r="F368" s="37" t="inlineStr">
        <is>
          <t>Confirm ESA is done (in GROW full ESA and in Technical courses relevant sections of Core Employability Part).</t>
        </is>
      </c>
      <c r="G368" s="37" t="inlineStr">
        <is>
          <t>Need Improvement</t>
        </is>
      </c>
    </row>
    <row r="369">
      <c r="A369" s="37" t="inlineStr">
        <is>
          <t>Amit Chakraborty</t>
        </is>
      </c>
      <c r="B369" s="37" t="inlineStr">
        <is>
          <t>Dumdum</t>
        </is>
      </c>
      <c r="C369" s="37" t="inlineStr">
        <is>
          <t>GROW Youth-CITI</t>
        </is>
      </c>
      <c r="D369" s="37" t="inlineStr">
        <is>
          <t>2026-07-08</t>
        </is>
      </c>
      <c r="E369" s="37" t="inlineStr">
        <is>
          <t>Process Check</t>
        </is>
      </c>
      <c r="F369" s="37" t="inlineStr">
        <is>
          <t>Check is AH giving capstone project in GROW Tech.</t>
        </is>
      </c>
      <c r="G369" s="37" t="inlineStr">
        <is>
          <t>Not Applicable</t>
        </is>
      </c>
    </row>
    <row r="370">
      <c r="A370" s="37" t="inlineStr">
        <is>
          <t>Amit Chakraborty</t>
        </is>
      </c>
      <c r="B370" s="37" t="inlineStr">
        <is>
          <t>Dumdum</t>
        </is>
      </c>
      <c r="C370" s="37" t="inlineStr">
        <is>
          <t>GROW Youth-CITI</t>
        </is>
      </c>
      <c r="D370" s="37" t="inlineStr">
        <is>
          <t>2026-07-08</t>
        </is>
      </c>
      <c r="E370" s="37" t="inlineStr">
        <is>
          <t>Process Check</t>
        </is>
      </c>
      <c r="F370" s="37" t="inlineStr">
        <is>
          <t>Check is AH planning OJT as per guidelines and proofs are collected for technical courses.</t>
        </is>
      </c>
      <c r="G370" s="37" t="inlineStr">
        <is>
          <t>Not Applicable</t>
        </is>
      </c>
    </row>
    <row r="371">
      <c r="A371" s="37" t="inlineStr">
        <is>
          <t>Amit Chakraborty</t>
        </is>
      </c>
      <c r="B371" s="37" t="inlineStr">
        <is>
          <t>Dumdum</t>
        </is>
      </c>
      <c r="C371" s="37" t="inlineStr">
        <is>
          <t>GROW Youth-CITI</t>
        </is>
      </c>
      <c r="D371" s="37" t="inlineStr">
        <is>
          <t>2026-07-08</t>
        </is>
      </c>
      <c r="E371" s="37" t="inlineStr">
        <is>
          <t>Process Check</t>
        </is>
      </c>
      <c r="F371" s="37" t="inlineStr">
        <is>
          <t>Check are trainers contacting aspirants to find reason for their absenteeism of more than 1 day.</t>
        </is>
      </c>
      <c r="G371" s="37" t="inlineStr">
        <is>
          <t>All is Well</t>
        </is>
      </c>
    </row>
    <row r="372">
      <c r="A372" s="37" t="inlineStr">
        <is>
          <t>Amit Chakraborty</t>
        </is>
      </c>
      <c r="B372" s="37" t="inlineStr">
        <is>
          <t>Dumdum</t>
        </is>
      </c>
      <c r="C372" s="37" t="inlineStr">
        <is>
          <t>GROW Youth-CITI</t>
        </is>
      </c>
      <c r="D372" s="37" t="inlineStr">
        <is>
          <t>2026-07-08</t>
        </is>
      </c>
      <c r="E372" s="37" t="inlineStr">
        <is>
          <t>Process Check</t>
        </is>
      </c>
      <c r="F372" s="37" t="inlineStr">
        <is>
          <t>Check the AH plans monthly enrolment and placement numbers by the 3rd of each month and shares them with second level managers.</t>
        </is>
      </c>
      <c r="G372" s="37" t="inlineStr">
        <is>
          <t>All is Well</t>
        </is>
      </c>
    </row>
    <row r="373">
      <c r="A373" s="37" t="inlineStr">
        <is>
          <t>Amit Chakraborty</t>
        </is>
      </c>
      <c r="B373" s="37" t="inlineStr">
        <is>
          <t>Dumdum</t>
        </is>
      </c>
      <c r="C373" s="37" t="inlineStr">
        <is>
          <t>GROW Youth-CITI</t>
        </is>
      </c>
      <c r="D373" s="37" t="inlineStr">
        <is>
          <t>2026-07-08</t>
        </is>
      </c>
      <c r="E373" s="37" t="inlineStr">
        <is>
          <t>Process Check</t>
        </is>
      </c>
      <c r="F373" s="37" t="inlineStr">
        <is>
          <t>Check trainers submit aspirants’ placement interest areas to the AH by the batch’s 25th day (in GROW).</t>
        </is>
      </c>
      <c r="G373" s="37" t="inlineStr">
        <is>
          <t>All is Well</t>
        </is>
      </c>
    </row>
    <row r="374">
      <c r="A374" s="37" t="inlineStr">
        <is>
          <t>Amit Chakraborty</t>
        </is>
      </c>
      <c r="B374" s="37" t="inlineStr">
        <is>
          <t>Dumdum</t>
        </is>
      </c>
      <c r="C374" s="37" t="inlineStr">
        <is>
          <t>GROW Youth-CITI</t>
        </is>
      </c>
      <c r="D374" s="37" t="inlineStr">
        <is>
          <t>2026-07-08</t>
        </is>
      </c>
      <c r="E374" s="37" t="inlineStr">
        <is>
          <t>Process Check</t>
        </is>
      </c>
      <c r="F374" s="37" t="inlineStr">
        <is>
          <t>Ckeck For technical programs, placement is done only in technical jobs,on which aspirants are trained and relevant emplyers are identified by 45th day.</t>
        </is>
      </c>
      <c r="G374" s="37" t="inlineStr">
        <is>
          <t>Not Applicable</t>
        </is>
      </c>
    </row>
    <row r="375">
      <c r="A375" s="37" t="inlineStr">
        <is>
          <t>Amit Chakraborty</t>
        </is>
      </c>
      <c r="B375" s="37" t="inlineStr">
        <is>
          <t>Dumdum</t>
        </is>
      </c>
      <c r="C375" s="37" t="inlineStr">
        <is>
          <t>GROW Youth-CITI</t>
        </is>
      </c>
      <c r="D375" s="37" t="inlineStr">
        <is>
          <t>2026-07-08</t>
        </is>
      </c>
      <c r="E375" s="37" t="inlineStr">
        <is>
          <t>Process Check</t>
        </is>
      </c>
      <c r="F375" s="37" t="inlineStr">
        <is>
          <t>Check the AH follows EP guidelines and minimum benchmark salary guidelines.</t>
        </is>
      </c>
      <c r="G375" s="37" t="inlineStr">
        <is>
          <t>All is Well</t>
        </is>
      </c>
    </row>
    <row r="376">
      <c r="A376" s="37" t="inlineStr">
        <is>
          <t>Amit Chakraborty</t>
        </is>
      </c>
      <c r="B376" s="37" t="inlineStr">
        <is>
          <t>Dumdum</t>
        </is>
      </c>
      <c r="C376" s="37" t="inlineStr">
        <is>
          <t>GROW Youth-CITI</t>
        </is>
      </c>
      <c r="D376" s="37" t="inlineStr">
        <is>
          <t>2026-07-08</t>
        </is>
      </c>
      <c r="E376" s="37" t="inlineStr">
        <is>
          <t>Process Check</t>
        </is>
      </c>
      <c r="F376" s="37" t="inlineStr">
        <is>
          <t>Check that AH is enrolling only the right traget group in the program -as per the defined target.</t>
        </is>
      </c>
      <c r="G376" s="37" t="inlineStr">
        <is>
          <t>All is Well</t>
        </is>
      </c>
    </row>
    <row r="377">
      <c r="A377" s="37" t="inlineStr">
        <is>
          <t>Amit Chakraborty</t>
        </is>
      </c>
      <c r="B377" s="37" t="inlineStr">
        <is>
          <t>Dumdum</t>
        </is>
      </c>
      <c r="C377" s="37" t="inlineStr">
        <is>
          <t>GROW Youth-CITI</t>
        </is>
      </c>
      <c r="D377" s="37" t="inlineStr">
        <is>
          <t>2026-07-08</t>
        </is>
      </c>
      <c r="E377" s="37" t="inlineStr">
        <is>
          <t>Process Check</t>
        </is>
      </c>
      <c r="F377" s="37" t="inlineStr">
        <is>
          <t>Check the AH announces the next batch-start date by the 3rd of the month on all notice boards — focus on Zero-Day start.</t>
        </is>
      </c>
      <c r="G377" s="37" t="inlineStr">
        <is>
          <t>All is Well</t>
        </is>
      </c>
    </row>
    <row r="378">
      <c r="A378" s="37" t="inlineStr">
        <is>
          <t>Amit Chakraborty</t>
        </is>
      </c>
      <c r="B378" s="37" t="inlineStr">
        <is>
          <t>Dumdum</t>
        </is>
      </c>
      <c r="C378" s="37" t="inlineStr">
        <is>
          <t>GROW Youth-CITI</t>
        </is>
      </c>
      <c r="D378" s="37" t="inlineStr">
        <is>
          <t>2026-07-08</t>
        </is>
      </c>
      <c r="E378" s="37" t="inlineStr">
        <is>
          <t>Process Check</t>
        </is>
      </c>
      <c r="F378" s="37" t="inlineStr">
        <is>
          <t>Check the Aspirant Mock Interview Score Tracker is updated after every mock interview in the L&amp;D Google Sheet.</t>
        </is>
      </c>
      <c r="G378" s="37" t="inlineStr">
        <is>
          <t>Need Improvement</t>
        </is>
      </c>
    </row>
    <row r="379">
      <c r="A379" s="37" t="inlineStr">
        <is>
          <t>Amit Chakraborty</t>
        </is>
      </c>
      <c r="B379" s="37" t="inlineStr">
        <is>
          <t>Dumdum</t>
        </is>
      </c>
      <c r="C379" s="37" t="inlineStr">
        <is>
          <t>GROW Youth-CITI</t>
        </is>
      </c>
      <c r="D379" s="37" t="inlineStr">
        <is>
          <t>2026-07-08</t>
        </is>
      </c>
      <c r="E379" s="37" t="inlineStr">
        <is>
          <t>Process Check</t>
        </is>
      </c>
      <c r="F379" s="37" t="inlineStr">
        <is>
          <t>Confirm NPS (Net Promoter Score) is collected at MSDF centres.</t>
        </is>
      </c>
      <c r="G379" s="37" t="inlineStr">
        <is>
          <t>Not Applicable</t>
        </is>
      </c>
    </row>
    <row r="380">
      <c r="A380" s="37" t="inlineStr">
        <is>
          <t>Amit Chakraborty</t>
        </is>
      </c>
      <c r="B380" s="37" t="inlineStr">
        <is>
          <t>Dumdum</t>
        </is>
      </c>
      <c r="C380" s="37" t="inlineStr">
        <is>
          <t>GROW Youth-CITI</t>
        </is>
      </c>
      <c r="D380" s="37" t="inlineStr">
        <is>
          <t>2026-07-08</t>
        </is>
      </c>
      <c r="E380" s="37" t="inlineStr">
        <is>
          <t>Process Check</t>
        </is>
      </c>
      <c r="F380" s="37" t="inlineStr">
        <is>
          <t>Confirm that QAE is collecting student feedback for every batch.</t>
        </is>
      </c>
      <c r="G380" s="37" t="inlineStr">
        <is>
          <t>All is Well</t>
        </is>
      </c>
    </row>
    <row r="381">
      <c r="A381" s="37" t="inlineStr">
        <is>
          <t>Amit Chakraborty</t>
        </is>
      </c>
      <c r="B381" s="37" t="inlineStr">
        <is>
          <t>Dumdum</t>
        </is>
      </c>
      <c r="C381" s="37" t="inlineStr">
        <is>
          <t>GROW Youth-CITI</t>
        </is>
      </c>
      <c r="D381" s="37" t="inlineStr">
        <is>
          <t>2026-07-08</t>
        </is>
      </c>
      <c r="E381" s="37" t="inlineStr">
        <is>
          <t>Process Check</t>
        </is>
      </c>
      <c r="F381" s="37" t="inlineStr">
        <is>
          <t>Confirm all centre teams have completed the GROW Manual Course on Skillfy — ask for achievement certificates.</t>
        </is>
      </c>
      <c r="G381" s="37" t="inlineStr">
        <is>
          <t>Need Improvement</t>
        </is>
      </c>
    </row>
    <row r="382">
      <c r="A382" s="37" t="inlineStr">
        <is>
          <t>Amit Chakraborty</t>
        </is>
      </c>
      <c r="B382" s="37" t="inlineStr">
        <is>
          <t>Dumdum</t>
        </is>
      </c>
      <c r="C382" s="37" t="inlineStr">
        <is>
          <t>GROW Youth-CITI</t>
        </is>
      </c>
      <c r="D382" s="37" t="inlineStr">
        <is>
          <t>2026-07-08</t>
        </is>
      </c>
      <c r="E382" s="37" t="inlineStr">
        <is>
          <t>Process Check</t>
        </is>
      </c>
      <c r="F382" s="37" t="inlineStr">
        <is>
          <t>Check AH holds a quality weekly team meeting, documents action points in the weekly meeting format, and sends you a photo on WhatsApp.</t>
        </is>
      </c>
      <c r="G382" s="37" t="inlineStr">
        <is>
          <t>Need Improvement</t>
        </is>
      </c>
    </row>
    <row r="383">
      <c r="A383" s="37" t="inlineStr">
        <is>
          <t>Amit Chakraborty</t>
        </is>
      </c>
      <c r="B383" s="37" t="inlineStr">
        <is>
          <t>Dumdum</t>
        </is>
      </c>
      <c r="C383" s="37" t="inlineStr">
        <is>
          <t>GROW Youth-CITI</t>
        </is>
      </c>
      <c r="D383" s="37" t="inlineStr">
        <is>
          <t>2026-07-08</t>
        </is>
      </c>
      <c r="E383" s="37" t="inlineStr">
        <is>
          <t>Aspirant Interaction</t>
        </is>
      </c>
      <c r="F383" s="37" t="inlineStr">
        <is>
          <t>Ask aspirants about the session plan — confirm training is happening as planned?</t>
        </is>
      </c>
      <c r="G383" s="37" t="inlineStr">
        <is>
          <t>All is Well</t>
        </is>
      </c>
    </row>
    <row r="384">
      <c r="A384" s="37" t="inlineStr">
        <is>
          <t>Amit Chakraborty</t>
        </is>
      </c>
      <c r="B384" s="37" t="inlineStr">
        <is>
          <t>Dumdum</t>
        </is>
      </c>
      <c r="C384" s="37" t="inlineStr">
        <is>
          <t>GROW Youth-CITI</t>
        </is>
      </c>
      <c r="D384" s="37" t="inlineStr">
        <is>
          <t>2026-07-08</t>
        </is>
      </c>
      <c r="E384" s="37" t="inlineStr">
        <is>
          <t>Aspirant Interaction</t>
        </is>
      </c>
      <c r="F384" s="37" t="inlineStr">
        <is>
          <t>Ask about the quality of Core Employability component delivery (technical centres) and who delivers it.</t>
        </is>
      </c>
      <c r="G384" s="37" t="inlineStr">
        <is>
          <t>Not Applicable</t>
        </is>
      </c>
    </row>
    <row r="385">
      <c r="A385" s="37" t="inlineStr">
        <is>
          <t>Amit Chakraborty</t>
        </is>
      </c>
      <c r="B385" s="37" t="inlineStr">
        <is>
          <t>Dumdum</t>
        </is>
      </c>
      <c r="C385" s="37" t="inlineStr">
        <is>
          <t>GROW Youth-CITI</t>
        </is>
      </c>
      <c r="D385" s="37" t="inlineStr">
        <is>
          <t>2026-07-08</t>
        </is>
      </c>
      <c r="E385" s="37" t="inlineStr">
        <is>
          <t>Aspirant Interaction</t>
        </is>
      </c>
      <c r="F385" s="37" t="inlineStr">
        <is>
          <t>Ask whether they are aware of the referral scheme?</t>
        </is>
      </c>
      <c r="G385" s="37" t="inlineStr">
        <is>
          <t>All is Well</t>
        </is>
      </c>
    </row>
    <row r="386">
      <c r="A386" s="37" t="inlineStr">
        <is>
          <t>Amit Chakraborty</t>
        </is>
      </c>
      <c r="B386" s="37" t="inlineStr">
        <is>
          <t>Dumdum</t>
        </is>
      </c>
      <c r="C386" s="37" t="inlineStr">
        <is>
          <t>GROW Youth-CITI</t>
        </is>
      </c>
      <c r="D386" s="37" t="inlineStr">
        <is>
          <t>2026-07-08</t>
        </is>
      </c>
      <c r="E386" s="37" t="inlineStr">
        <is>
          <t>Aspirant Interaction</t>
        </is>
      </c>
      <c r="F386" s="37" t="inlineStr">
        <is>
          <t>Ask whether the AH explained the importance of the offer letter and sharing it with us once received for reporting purposes?</t>
        </is>
      </c>
      <c r="G386" s="37" t="inlineStr">
        <is>
          <t>All is Well</t>
        </is>
      </c>
    </row>
    <row r="387">
      <c r="A387" s="37" t="inlineStr">
        <is>
          <t>Amit Chakraborty</t>
        </is>
      </c>
      <c r="B387" s="37" t="inlineStr">
        <is>
          <t>Dumdum</t>
        </is>
      </c>
      <c r="C387" s="37" t="inlineStr">
        <is>
          <t>GROW Youth-CITI</t>
        </is>
      </c>
      <c r="D387" s="37" t="inlineStr">
        <is>
          <t>2026-07-08</t>
        </is>
      </c>
      <c r="E387" s="37" t="inlineStr">
        <is>
          <t>Aspirant Interaction</t>
        </is>
      </c>
      <c r="F387" s="37" t="inlineStr">
        <is>
          <t>Ask how many are not interested in jobs — and if so, why they enrolled in the programme?</t>
        </is>
      </c>
      <c r="G387" s="37" t="inlineStr">
        <is>
          <t>All is Well</t>
        </is>
      </c>
    </row>
    <row r="388">
      <c r="A388" s="37" t="inlineStr">
        <is>
          <t>Amit Chakraborty</t>
        </is>
      </c>
      <c r="B388" s="37" t="inlineStr">
        <is>
          <t>Dumdum</t>
        </is>
      </c>
      <c r="C388" s="37" t="inlineStr">
        <is>
          <t>GROW Youth-CITI</t>
        </is>
      </c>
      <c r="D388" s="37" t="inlineStr">
        <is>
          <t>2026-07-08</t>
        </is>
      </c>
      <c r="E388" s="37" t="inlineStr">
        <is>
          <t>Aspirant Interaction</t>
        </is>
      </c>
      <c r="F388" s="37" t="inlineStr">
        <is>
          <t>Ask whether they were told the kind of job they would get during counselling?</t>
        </is>
      </c>
      <c r="G388" s="37" t="inlineStr">
        <is>
          <t>All is Well</t>
        </is>
      </c>
    </row>
    <row r="389">
      <c r="A389" s="37" t="inlineStr">
        <is>
          <t>Amit Chakraborty</t>
        </is>
      </c>
      <c r="B389" s="37" t="inlineStr">
        <is>
          <t>Dumdum</t>
        </is>
      </c>
      <c r="C389" s="37" t="inlineStr">
        <is>
          <t>GROW Youth-CITI</t>
        </is>
      </c>
      <c r="D389" s="37" t="inlineStr">
        <is>
          <t>2026-07-08</t>
        </is>
      </c>
      <c r="E389" s="37" t="inlineStr">
        <is>
          <t>Aspirant Interaction</t>
        </is>
      </c>
      <c r="F389" s="37" t="inlineStr">
        <is>
          <t>Ask whether they have been given LMS access?</t>
        </is>
      </c>
      <c r="G389" s="37" t="inlineStr">
        <is>
          <t>All is Well</t>
        </is>
      </c>
    </row>
    <row r="390">
      <c r="A390" s="37" t="inlineStr">
        <is>
          <t>Amit Chakraborty</t>
        </is>
      </c>
      <c r="B390" s="37" t="inlineStr">
        <is>
          <t>Dumdum</t>
        </is>
      </c>
      <c r="C390" s="37" t="inlineStr">
        <is>
          <t>GROW Youth-CITI</t>
        </is>
      </c>
      <c r="D390" s="37" t="inlineStr">
        <is>
          <t>2026-07-08</t>
        </is>
      </c>
      <c r="E390" s="37" t="inlineStr">
        <is>
          <t>Aspirant Interaction</t>
        </is>
      </c>
      <c r="F390" s="37" t="inlineStr">
        <is>
          <t>Ask whether anyone asked them for money for training or placement?</t>
        </is>
      </c>
      <c r="G390" s="37" t="inlineStr">
        <is>
          <t>All is Well</t>
        </is>
      </c>
    </row>
    <row r="391">
      <c r="A391" s="37" t="inlineStr">
        <is>
          <t>Amit Chakraborty</t>
        </is>
      </c>
      <c r="B391" s="37" t="inlineStr">
        <is>
          <t>Dumdum</t>
        </is>
      </c>
      <c r="C391" s="37" t="inlineStr">
        <is>
          <t>GROW Youth-CITI</t>
        </is>
      </c>
      <c r="D391" s="37" t="inlineStr">
        <is>
          <t>2026-07-08</t>
        </is>
      </c>
      <c r="E391" s="37" t="inlineStr">
        <is>
          <t>Aspirant Interaction</t>
        </is>
      </c>
      <c r="F391" s="37" t="inlineStr">
        <is>
          <t>Ask to show their mobile phones — are they enrolled on Skillfy? If not, get them enrolled and give written feedback to trainers and the AH in your presence.</t>
        </is>
      </c>
      <c r="G391" s="37" t="inlineStr">
        <is>
          <t>All is Well</t>
        </is>
      </c>
    </row>
    <row r="392">
      <c r="A392" s="37" t="inlineStr">
        <is>
          <t>Amit Chakraborty</t>
        </is>
      </c>
      <c r="B392" s="37" t="inlineStr">
        <is>
          <t>Dumdum</t>
        </is>
      </c>
      <c r="C392" s="37" t="inlineStr">
        <is>
          <t>GROW Youth-CITI</t>
        </is>
      </c>
      <c r="D392" s="37" t="inlineStr">
        <is>
          <t>2026-07-08</t>
        </is>
      </c>
      <c r="E392" s="37" t="inlineStr">
        <is>
          <t>Aspirant Interaction</t>
        </is>
      </c>
      <c r="F392" s="37" t="inlineStr">
        <is>
          <t>Ask about the quality of the hostel and any issues they face.</t>
        </is>
      </c>
      <c r="G392" s="37" t="inlineStr">
        <is>
          <t>Not Applicable</t>
        </is>
      </c>
    </row>
    <row r="393">
      <c r="A393" s="37" t="inlineStr">
        <is>
          <t>Amit Chakraborty</t>
        </is>
      </c>
      <c r="B393" s="37" t="inlineStr">
        <is>
          <t>Dumdum</t>
        </is>
      </c>
      <c r="C393" s="37" t="inlineStr">
        <is>
          <t>GROW Youth-CITI</t>
        </is>
      </c>
      <c r="D393" s="37" t="inlineStr">
        <is>
          <t>2026-07-08</t>
        </is>
      </c>
      <c r="E393" s="37" t="inlineStr">
        <is>
          <t>Aspirant Interaction</t>
        </is>
      </c>
      <c r="F393" s="37" t="inlineStr">
        <is>
          <t>Ask a few relevant screening questions to support the 10th-day report and remove non-serious candidates, explaining to them the reasons.</t>
        </is>
      </c>
      <c r="G393" s="37" t="inlineStr">
        <is>
          <t>All is Well</t>
        </is>
      </c>
    </row>
    <row r="394">
      <c r="A394" s="37" t="inlineStr">
        <is>
          <t>Mahaboob Basha</t>
        </is>
      </c>
      <c r="B394" s="37" t="inlineStr">
        <is>
          <t>Ambattur</t>
        </is>
      </c>
      <c r="C394" s="37" t="inlineStr">
        <is>
          <t>SCGBS-GROW-GREEN-EV</t>
        </is>
      </c>
      <c r="D394" s="37" t="inlineStr">
        <is>
          <t>2026-07-10</t>
        </is>
      </c>
      <c r="E394" s="37" t="inlineStr">
        <is>
          <t>Data Check</t>
        </is>
      </c>
      <c r="F394" s="37" t="inlineStr">
        <is>
          <t>Reach the centre on time (unannounced) — confirm the centre opened on time.</t>
        </is>
      </c>
      <c r="G394" s="37" t="inlineStr">
        <is>
          <t>All is Well</t>
        </is>
      </c>
    </row>
    <row r="395">
      <c r="A395" s="37" t="inlineStr">
        <is>
          <t>Mahaboob Basha</t>
        </is>
      </c>
      <c r="B395" s="37" t="inlineStr">
        <is>
          <t>Ambattur</t>
        </is>
      </c>
      <c r="C395" s="37" t="inlineStr">
        <is>
          <t>SCGBS-GROW-GREEN-EV</t>
        </is>
      </c>
      <c r="D395" s="37" t="inlineStr">
        <is>
          <t>2026-07-10</t>
        </is>
      </c>
      <c r="E395" s="37" t="inlineStr">
        <is>
          <t>Data Check</t>
        </is>
      </c>
      <c r="F395" s="37" t="inlineStr">
        <is>
          <t>Check the staff attendance register, the Google Sheet, and geo-tagged photos for aspirants.</t>
        </is>
      </c>
      <c r="G395" s="37" t="inlineStr">
        <is>
          <t>All is Well</t>
        </is>
      </c>
    </row>
    <row r="396">
      <c r="A396" s="37" t="inlineStr">
        <is>
          <t>Mahaboob Basha</t>
        </is>
      </c>
      <c r="B396" s="37" t="inlineStr">
        <is>
          <t>Ambattur</t>
        </is>
      </c>
      <c r="C396" s="37" t="inlineStr">
        <is>
          <t>SCGBS-GROW-GREEN-EV</t>
        </is>
      </c>
      <c r="D396" s="37" t="inlineStr">
        <is>
          <t>2026-07-10</t>
        </is>
      </c>
      <c r="E396" s="37" t="inlineStr">
        <is>
          <t>Data Check</t>
        </is>
      </c>
      <c r="F396" s="37" t="inlineStr">
        <is>
          <t>Check Counselling and Screening Forms of recently started batches.</t>
        </is>
      </c>
      <c r="G396" s="37" t="inlineStr">
        <is>
          <t>All is Well</t>
        </is>
      </c>
    </row>
    <row r="397">
      <c r="A397" s="37" t="inlineStr">
        <is>
          <t>Mahaboob Basha</t>
        </is>
      </c>
      <c r="B397" s="37" t="inlineStr">
        <is>
          <t>Ambattur</t>
        </is>
      </c>
      <c r="C397" s="37" t="inlineStr">
        <is>
          <t>SCGBS-GROW-GREEN-EV</t>
        </is>
      </c>
      <c r="D397" s="37" t="inlineStr">
        <is>
          <t>2026-07-10</t>
        </is>
      </c>
      <c r="E397" s="37" t="inlineStr">
        <is>
          <t>Data Check</t>
        </is>
      </c>
      <c r="F397" s="37" t="inlineStr">
        <is>
          <t>Check Aspirant Registration Forms and related documents.</t>
        </is>
      </c>
      <c r="G397" s="37" t="inlineStr">
        <is>
          <t>All is Well</t>
        </is>
      </c>
    </row>
    <row r="398">
      <c r="A398" s="37" t="inlineStr">
        <is>
          <t>Mahaboob Basha</t>
        </is>
      </c>
      <c r="B398" s="37" t="inlineStr">
        <is>
          <t>Ambattur</t>
        </is>
      </c>
      <c r="C398" s="37" t="inlineStr">
        <is>
          <t>SCGBS-GROW-GREEN-EV</t>
        </is>
      </c>
      <c r="D398" s="37" t="inlineStr">
        <is>
          <t>2026-07-10</t>
        </is>
      </c>
      <c r="E398" s="37" t="inlineStr">
        <is>
          <t>Data Check</t>
        </is>
      </c>
      <c r="F398" s="37" t="inlineStr">
        <is>
          <t>On the GROW portal, confirm all student profile details and batch updates are currect.</t>
        </is>
      </c>
      <c r="G398" s="37" t="inlineStr">
        <is>
          <t>All is Well</t>
        </is>
      </c>
    </row>
    <row r="399">
      <c r="A399" s="37" t="inlineStr">
        <is>
          <t>Mahaboob Basha</t>
        </is>
      </c>
      <c r="B399" s="37" t="inlineStr">
        <is>
          <t>Ambattur</t>
        </is>
      </c>
      <c r="C399" s="37" t="inlineStr">
        <is>
          <t>SCGBS-GROW-GREEN-EV</t>
        </is>
      </c>
      <c r="D399" s="37" t="inlineStr">
        <is>
          <t>2026-07-10</t>
        </is>
      </c>
      <c r="E399" s="37" t="inlineStr">
        <is>
          <t>Data Check</t>
        </is>
      </c>
      <c r="F399" s="37" t="inlineStr">
        <is>
          <t>Verify placement data — randomly call 3–4 alumni placed in the last 3 months to confirm veracity (random selection is essential).</t>
        </is>
      </c>
      <c r="G399" s="37" t="inlineStr">
        <is>
          <t>All is Well</t>
        </is>
      </c>
    </row>
    <row r="400">
      <c r="A400" s="37" t="inlineStr">
        <is>
          <t>Mahaboob Basha</t>
        </is>
      </c>
      <c r="B400" s="37" t="inlineStr">
        <is>
          <t>Ambattur</t>
        </is>
      </c>
      <c r="C400" s="37" t="inlineStr">
        <is>
          <t>SCGBS-GROW-GREEN-EV</t>
        </is>
      </c>
      <c r="D400" s="37" t="inlineStr">
        <is>
          <t>2026-07-10</t>
        </is>
      </c>
      <c r="E400" s="37" t="inlineStr">
        <is>
          <t>Data Check</t>
        </is>
      </c>
      <c r="F400" s="37" t="inlineStr">
        <is>
          <t>Verify retention — check the Alumni Hand-holding Format is being updated as designed.</t>
        </is>
      </c>
      <c r="G400" s="37" t="inlineStr">
        <is>
          <t>Need Improvement</t>
        </is>
      </c>
    </row>
    <row r="401">
      <c r="A401" s="37" t="inlineStr">
        <is>
          <t>Mahaboob Basha</t>
        </is>
      </c>
      <c r="B401" s="37" t="inlineStr">
        <is>
          <t>Ambattur</t>
        </is>
      </c>
      <c r="C401" s="37" t="inlineStr">
        <is>
          <t>SCGBS-GROW-GREEN-EV</t>
        </is>
      </c>
      <c r="D401" s="37" t="inlineStr">
        <is>
          <t>2026-07-10</t>
        </is>
      </c>
      <c r="E401" s="37" t="inlineStr">
        <is>
          <t>Data Check</t>
        </is>
      </c>
      <c r="F401" s="37" t="inlineStr">
        <is>
          <t>Check aspirant Hostel Forms are properly filled or not.</t>
        </is>
      </c>
      <c r="G401" s="37" t="inlineStr">
        <is>
          <t>All is Well</t>
        </is>
      </c>
    </row>
    <row r="402">
      <c r="A402" s="37" t="inlineStr">
        <is>
          <t>Mahaboob Basha</t>
        </is>
      </c>
      <c r="B402" s="37" t="inlineStr">
        <is>
          <t>Ambattur</t>
        </is>
      </c>
      <c r="C402" s="37" t="inlineStr">
        <is>
          <t>SCGBS-GROW-GREEN-EV</t>
        </is>
      </c>
      <c r="D402" s="37" t="inlineStr">
        <is>
          <t>2026-07-10</t>
        </is>
      </c>
      <c r="E402" s="37" t="inlineStr">
        <is>
          <t>Infra Check</t>
        </is>
      </c>
      <c r="F402" s="37" t="inlineStr">
        <is>
          <t>Check all CCTV cameras; if any are not working, ask the AH to troubleshoot or call the vendor.</t>
        </is>
      </c>
      <c r="G402" s="37" t="inlineStr">
        <is>
          <t>All is Well</t>
        </is>
      </c>
    </row>
    <row r="403">
      <c r="A403" s="37" t="inlineStr">
        <is>
          <t>Mahaboob Basha</t>
        </is>
      </c>
      <c r="B403" s="37" t="inlineStr">
        <is>
          <t>Ambattur</t>
        </is>
      </c>
      <c r="C403" s="37" t="inlineStr">
        <is>
          <t>SCGBS-GROW-GREEN-EV</t>
        </is>
      </c>
      <c r="D403" s="37" t="inlineStr">
        <is>
          <t>2026-07-10</t>
        </is>
      </c>
      <c r="E403" s="37" t="inlineStr">
        <is>
          <t>Infra Check</t>
        </is>
      </c>
      <c r="F403" s="37" t="inlineStr">
        <is>
          <t>Check for any scrap material and get it cleared, with support of Admin</t>
        </is>
      </c>
      <c r="G403" s="37" t="inlineStr">
        <is>
          <t>All is Well</t>
        </is>
      </c>
    </row>
    <row r="404">
      <c r="A404" s="37" t="inlineStr">
        <is>
          <t>Mahaboob Basha</t>
        </is>
      </c>
      <c r="B404" s="37" t="inlineStr">
        <is>
          <t>Ambattur</t>
        </is>
      </c>
      <c r="C404" s="37" t="inlineStr">
        <is>
          <t>SCGBS-GROW-GREEN-EV</t>
        </is>
      </c>
      <c r="D404" s="37" t="inlineStr">
        <is>
          <t>2026-07-10</t>
        </is>
      </c>
      <c r="E404" s="37" t="inlineStr">
        <is>
          <t>Infra Check</t>
        </is>
      </c>
      <c r="F404" s="37" t="inlineStr">
        <is>
          <t>Check for any pending infra repairs.</t>
        </is>
      </c>
      <c r="G404" s="37" t="inlineStr">
        <is>
          <t>All is Well</t>
        </is>
      </c>
    </row>
    <row r="405">
      <c r="A405" s="37" t="inlineStr">
        <is>
          <t>Mahaboob Basha</t>
        </is>
      </c>
      <c r="B405" s="37" t="inlineStr">
        <is>
          <t>Ambattur</t>
        </is>
      </c>
      <c r="C405" s="37" t="inlineStr">
        <is>
          <t>SCGBS-GROW-GREEN-EV</t>
        </is>
      </c>
      <c r="D405" s="37" t="inlineStr">
        <is>
          <t>2026-07-10</t>
        </is>
      </c>
      <c r="E405" s="37" t="inlineStr">
        <is>
          <t>Infra Check</t>
        </is>
      </c>
      <c r="F405" s="37" t="inlineStr">
        <is>
          <t>Check whether any fire extinguishers have expired (check the needle and expiry date both).</t>
        </is>
      </c>
      <c r="G405" s="37" t="inlineStr">
        <is>
          <t>All is Well</t>
        </is>
      </c>
    </row>
    <row r="406">
      <c r="A406" s="37" t="inlineStr">
        <is>
          <t>Mahaboob Basha</t>
        </is>
      </c>
      <c r="B406" s="37" t="inlineStr">
        <is>
          <t>Ambattur</t>
        </is>
      </c>
      <c r="C406" s="37" t="inlineStr">
        <is>
          <t>SCGBS-GROW-GREEN-EV</t>
        </is>
      </c>
      <c r="D406" s="37" t="inlineStr">
        <is>
          <t>2026-07-10</t>
        </is>
      </c>
      <c r="E406" s="37" t="inlineStr">
        <is>
          <t>Infra Check</t>
        </is>
      </c>
      <c r="F406" s="37" t="inlineStr">
        <is>
          <t>Check basic cleanliness of the washrooms and the centre.</t>
        </is>
      </c>
      <c r="G406" s="37" t="inlineStr">
        <is>
          <t>All is Well</t>
        </is>
      </c>
    </row>
    <row r="407">
      <c r="A407" s="37" t="inlineStr">
        <is>
          <t>Mahaboob Basha</t>
        </is>
      </c>
      <c r="B407" s="37" t="inlineStr">
        <is>
          <t>Ambattur</t>
        </is>
      </c>
      <c r="C407" s="37" t="inlineStr">
        <is>
          <t>SCGBS-GROW-GREEN-EV</t>
        </is>
      </c>
      <c r="D407" s="37" t="inlineStr">
        <is>
          <t>2026-07-10</t>
        </is>
      </c>
      <c r="E407" s="37" t="inlineStr">
        <is>
          <t>Infra Check</t>
        </is>
      </c>
      <c r="F407" s="37" t="inlineStr">
        <is>
          <t>Confirm the correct program and partner logos are displayed.</t>
        </is>
      </c>
      <c r="G407" s="37" t="inlineStr">
        <is>
          <t>All is Well</t>
        </is>
      </c>
    </row>
    <row r="408">
      <c r="A408" s="37" t="inlineStr">
        <is>
          <t>Mahaboob Basha</t>
        </is>
      </c>
      <c r="B408" s="37" t="inlineStr">
        <is>
          <t>Ambattur</t>
        </is>
      </c>
      <c r="C408" s="37" t="inlineStr">
        <is>
          <t>SCGBS-GROW-GREEN-EV</t>
        </is>
      </c>
      <c r="D408" s="37" t="inlineStr">
        <is>
          <t>2026-07-10</t>
        </is>
      </c>
      <c r="E408" s="37" t="inlineStr">
        <is>
          <t>Infra Check</t>
        </is>
      </c>
      <c r="F408" s="37" t="inlineStr">
        <is>
          <t>Check the status of digital infra — PCs, smartboards, tablets, laptops, etc.</t>
        </is>
      </c>
      <c r="G408" s="37" t="inlineStr">
        <is>
          <t>All is Well</t>
        </is>
      </c>
    </row>
    <row r="409">
      <c r="A409" s="37" t="inlineStr">
        <is>
          <t>Mahaboob Basha</t>
        </is>
      </c>
      <c r="B409" s="37" t="inlineStr">
        <is>
          <t>Ambattur</t>
        </is>
      </c>
      <c r="C409" s="37" t="inlineStr">
        <is>
          <t>SCGBS-GROW-GREEN-EV</t>
        </is>
      </c>
      <c r="D409" s="37" t="inlineStr">
        <is>
          <t>2026-07-10</t>
        </is>
      </c>
      <c r="E409" s="37" t="inlineStr">
        <is>
          <t>Infra Check</t>
        </is>
      </c>
      <c r="F409" s="37" t="inlineStr">
        <is>
          <t>Make a quick hostel visit; have lunch there if possible to test the food quality.</t>
        </is>
      </c>
      <c r="G409" s="37" t="inlineStr">
        <is>
          <t>Need Improvement</t>
        </is>
      </c>
    </row>
    <row r="410">
      <c r="A410" s="37" t="inlineStr">
        <is>
          <t>Mahaboob Basha</t>
        </is>
      </c>
      <c r="B410" s="37" t="inlineStr">
        <is>
          <t>Ambattur</t>
        </is>
      </c>
      <c r="C410" s="37" t="inlineStr">
        <is>
          <t>SCGBS-GROW-GREEN-EV</t>
        </is>
      </c>
      <c r="D410" s="37" t="inlineStr">
        <is>
          <t>2026-07-10</t>
        </is>
      </c>
      <c r="E410" s="37" t="inlineStr">
        <is>
          <t>Process Check</t>
        </is>
      </c>
      <c r="F410" s="37" t="inlineStr">
        <is>
          <t>Refer to the activity planner — check if any activities are delayed.</t>
        </is>
      </c>
      <c r="G410" s="37" t="inlineStr">
        <is>
          <t>Not Applicable</t>
        </is>
      </c>
    </row>
    <row r="411">
      <c r="A411" s="37" t="inlineStr">
        <is>
          <t>Mahaboob Basha</t>
        </is>
      </c>
      <c r="B411" s="37" t="inlineStr">
        <is>
          <t>Ambattur</t>
        </is>
      </c>
      <c r="C411" s="37" t="inlineStr">
        <is>
          <t>SCGBS-GROW-GREEN-EV</t>
        </is>
      </c>
      <c r="D411" s="37" t="inlineStr">
        <is>
          <t>2026-07-10</t>
        </is>
      </c>
      <c r="E411" s="37" t="inlineStr">
        <is>
          <t>Process Check</t>
        </is>
      </c>
      <c r="F411" s="37" t="inlineStr">
        <is>
          <t>Check planning for the next batch-start announcement.</t>
        </is>
      </c>
      <c r="G411" s="37" t="inlineStr">
        <is>
          <t>All is Well</t>
        </is>
      </c>
    </row>
    <row r="412">
      <c r="A412" s="37" t="inlineStr">
        <is>
          <t>Mahaboob Basha</t>
        </is>
      </c>
      <c r="B412" s="37" t="inlineStr">
        <is>
          <t>Ambattur</t>
        </is>
      </c>
      <c r="C412" s="37" t="inlineStr">
        <is>
          <t>SCGBS-GROW-GREEN-EV</t>
        </is>
      </c>
      <c r="D412" s="37" t="inlineStr">
        <is>
          <t>2026-07-10</t>
        </is>
      </c>
      <c r="E412" s="37" t="inlineStr">
        <is>
          <t>Process Check</t>
        </is>
      </c>
      <c r="F412" s="37" t="inlineStr">
        <is>
          <t>Check if any hiring is delayed and plan a resolution.</t>
        </is>
      </c>
      <c r="G412" s="37" t="inlineStr">
        <is>
          <t>All is Well</t>
        </is>
      </c>
    </row>
    <row r="413">
      <c r="A413" s="37" t="inlineStr">
        <is>
          <t>Mahaboob Basha</t>
        </is>
      </c>
      <c r="B413" s="37" t="inlineStr">
        <is>
          <t>Ambattur</t>
        </is>
      </c>
      <c r="C413" s="37" t="inlineStr">
        <is>
          <t>SCGBS-GROW-GREEN-EV</t>
        </is>
      </c>
      <c r="D413" s="37" t="inlineStr">
        <is>
          <t>2026-07-10</t>
        </is>
      </c>
      <c r="E413" s="37" t="inlineStr">
        <is>
          <t>Process Check</t>
        </is>
      </c>
      <c r="F413" s="37" t="inlineStr">
        <is>
          <t>Check the CA’s diary — is CA guided daily by the AH during planning days?</t>
        </is>
      </c>
      <c r="G413" s="37" t="inlineStr">
        <is>
          <t>All is Well</t>
        </is>
      </c>
    </row>
    <row r="414">
      <c r="A414" s="37" t="inlineStr">
        <is>
          <t>Mahaboob Basha</t>
        </is>
      </c>
      <c r="B414" s="37" t="inlineStr">
        <is>
          <t>Ambattur</t>
        </is>
      </c>
      <c r="C414" s="37" t="inlineStr">
        <is>
          <t>SCGBS-GROW-GREEN-EV</t>
        </is>
      </c>
      <c r="D414" s="37" t="inlineStr">
        <is>
          <t>2026-07-10</t>
        </is>
      </c>
      <c r="E414" s="37" t="inlineStr">
        <is>
          <t>Process Check</t>
        </is>
      </c>
      <c r="F414" s="37" t="inlineStr">
        <is>
          <t>Check the AH is regularly meeting employers (in person and online) and updating the centre’s Top 20 Employer format.</t>
        </is>
      </c>
      <c r="G414" s="37" t="inlineStr">
        <is>
          <t>Need Improvement</t>
        </is>
      </c>
    </row>
    <row r="415">
      <c r="A415" s="37" t="inlineStr">
        <is>
          <t>Mahaboob Basha</t>
        </is>
      </c>
      <c r="B415" s="37" t="inlineStr">
        <is>
          <t>Ambattur</t>
        </is>
      </c>
      <c r="C415" s="37" t="inlineStr">
        <is>
          <t>SCGBS-GROW-GREEN-EV</t>
        </is>
      </c>
      <c r="D415" s="37" t="inlineStr">
        <is>
          <t>2026-07-10</t>
        </is>
      </c>
      <c r="E415" s="37" t="inlineStr">
        <is>
          <t>Process Check</t>
        </is>
      </c>
      <c r="F415" s="37" t="inlineStr">
        <is>
          <t>Confirm all new employers are registered on portal as per new process.</t>
        </is>
      </c>
      <c r="G415" s="37" t="inlineStr">
        <is>
          <t>All is Well</t>
        </is>
      </c>
    </row>
    <row r="416">
      <c r="A416" s="37" t="inlineStr">
        <is>
          <t>Mahaboob Basha</t>
        </is>
      </c>
      <c r="B416" s="37" t="inlineStr">
        <is>
          <t>Ambattur</t>
        </is>
      </c>
      <c r="C416" s="37" t="inlineStr">
        <is>
          <t>SCGBS-GROW-GREEN-EV</t>
        </is>
      </c>
      <c r="D416" s="37" t="inlineStr">
        <is>
          <t>2026-07-10</t>
        </is>
      </c>
      <c r="E416" s="37" t="inlineStr">
        <is>
          <t>Process Check</t>
        </is>
      </c>
      <c r="F416" s="37" t="inlineStr">
        <is>
          <t>Confirm 100% of enrolled students undergone screening (for technical courses).</t>
        </is>
      </c>
      <c r="G416" s="37" t="inlineStr">
        <is>
          <t>All is Well</t>
        </is>
      </c>
    </row>
    <row r="417">
      <c r="A417" s="37" t="inlineStr">
        <is>
          <t>Mahaboob Basha</t>
        </is>
      </c>
      <c r="B417" s="37" t="inlineStr">
        <is>
          <t>Ambattur</t>
        </is>
      </c>
      <c r="C417" s="37" t="inlineStr">
        <is>
          <t>SCGBS-GROW-GREEN-EV</t>
        </is>
      </c>
      <c r="D417" s="37" t="inlineStr">
        <is>
          <t>2026-07-10</t>
        </is>
      </c>
      <c r="E417" s="37" t="inlineStr">
        <is>
          <t>Process Check</t>
        </is>
      </c>
      <c r="F417" s="37" t="inlineStr">
        <is>
          <t>Confirm ESA is done (in GROW full ESA and in Technical courses relevant sections of Core Employability Part).</t>
        </is>
      </c>
      <c r="G417" s="37" t="inlineStr">
        <is>
          <t>Not Applicable</t>
        </is>
      </c>
    </row>
    <row r="418">
      <c r="A418" s="37" t="inlineStr">
        <is>
          <t>Mahaboob Basha</t>
        </is>
      </c>
      <c r="B418" s="37" t="inlineStr">
        <is>
          <t>Ambattur</t>
        </is>
      </c>
      <c r="C418" s="37" t="inlineStr">
        <is>
          <t>SCGBS-GROW-GREEN-EV</t>
        </is>
      </c>
      <c r="D418" s="37" t="inlineStr">
        <is>
          <t>2026-07-10</t>
        </is>
      </c>
      <c r="E418" s="37" t="inlineStr">
        <is>
          <t>Process Check</t>
        </is>
      </c>
      <c r="F418" s="37" t="inlineStr">
        <is>
          <t>Check is AH giving capstone project in GROW Tech.</t>
        </is>
      </c>
      <c r="G418" s="37" t="inlineStr">
        <is>
          <t>Not Applicable</t>
        </is>
      </c>
    </row>
    <row r="419">
      <c r="A419" s="37" t="inlineStr">
        <is>
          <t>Mahaboob Basha</t>
        </is>
      </c>
      <c r="B419" s="37" t="inlineStr">
        <is>
          <t>Ambattur</t>
        </is>
      </c>
      <c r="C419" s="37" t="inlineStr">
        <is>
          <t>SCGBS-GROW-GREEN-EV</t>
        </is>
      </c>
      <c r="D419" s="37" t="inlineStr">
        <is>
          <t>2026-07-10</t>
        </is>
      </c>
      <c r="E419" s="37" t="inlineStr">
        <is>
          <t>Process Check</t>
        </is>
      </c>
      <c r="F419" s="37" t="inlineStr">
        <is>
          <t>Check is AH planning OJT as per guidelines and proofs are collected for technical courses.</t>
        </is>
      </c>
      <c r="G419" s="37" t="inlineStr">
        <is>
          <t>Need Improvement</t>
        </is>
      </c>
    </row>
    <row r="420">
      <c r="A420" s="37" t="inlineStr">
        <is>
          <t>Mahaboob Basha</t>
        </is>
      </c>
      <c r="B420" s="37" t="inlineStr">
        <is>
          <t>Ambattur</t>
        </is>
      </c>
      <c r="C420" s="37" t="inlineStr">
        <is>
          <t>SCGBS-GROW-GREEN-EV</t>
        </is>
      </c>
      <c r="D420" s="37" t="inlineStr">
        <is>
          <t>2026-07-10</t>
        </is>
      </c>
      <c r="E420" s="37" t="inlineStr">
        <is>
          <t>Process Check</t>
        </is>
      </c>
      <c r="F420" s="37" t="inlineStr">
        <is>
          <t>Check are trainers contacting aspirants to find reason for their absenteeism of more than 1 day.</t>
        </is>
      </c>
      <c r="G420" s="37" t="inlineStr">
        <is>
          <t>Need Improvement</t>
        </is>
      </c>
    </row>
    <row r="421">
      <c r="A421" s="37" t="inlineStr">
        <is>
          <t>Mahaboob Basha</t>
        </is>
      </c>
      <c r="B421" s="37" t="inlineStr">
        <is>
          <t>Ambattur</t>
        </is>
      </c>
      <c r="C421" s="37" t="inlineStr">
        <is>
          <t>SCGBS-GROW-GREEN-EV</t>
        </is>
      </c>
      <c r="D421" s="37" t="inlineStr">
        <is>
          <t>2026-07-10</t>
        </is>
      </c>
      <c r="E421" s="37" t="inlineStr">
        <is>
          <t>Process Check</t>
        </is>
      </c>
      <c r="F421" s="37" t="inlineStr">
        <is>
          <t>Check the AH plans monthly enrolment and placement numbers by the 3rd of each month and shares them with second level managers.</t>
        </is>
      </c>
      <c r="G421" s="37" t="inlineStr">
        <is>
          <t>All is Well</t>
        </is>
      </c>
    </row>
    <row r="422">
      <c r="A422" s="37" t="inlineStr">
        <is>
          <t>Mahaboob Basha</t>
        </is>
      </c>
      <c r="B422" s="37" t="inlineStr">
        <is>
          <t>Ambattur</t>
        </is>
      </c>
      <c r="C422" s="37" t="inlineStr">
        <is>
          <t>SCGBS-GROW-GREEN-EV</t>
        </is>
      </c>
      <c r="D422" s="37" t="inlineStr">
        <is>
          <t>2026-07-10</t>
        </is>
      </c>
      <c r="E422" s="37" t="inlineStr">
        <is>
          <t>Process Check</t>
        </is>
      </c>
      <c r="F422" s="37" t="inlineStr">
        <is>
          <t>Check trainers submit aspirants’ placement interest areas to the AH by the batch’s 25th day (in GROW).</t>
        </is>
      </c>
      <c r="G422" s="37" t="inlineStr">
        <is>
          <t>All is Well</t>
        </is>
      </c>
    </row>
    <row r="423">
      <c r="A423" s="37" t="inlineStr">
        <is>
          <t>Mahaboob Basha</t>
        </is>
      </c>
      <c r="B423" s="37" t="inlineStr">
        <is>
          <t>Ambattur</t>
        </is>
      </c>
      <c r="C423" s="37" t="inlineStr">
        <is>
          <t>SCGBS-GROW-GREEN-EV</t>
        </is>
      </c>
      <c r="D423" s="37" t="inlineStr">
        <is>
          <t>2026-07-10</t>
        </is>
      </c>
      <c r="E423" s="37" t="inlineStr">
        <is>
          <t>Process Check</t>
        </is>
      </c>
      <c r="F423" s="37" t="inlineStr">
        <is>
          <t>Ckeck For technical programs, placement is done only in technical jobs,on which aspirants are trained and relevant emplyers are identified by 45th day.</t>
        </is>
      </c>
      <c r="G423" s="37" t="inlineStr">
        <is>
          <t>All is Well</t>
        </is>
      </c>
    </row>
    <row r="424">
      <c r="A424" s="37" t="inlineStr">
        <is>
          <t>Mahaboob Basha</t>
        </is>
      </c>
      <c r="B424" s="37" t="inlineStr">
        <is>
          <t>Ambattur</t>
        </is>
      </c>
      <c r="C424" s="37" t="inlineStr">
        <is>
          <t>SCGBS-GROW-GREEN-EV</t>
        </is>
      </c>
      <c r="D424" s="37" t="inlineStr">
        <is>
          <t>2026-07-10</t>
        </is>
      </c>
      <c r="E424" s="37" t="inlineStr">
        <is>
          <t>Process Check</t>
        </is>
      </c>
      <c r="F424" s="37" t="inlineStr">
        <is>
          <t>Check the AH follows EP guidelines and minimum benchmark salary guidelines.</t>
        </is>
      </c>
      <c r="G424" s="37" t="inlineStr">
        <is>
          <t>All is Well</t>
        </is>
      </c>
    </row>
    <row r="425">
      <c r="A425" s="37" t="inlineStr">
        <is>
          <t>Mahaboob Basha</t>
        </is>
      </c>
      <c r="B425" s="37" t="inlineStr">
        <is>
          <t>Ambattur</t>
        </is>
      </c>
      <c r="C425" s="37" t="inlineStr">
        <is>
          <t>SCGBS-GROW-GREEN-EV</t>
        </is>
      </c>
      <c r="D425" s="37" t="inlineStr">
        <is>
          <t>2026-07-10</t>
        </is>
      </c>
      <c r="E425" s="37" t="inlineStr">
        <is>
          <t>Process Check</t>
        </is>
      </c>
      <c r="F425" s="37" t="inlineStr">
        <is>
          <t>Check that AH is enrolling only the right traget group in the program -as per the defined target.</t>
        </is>
      </c>
      <c r="G425" s="37" t="inlineStr">
        <is>
          <t>Need Improvement</t>
        </is>
      </c>
    </row>
    <row r="426">
      <c r="A426" s="37" t="inlineStr">
        <is>
          <t>Mahaboob Basha</t>
        </is>
      </c>
      <c r="B426" s="37" t="inlineStr">
        <is>
          <t>Ambattur</t>
        </is>
      </c>
      <c r="C426" s="37" t="inlineStr">
        <is>
          <t>SCGBS-GROW-GREEN-EV</t>
        </is>
      </c>
      <c r="D426" s="37" t="inlineStr">
        <is>
          <t>2026-07-10</t>
        </is>
      </c>
      <c r="E426" s="37" t="inlineStr">
        <is>
          <t>Process Check</t>
        </is>
      </c>
      <c r="F426" s="37" t="inlineStr">
        <is>
          <t>Check the AH announces the next batch-start date by the 3rd of the month on all notice boards — focus on Zero-Day start.</t>
        </is>
      </c>
      <c r="G426" s="37" t="inlineStr">
        <is>
          <t>All is Well</t>
        </is>
      </c>
    </row>
    <row r="427">
      <c r="A427" s="37" t="inlineStr">
        <is>
          <t>Mahaboob Basha</t>
        </is>
      </c>
      <c r="B427" s="37" t="inlineStr">
        <is>
          <t>Ambattur</t>
        </is>
      </c>
      <c r="C427" s="37" t="inlineStr">
        <is>
          <t>SCGBS-GROW-GREEN-EV</t>
        </is>
      </c>
      <c r="D427" s="37" t="inlineStr">
        <is>
          <t>2026-07-10</t>
        </is>
      </c>
      <c r="E427" s="37" t="inlineStr">
        <is>
          <t>Process Check</t>
        </is>
      </c>
      <c r="F427" s="37" t="inlineStr">
        <is>
          <t>Check the Aspirant Mock Interview Score Tracker is updated after every mock interview in the L&amp;D Google Sheet.</t>
        </is>
      </c>
      <c r="G427" s="37" t="inlineStr">
        <is>
          <t>All is Well</t>
        </is>
      </c>
    </row>
    <row r="428">
      <c r="A428" s="37" t="inlineStr">
        <is>
          <t>Mahaboob Basha</t>
        </is>
      </c>
      <c r="B428" s="37" t="inlineStr">
        <is>
          <t>Ambattur</t>
        </is>
      </c>
      <c r="C428" s="37" t="inlineStr">
        <is>
          <t>SCGBS-GROW-GREEN-EV</t>
        </is>
      </c>
      <c r="D428" s="37" t="inlineStr">
        <is>
          <t>2026-07-10</t>
        </is>
      </c>
      <c r="E428" s="37" t="inlineStr">
        <is>
          <t>Process Check</t>
        </is>
      </c>
      <c r="F428" s="37" t="inlineStr">
        <is>
          <t>Confirm NPS (Net Promoter Score) is collected at MSDF centres.</t>
        </is>
      </c>
      <c r="G428" s="37" t="inlineStr">
        <is>
          <t>Not Applicable</t>
        </is>
      </c>
    </row>
    <row r="429">
      <c r="A429" s="37" t="inlineStr">
        <is>
          <t>Mahaboob Basha</t>
        </is>
      </c>
      <c r="B429" s="37" t="inlineStr">
        <is>
          <t>Ambattur</t>
        </is>
      </c>
      <c r="C429" s="37" t="inlineStr">
        <is>
          <t>SCGBS-GROW-GREEN-EV</t>
        </is>
      </c>
      <c r="D429" s="37" t="inlineStr">
        <is>
          <t>2026-07-10</t>
        </is>
      </c>
      <c r="E429" s="37" t="inlineStr">
        <is>
          <t>Process Check</t>
        </is>
      </c>
      <c r="F429" s="37" t="inlineStr">
        <is>
          <t>Confirm that QAE is collecting student feedback for every batch.</t>
        </is>
      </c>
      <c r="G429" s="37" t="inlineStr">
        <is>
          <t>All is Well</t>
        </is>
      </c>
    </row>
    <row r="430">
      <c r="A430" s="37" t="inlineStr">
        <is>
          <t>Mahaboob Basha</t>
        </is>
      </c>
      <c r="B430" s="37" t="inlineStr">
        <is>
          <t>Ambattur</t>
        </is>
      </c>
      <c r="C430" s="37" t="inlineStr">
        <is>
          <t>SCGBS-GROW-GREEN-EV</t>
        </is>
      </c>
      <c r="D430" s="37" t="inlineStr">
        <is>
          <t>2026-07-10</t>
        </is>
      </c>
      <c r="E430" s="37" t="inlineStr">
        <is>
          <t>Process Check</t>
        </is>
      </c>
      <c r="F430" s="37" t="inlineStr">
        <is>
          <t>Confirm all centre teams have completed the GROW Manual Course on Skillfy — ask for achievement certificates.</t>
        </is>
      </c>
      <c r="G430" s="37" t="inlineStr">
        <is>
          <t>All is Well</t>
        </is>
      </c>
    </row>
    <row r="431">
      <c r="A431" s="37" t="inlineStr">
        <is>
          <t>Mahaboob Basha</t>
        </is>
      </c>
      <c r="B431" s="37" t="inlineStr">
        <is>
          <t>Ambattur</t>
        </is>
      </c>
      <c r="C431" s="37" t="inlineStr">
        <is>
          <t>SCGBS-GROW-GREEN-EV</t>
        </is>
      </c>
      <c r="D431" s="37" t="inlineStr">
        <is>
          <t>2026-07-10</t>
        </is>
      </c>
      <c r="E431" s="37" t="inlineStr">
        <is>
          <t>Process Check</t>
        </is>
      </c>
      <c r="F431" s="37" t="inlineStr">
        <is>
          <t>Check AH holds a quality weekly team meeting, documents action points in the weekly meeting format, and sends you a photo on WhatsApp.</t>
        </is>
      </c>
      <c r="G431" s="37" t="inlineStr">
        <is>
          <t>All is Well</t>
        </is>
      </c>
    </row>
    <row r="432">
      <c r="A432" s="37" t="inlineStr">
        <is>
          <t>Mahaboob Basha</t>
        </is>
      </c>
      <c r="B432" s="37" t="inlineStr">
        <is>
          <t>Ambattur</t>
        </is>
      </c>
      <c r="C432" s="37" t="inlineStr">
        <is>
          <t>SCGBS-GROW-GREEN-EV</t>
        </is>
      </c>
      <c r="D432" s="37" t="inlineStr">
        <is>
          <t>2026-07-10</t>
        </is>
      </c>
      <c r="E432" s="37" t="inlineStr">
        <is>
          <t>Aspirant Interaction</t>
        </is>
      </c>
      <c r="F432" s="37" t="inlineStr">
        <is>
          <t>Ask aspirants about the session plan — confirm training is happening as planned?</t>
        </is>
      </c>
      <c r="G432" s="37" t="inlineStr">
        <is>
          <t>Need Improvement</t>
        </is>
      </c>
    </row>
    <row r="433">
      <c r="A433" s="37" t="inlineStr">
        <is>
          <t>Mahaboob Basha</t>
        </is>
      </c>
      <c r="B433" s="37" t="inlineStr">
        <is>
          <t>Ambattur</t>
        </is>
      </c>
      <c r="C433" s="37" t="inlineStr">
        <is>
          <t>SCGBS-GROW-GREEN-EV</t>
        </is>
      </c>
      <c r="D433" s="37" t="inlineStr">
        <is>
          <t>2026-07-10</t>
        </is>
      </c>
      <c r="E433" s="37" t="inlineStr">
        <is>
          <t>Aspirant Interaction</t>
        </is>
      </c>
      <c r="F433" s="37" t="inlineStr">
        <is>
          <t>Ask about the quality of Core Employability component delivery (technical centres) and who delivers it.</t>
        </is>
      </c>
      <c r="G433" s="37" t="inlineStr">
        <is>
          <t>All is Well</t>
        </is>
      </c>
    </row>
    <row r="434">
      <c r="A434" s="37" t="inlineStr">
        <is>
          <t>Mahaboob Basha</t>
        </is>
      </c>
      <c r="B434" s="37" t="inlineStr">
        <is>
          <t>Ambattur</t>
        </is>
      </c>
      <c r="C434" s="37" t="inlineStr">
        <is>
          <t>SCGBS-GROW-GREEN-EV</t>
        </is>
      </c>
      <c r="D434" s="37" t="inlineStr">
        <is>
          <t>2026-07-10</t>
        </is>
      </c>
      <c r="E434" s="37" t="inlineStr">
        <is>
          <t>Aspirant Interaction</t>
        </is>
      </c>
      <c r="F434" s="37" t="inlineStr">
        <is>
          <t>Ask whether they are aware of the referral scheme?</t>
        </is>
      </c>
      <c r="G434" s="37" t="inlineStr">
        <is>
          <t>All is Well</t>
        </is>
      </c>
    </row>
    <row r="435">
      <c r="A435" s="37" t="inlineStr">
        <is>
          <t>Mahaboob Basha</t>
        </is>
      </c>
      <c r="B435" s="37" t="inlineStr">
        <is>
          <t>Ambattur</t>
        </is>
      </c>
      <c r="C435" s="37" t="inlineStr">
        <is>
          <t>SCGBS-GROW-GREEN-EV</t>
        </is>
      </c>
      <c r="D435" s="37" t="inlineStr">
        <is>
          <t>2026-07-10</t>
        </is>
      </c>
      <c r="E435" s="37" t="inlineStr">
        <is>
          <t>Aspirant Interaction</t>
        </is>
      </c>
      <c r="F435" s="37" t="inlineStr">
        <is>
          <t>Ask whether the AH explained the importance of the offer letter and sharing it with us once received for reporting purposes?</t>
        </is>
      </c>
      <c r="G435" s="37" t="inlineStr">
        <is>
          <t>All is Well</t>
        </is>
      </c>
    </row>
    <row r="436">
      <c r="A436" s="37" t="inlineStr">
        <is>
          <t>Mahaboob Basha</t>
        </is>
      </c>
      <c r="B436" s="37" t="inlineStr">
        <is>
          <t>Ambattur</t>
        </is>
      </c>
      <c r="C436" s="37" t="inlineStr">
        <is>
          <t>SCGBS-GROW-GREEN-EV</t>
        </is>
      </c>
      <c r="D436" s="37" t="inlineStr">
        <is>
          <t>2026-07-10</t>
        </is>
      </c>
      <c r="E436" s="37" t="inlineStr">
        <is>
          <t>Aspirant Interaction</t>
        </is>
      </c>
      <c r="F436" s="37" t="inlineStr">
        <is>
          <t>Ask how many are not interested in jobs — and if so, why they enrolled in the programme?</t>
        </is>
      </c>
      <c r="G436" s="37" t="inlineStr">
        <is>
          <t>All is Well</t>
        </is>
      </c>
    </row>
    <row r="437">
      <c r="A437" s="37" t="inlineStr">
        <is>
          <t>Mahaboob Basha</t>
        </is>
      </c>
      <c r="B437" s="37" t="inlineStr">
        <is>
          <t>Ambattur</t>
        </is>
      </c>
      <c r="C437" s="37" t="inlineStr">
        <is>
          <t>SCGBS-GROW-GREEN-EV</t>
        </is>
      </c>
      <c r="D437" s="37" t="inlineStr">
        <is>
          <t>2026-07-10</t>
        </is>
      </c>
      <c r="E437" s="37" t="inlineStr">
        <is>
          <t>Aspirant Interaction</t>
        </is>
      </c>
      <c r="F437" s="37" t="inlineStr">
        <is>
          <t>Ask whether they were told the kind of job they would get during counselling?</t>
        </is>
      </c>
      <c r="G437" s="37" t="inlineStr">
        <is>
          <t>All is Well</t>
        </is>
      </c>
    </row>
    <row r="438">
      <c r="A438" s="37" t="inlineStr">
        <is>
          <t>Mahaboob Basha</t>
        </is>
      </c>
      <c r="B438" s="37" t="inlineStr">
        <is>
          <t>Ambattur</t>
        </is>
      </c>
      <c r="C438" s="37" t="inlineStr">
        <is>
          <t>SCGBS-GROW-GREEN-EV</t>
        </is>
      </c>
      <c r="D438" s="37" t="inlineStr">
        <is>
          <t>2026-07-10</t>
        </is>
      </c>
      <c r="E438" s="37" t="inlineStr">
        <is>
          <t>Aspirant Interaction</t>
        </is>
      </c>
      <c r="F438" s="37" t="inlineStr">
        <is>
          <t>Ask whether they have been given LMS access?</t>
        </is>
      </c>
      <c r="G438" s="37" t="inlineStr">
        <is>
          <t>All is Well</t>
        </is>
      </c>
    </row>
    <row r="439">
      <c r="A439" s="37" t="inlineStr">
        <is>
          <t>Mahaboob Basha</t>
        </is>
      </c>
      <c r="B439" s="37" t="inlineStr">
        <is>
          <t>Ambattur</t>
        </is>
      </c>
      <c r="C439" s="37" t="inlineStr">
        <is>
          <t>SCGBS-GROW-GREEN-EV</t>
        </is>
      </c>
      <c r="D439" s="37" t="inlineStr">
        <is>
          <t>2026-07-10</t>
        </is>
      </c>
      <c r="E439" s="37" t="inlineStr">
        <is>
          <t>Aspirant Interaction</t>
        </is>
      </c>
      <c r="F439" s="37" t="inlineStr">
        <is>
          <t>Ask whether anyone asked them for money for training or placement?</t>
        </is>
      </c>
      <c r="G439" s="37" t="inlineStr">
        <is>
          <t>All is Well</t>
        </is>
      </c>
    </row>
    <row r="440">
      <c r="A440" s="37" t="inlineStr">
        <is>
          <t>Mahaboob Basha</t>
        </is>
      </c>
      <c r="B440" s="37" t="inlineStr">
        <is>
          <t>Ambattur</t>
        </is>
      </c>
      <c r="C440" s="37" t="inlineStr">
        <is>
          <t>SCGBS-GROW-GREEN-EV</t>
        </is>
      </c>
      <c r="D440" s="37" t="inlineStr">
        <is>
          <t>2026-07-10</t>
        </is>
      </c>
      <c r="E440" s="37" t="inlineStr">
        <is>
          <t>Aspirant Interaction</t>
        </is>
      </c>
      <c r="F440" s="37" t="inlineStr">
        <is>
          <t>Ask to show their mobile phones — are they enrolled on Skillfy? If not, get them enrolled and give written feedback to trainers and the AH in your presence.</t>
        </is>
      </c>
      <c r="G440" s="37" t="inlineStr">
        <is>
          <t>All is Well</t>
        </is>
      </c>
    </row>
    <row r="441">
      <c r="A441" s="37" t="inlineStr">
        <is>
          <t>Mahaboob Basha</t>
        </is>
      </c>
      <c r="B441" s="37" t="inlineStr">
        <is>
          <t>Ambattur</t>
        </is>
      </c>
      <c r="C441" s="37" t="inlineStr">
        <is>
          <t>SCGBS-GROW-GREEN-EV</t>
        </is>
      </c>
      <c r="D441" s="37" t="inlineStr">
        <is>
          <t>2026-07-10</t>
        </is>
      </c>
      <c r="E441" s="37" t="inlineStr">
        <is>
          <t>Aspirant Interaction</t>
        </is>
      </c>
      <c r="F441" s="37" t="inlineStr">
        <is>
          <t>Ask about the quality of the hostel and any issues they face.</t>
        </is>
      </c>
      <c r="G441" s="37" t="inlineStr">
        <is>
          <t>Need Improvement</t>
        </is>
      </c>
    </row>
    <row r="442">
      <c r="A442" s="37" t="inlineStr">
        <is>
          <t>Mahaboob Basha</t>
        </is>
      </c>
      <c r="B442" s="37" t="inlineStr">
        <is>
          <t>Ambattur</t>
        </is>
      </c>
      <c r="C442" s="37" t="inlineStr">
        <is>
          <t>SCGBS-GROW-GREEN-EV</t>
        </is>
      </c>
      <c r="D442" s="37" t="inlineStr">
        <is>
          <t>2026-07-10</t>
        </is>
      </c>
      <c r="E442" s="37" t="inlineStr">
        <is>
          <t>Aspirant Interaction</t>
        </is>
      </c>
      <c r="F442" s="37" t="inlineStr">
        <is>
          <t>Ask a few relevant screening questions to support the 10th-day report and remove non-serious candidates, explaining to them the reasons.</t>
        </is>
      </c>
      <c r="G442" s="37" t="inlineStr">
        <is>
          <t>All is Well</t>
        </is>
      </c>
    </row>
    <row r="443">
      <c r="A443" s="37" t="inlineStr">
        <is>
          <t>Amit Chakraborty</t>
        </is>
      </c>
      <c r="B443" s="37" t="inlineStr">
        <is>
          <t>Danapur</t>
        </is>
      </c>
      <c r="C443" s="37" t="inlineStr">
        <is>
          <t>GROW Youth-Accenture</t>
        </is>
      </c>
      <c r="D443" s="37" t="inlineStr">
        <is>
          <t>2026-07-10</t>
        </is>
      </c>
      <c r="E443" s="37" t="inlineStr">
        <is>
          <t>Data Check</t>
        </is>
      </c>
      <c r="F443" s="37" t="inlineStr">
        <is>
          <t>Reach the centre on time (unannounced) — confirm the centre opened on time.</t>
        </is>
      </c>
      <c r="G443" s="37" t="inlineStr">
        <is>
          <t>All is Well</t>
        </is>
      </c>
    </row>
    <row r="444">
      <c r="A444" s="37" t="inlineStr">
        <is>
          <t>Amit Chakraborty</t>
        </is>
      </c>
      <c r="B444" s="37" t="inlineStr">
        <is>
          <t>Danapur</t>
        </is>
      </c>
      <c r="C444" s="37" t="inlineStr">
        <is>
          <t>GROW Youth-Accenture</t>
        </is>
      </c>
      <c r="D444" s="37" t="inlineStr">
        <is>
          <t>2026-07-10</t>
        </is>
      </c>
      <c r="E444" s="37" t="inlineStr">
        <is>
          <t>Data Check</t>
        </is>
      </c>
      <c r="F444" s="37" t="inlineStr">
        <is>
          <t>Check the staff attendance register, the Google Sheet, and geo-tagged photos for aspirants.</t>
        </is>
      </c>
      <c r="G444" s="37" t="inlineStr">
        <is>
          <t>All is Well</t>
        </is>
      </c>
    </row>
    <row r="445">
      <c r="A445" s="37" t="inlineStr">
        <is>
          <t>Amit Chakraborty</t>
        </is>
      </c>
      <c r="B445" s="37" t="inlineStr">
        <is>
          <t>Danapur</t>
        </is>
      </c>
      <c r="C445" s="37" t="inlineStr">
        <is>
          <t>GROW Youth-Accenture</t>
        </is>
      </c>
      <c r="D445" s="37" t="inlineStr">
        <is>
          <t>2026-07-10</t>
        </is>
      </c>
      <c r="E445" s="37" t="inlineStr">
        <is>
          <t>Data Check</t>
        </is>
      </c>
      <c r="F445" s="37" t="inlineStr">
        <is>
          <t>Check Counselling and Screening Forms of recently started batches.</t>
        </is>
      </c>
      <c r="G445" s="37" t="inlineStr">
        <is>
          <t>All is Well</t>
        </is>
      </c>
    </row>
    <row r="446">
      <c r="A446" s="37" t="inlineStr">
        <is>
          <t>Amit Chakraborty</t>
        </is>
      </c>
      <c r="B446" s="37" t="inlineStr">
        <is>
          <t>Danapur</t>
        </is>
      </c>
      <c r="C446" s="37" t="inlineStr">
        <is>
          <t>GROW Youth-Accenture</t>
        </is>
      </c>
      <c r="D446" s="37" t="inlineStr">
        <is>
          <t>2026-07-10</t>
        </is>
      </c>
      <c r="E446" s="37" t="inlineStr">
        <is>
          <t>Data Check</t>
        </is>
      </c>
      <c r="F446" s="37" t="inlineStr">
        <is>
          <t>Check Aspirant Registration Forms and related documents.</t>
        </is>
      </c>
      <c r="G446" s="37" t="inlineStr">
        <is>
          <t>Need Improvement</t>
        </is>
      </c>
    </row>
    <row r="447">
      <c r="A447" s="37" t="inlineStr">
        <is>
          <t>Amit Chakraborty</t>
        </is>
      </c>
      <c r="B447" s="37" t="inlineStr">
        <is>
          <t>Danapur</t>
        </is>
      </c>
      <c r="C447" s="37" t="inlineStr">
        <is>
          <t>GROW Youth-Accenture</t>
        </is>
      </c>
      <c r="D447" s="37" t="inlineStr">
        <is>
          <t>2026-07-10</t>
        </is>
      </c>
      <c r="E447" s="37" t="inlineStr">
        <is>
          <t>Data Check</t>
        </is>
      </c>
      <c r="F447" s="37" t="inlineStr">
        <is>
          <t>On the GROW portal, confirm all student profile details and batch updates are currect.</t>
        </is>
      </c>
      <c r="G447" s="37" t="inlineStr">
        <is>
          <t>All is Well</t>
        </is>
      </c>
    </row>
    <row r="448">
      <c r="A448" s="37" t="inlineStr">
        <is>
          <t>Amit Chakraborty</t>
        </is>
      </c>
      <c r="B448" s="37" t="inlineStr">
        <is>
          <t>Danapur</t>
        </is>
      </c>
      <c r="C448" s="37" t="inlineStr">
        <is>
          <t>GROW Youth-Accenture</t>
        </is>
      </c>
      <c r="D448" s="37" t="inlineStr">
        <is>
          <t>2026-07-10</t>
        </is>
      </c>
      <c r="E448" s="37" t="inlineStr">
        <is>
          <t>Data Check</t>
        </is>
      </c>
      <c r="F448" s="37" t="inlineStr">
        <is>
          <t>Verify placement data — randomly call 3–4 alumni placed in the last 3 months to confirm veracity (random selection is essential).</t>
        </is>
      </c>
      <c r="G448" s="37" t="inlineStr">
        <is>
          <t>Need Improvement</t>
        </is>
      </c>
    </row>
    <row r="449">
      <c r="A449" s="37" t="inlineStr">
        <is>
          <t>Amit Chakraborty</t>
        </is>
      </c>
      <c r="B449" s="37" t="inlineStr">
        <is>
          <t>Danapur</t>
        </is>
      </c>
      <c r="C449" s="37" t="inlineStr">
        <is>
          <t>GROW Youth-Accenture</t>
        </is>
      </c>
      <c r="D449" s="37" t="inlineStr">
        <is>
          <t>2026-07-10</t>
        </is>
      </c>
      <c r="E449" s="37" t="inlineStr">
        <is>
          <t>Data Check</t>
        </is>
      </c>
      <c r="F449" s="37" t="inlineStr">
        <is>
          <t>Verify retention — check the Alumni Hand-holding Format is being updated as designed.</t>
        </is>
      </c>
      <c r="G449" s="37" t="inlineStr">
        <is>
          <t>Need Improvement</t>
        </is>
      </c>
    </row>
    <row r="450">
      <c r="A450" s="37" t="inlineStr">
        <is>
          <t>Amit Chakraborty</t>
        </is>
      </c>
      <c r="B450" s="37" t="inlineStr">
        <is>
          <t>Danapur</t>
        </is>
      </c>
      <c r="C450" s="37" t="inlineStr">
        <is>
          <t>GROW Youth-Accenture</t>
        </is>
      </c>
      <c r="D450" s="37" t="inlineStr">
        <is>
          <t>2026-07-10</t>
        </is>
      </c>
      <c r="E450" s="37" t="inlineStr">
        <is>
          <t>Data Check</t>
        </is>
      </c>
      <c r="F450" s="37" t="inlineStr">
        <is>
          <t>Check aspirant Hostel Forms are properly filled or not.</t>
        </is>
      </c>
      <c r="G450" s="37" t="inlineStr">
        <is>
          <t>Not Applicable</t>
        </is>
      </c>
    </row>
    <row r="451">
      <c r="A451" s="37" t="inlineStr">
        <is>
          <t>Amit Chakraborty</t>
        </is>
      </c>
      <c r="B451" s="37" t="inlineStr">
        <is>
          <t>Danapur</t>
        </is>
      </c>
      <c r="C451" s="37" t="inlineStr">
        <is>
          <t>GROW Youth-Accenture</t>
        </is>
      </c>
      <c r="D451" s="37" t="inlineStr">
        <is>
          <t>2026-07-10</t>
        </is>
      </c>
      <c r="E451" s="37" t="inlineStr">
        <is>
          <t>Infra Check</t>
        </is>
      </c>
      <c r="F451" s="37" t="inlineStr">
        <is>
          <t>Check all CCTV cameras; if any are not working, ask the AH to troubleshoot or call the vendor.</t>
        </is>
      </c>
      <c r="G451" s="37" t="inlineStr">
        <is>
          <t>All is Well</t>
        </is>
      </c>
    </row>
    <row r="452">
      <c r="A452" s="37" t="inlineStr">
        <is>
          <t>Amit Chakraborty</t>
        </is>
      </c>
      <c r="B452" s="37" t="inlineStr">
        <is>
          <t>Danapur</t>
        </is>
      </c>
      <c r="C452" s="37" t="inlineStr">
        <is>
          <t>GROW Youth-Accenture</t>
        </is>
      </c>
      <c r="D452" s="37" t="inlineStr">
        <is>
          <t>2026-07-10</t>
        </is>
      </c>
      <c r="E452" s="37" t="inlineStr">
        <is>
          <t>Infra Check</t>
        </is>
      </c>
      <c r="F452" s="37" t="inlineStr">
        <is>
          <t>Check for any scrap material and get it cleared, with support of Admin</t>
        </is>
      </c>
      <c r="G452" s="37" t="inlineStr">
        <is>
          <t>Need Improvement</t>
        </is>
      </c>
    </row>
    <row r="453">
      <c r="A453" s="37" t="inlineStr">
        <is>
          <t>Amit Chakraborty</t>
        </is>
      </c>
      <c r="B453" s="37" t="inlineStr">
        <is>
          <t>Danapur</t>
        </is>
      </c>
      <c r="C453" s="37" t="inlineStr">
        <is>
          <t>GROW Youth-Accenture</t>
        </is>
      </c>
      <c r="D453" s="37" t="inlineStr">
        <is>
          <t>2026-07-10</t>
        </is>
      </c>
      <c r="E453" s="37" t="inlineStr">
        <is>
          <t>Infra Check</t>
        </is>
      </c>
      <c r="F453" s="37" t="inlineStr">
        <is>
          <t>Check for any pending infra repairs.</t>
        </is>
      </c>
      <c r="G453" s="37" t="inlineStr">
        <is>
          <t>Need Improvement</t>
        </is>
      </c>
    </row>
    <row r="454">
      <c r="A454" s="37" t="inlineStr">
        <is>
          <t>Amit Chakraborty</t>
        </is>
      </c>
      <c r="B454" s="37" t="inlineStr">
        <is>
          <t>Danapur</t>
        </is>
      </c>
      <c r="C454" s="37" t="inlineStr">
        <is>
          <t>GROW Youth-Accenture</t>
        </is>
      </c>
      <c r="D454" s="37" t="inlineStr">
        <is>
          <t>2026-07-10</t>
        </is>
      </c>
      <c r="E454" s="37" t="inlineStr">
        <is>
          <t>Infra Check</t>
        </is>
      </c>
      <c r="F454" s="37" t="inlineStr">
        <is>
          <t>Check whether any fire extinguishers have expired (check the needle and expiry date both).</t>
        </is>
      </c>
      <c r="G454" s="37" t="inlineStr">
        <is>
          <t>All is Well</t>
        </is>
      </c>
    </row>
    <row r="455">
      <c r="A455" s="37" t="inlineStr">
        <is>
          <t>Amit Chakraborty</t>
        </is>
      </c>
      <c r="B455" s="37" t="inlineStr">
        <is>
          <t>Danapur</t>
        </is>
      </c>
      <c r="C455" s="37" t="inlineStr">
        <is>
          <t>GROW Youth-Accenture</t>
        </is>
      </c>
      <c r="D455" s="37" t="inlineStr">
        <is>
          <t>2026-07-10</t>
        </is>
      </c>
      <c r="E455" s="37" t="inlineStr">
        <is>
          <t>Infra Check</t>
        </is>
      </c>
      <c r="F455" s="37" t="inlineStr">
        <is>
          <t>Check basic cleanliness of the washrooms and the centre.</t>
        </is>
      </c>
      <c r="G455" s="37" t="inlineStr">
        <is>
          <t>All is Well</t>
        </is>
      </c>
    </row>
    <row r="456">
      <c r="A456" s="37" t="inlineStr">
        <is>
          <t>Amit Chakraborty</t>
        </is>
      </c>
      <c r="B456" s="37" t="inlineStr">
        <is>
          <t>Danapur</t>
        </is>
      </c>
      <c r="C456" s="37" t="inlineStr">
        <is>
          <t>GROW Youth-Accenture</t>
        </is>
      </c>
      <c r="D456" s="37" t="inlineStr">
        <is>
          <t>2026-07-10</t>
        </is>
      </c>
      <c r="E456" s="37" t="inlineStr">
        <is>
          <t>Infra Check</t>
        </is>
      </c>
      <c r="F456" s="37" t="inlineStr">
        <is>
          <t>Confirm the correct program and partner logos are displayed.</t>
        </is>
      </c>
      <c r="G456" s="37" t="inlineStr">
        <is>
          <t>All is Well</t>
        </is>
      </c>
    </row>
    <row r="457">
      <c r="A457" s="37" t="inlineStr">
        <is>
          <t>Amit Chakraborty</t>
        </is>
      </c>
      <c r="B457" s="37" t="inlineStr">
        <is>
          <t>Danapur</t>
        </is>
      </c>
      <c r="C457" s="37" t="inlineStr">
        <is>
          <t>GROW Youth-Accenture</t>
        </is>
      </c>
      <c r="D457" s="37" t="inlineStr">
        <is>
          <t>2026-07-10</t>
        </is>
      </c>
      <c r="E457" s="37" t="inlineStr">
        <is>
          <t>Infra Check</t>
        </is>
      </c>
      <c r="F457" s="37" t="inlineStr">
        <is>
          <t>Check the status of digital infra — PCs, smartboards, tablets, laptops, etc.</t>
        </is>
      </c>
      <c r="G457" s="37" t="inlineStr">
        <is>
          <t>Need Improvement</t>
        </is>
      </c>
    </row>
    <row r="458">
      <c r="A458" s="37" t="inlineStr">
        <is>
          <t>Amit Chakraborty</t>
        </is>
      </c>
      <c r="B458" s="37" t="inlineStr">
        <is>
          <t>Danapur</t>
        </is>
      </c>
      <c r="C458" s="37" t="inlineStr">
        <is>
          <t>GROW Youth-Accenture</t>
        </is>
      </c>
      <c r="D458" s="37" t="inlineStr">
        <is>
          <t>2026-07-10</t>
        </is>
      </c>
      <c r="E458" s="37" t="inlineStr">
        <is>
          <t>Infra Check</t>
        </is>
      </c>
      <c r="F458" s="37" t="inlineStr">
        <is>
          <t>Make a quick hostel visit; have lunch there if possible to test the food quality.</t>
        </is>
      </c>
      <c r="G458" s="37" t="inlineStr">
        <is>
          <t>Not Applicable</t>
        </is>
      </c>
    </row>
    <row r="459">
      <c r="A459" s="37" t="inlineStr">
        <is>
          <t>Amit Chakraborty</t>
        </is>
      </c>
      <c r="B459" s="37" t="inlineStr">
        <is>
          <t>Danapur</t>
        </is>
      </c>
      <c r="C459" s="37" t="inlineStr">
        <is>
          <t>GROW Youth-Accenture</t>
        </is>
      </c>
      <c r="D459" s="37" t="inlineStr">
        <is>
          <t>2026-07-10</t>
        </is>
      </c>
      <c r="E459" s="37" t="inlineStr">
        <is>
          <t>Process Check</t>
        </is>
      </c>
      <c r="F459" s="37" t="inlineStr">
        <is>
          <t>Refer to the activity planner — check if any activities are delayed.</t>
        </is>
      </c>
      <c r="G459" s="37" t="inlineStr">
        <is>
          <t>Need Improvement</t>
        </is>
      </c>
    </row>
    <row r="460">
      <c r="A460" s="37" t="inlineStr">
        <is>
          <t>Amit Chakraborty</t>
        </is>
      </c>
      <c r="B460" s="37" t="inlineStr">
        <is>
          <t>Danapur</t>
        </is>
      </c>
      <c r="C460" s="37" t="inlineStr">
        <is>
          <t>GROW Youth-Accenture</t>
        </is>
      </c>
      <c r="D460" s="37" t="inlineStr">
        <is>
          <t>2026-07-10</t>
        </is>
      </c>
      <c r="E460" s="37" t="inlineStr">
        <is>
          <t>Process Check</t>
        </is>
      </c>
      <c r="F460" s="37" t="inlineStr">
        <is>
          <t>Check planning for the next batch-start announcement.</t>
        </is>
      </c>
      <c r="G460" s="37" t="inlineStr">
        <is>
          <t>All is Well</t>
        </is>
      </c>
    </row>
    <row r="461">
      <c r="A461" s="37" t="inlineStr">
        <is>
          <t>Amit Chakraborty</t>
        </is>
      </c>
      <c r="B461" s="37" t="inlineStr">
        <is>
          <t>Danapur</t>
        </is>
      </c>
      <c r="C461" s="37" t="inlineStr">
        <is>
          <t>GROW Youth-Accenture</t>
        </is>
      </c>
      <c r="D461" s="37" t="inlineStr">
        <is>
          <t>2026-07-10</t>
        </is>
      </c>
      <c r="E461" s="37" t="inlineStr">
        <is>
          <t>Process Check</t>
        </is>
      </c>
      <c r="F461" s="37" t="inlineStr">
        <is>
          <t>Check if any hiring is delayed and plan a resolution.</t>
        </is>
      </c>
      <c r="G461" s="37" t="inlineStr">
        <is>
          <t>All is Well</t>
        </is>
      </c>
    </row>
    <row r="462">
      <c r="A462" s="37" t="inlineStr">
        <is>
          <t>Amit Chakraborty</t>
        </is>
      </c>
      <c r="B462" s="37" t="inlineStr">
        <is>
          <t>Danapur</t>
        </is>
      </c>
      <c r="C462" s="37" t="inlineStr">
        <is>
          <t>GROW Youth-Accenture</t>
        </is>
      </c>
      <c r="D462" s="37" t="inlineStr">
        <is>
          <t>2026-07-10</t>
        </is>
      </c>
      <c r="E462" s="37" t="inlineStr">
        <is>
          <t>Process Check</t>
        </is>
      </c>
      <c r="F462" s="37" t="inlineStr">
        <is>
          <t>Check the CA’s diary — is CA guided daily by the AH during planning days?</t>
        </is>
      </c>
      <c r="G462" s="37" t="inlineStr">
        <is>
          <t>Need Improvement</t>
        </is>
      </c>
    </row>
    <row r="463">
      <c r="A463" s="37" t="inlineStr">
        <is>
          <t>Amit Chakraborty</t>
        </is>
      </c>
      <c r="B463" s="37" t="inlineStr">
        <is>
          <t>Danapur</t>
        </is>
      </c>
      <c r="C463" s="37" t="inlineStr">
        <is>
          <t>GROW Youth-Accenture</t>
        </is>
      </c>
      <c r="D463" s="37" t="inlineStr">
        <is>
          <t>2026-07-10</t>
        </is>
      </c>
      <c r="E463" s="37" t="inlineStr">
        <is>
          <t>Process Check</t>
        </is>
      </c>
      <c r="F463" s="37" t="inlineStr">
        <is>
          <t>Check the AH is regularly meeting employers (in person and online) and updating the centre’s Top 20 Employer format.</t>
        </is>
      </c>
      <c r="G463" s="37" t="inlineStr">
        <is>
          <t>All is Well</t>
        </is>
      </c>
    </row>
    <row r="464">
      <c r="A464" s="37" t="inlineStr">
        <is>
          <t>Amit Chakraborty</t>
        </is>
      </c>
      <c r="B464" s="37" t="inlineStr">
        <is>
          <t>Danapur</t>
        </is>
      </c>
      <c r="C464" s="37" t="inlineStr">
        <is>
          <t>GROW Youth-Accenture</t>
        </is>
      </c>
      <c r="D464" s="37" t="inlineStr">
        <is>
          <t>2026-07-10</t>
        </is>
      </c>
      <c r="E464" s="37" t="inlineStr">
        <is>
          <t>Process Check</t>
        </is>
      </c>
      <c r="F464" s="37" t="inlineStr">
        <is>
          <t>Confirm all new employers are registered on portal as per new process.</t>
        </is>
      </c>
      <c r="G464" s="37" t="inlineStr">
        <is>
          <t>All is Well</t>
        </is>
      </c>
    </row>
    <row r="465">
      <c r="A465" s="37" t="inlineStr">
        <is>
          <t>Amit Chakraborty</t>
        </is>
      </c>
      <c r="B465" s="37" t="inlineStr">
        <is>
          <t>Danapur</t>
        </is>
      </c>
      <c r="C465" s="37" t="inlineStr">
        <is>
          <t>GROW Youth-Accenture</t>
        </is>
      </c>
      <c r="D465" s="37" t="inlineStr">
        <is>
          <t>2026-07-10</t>
        </is>
      </c>
      <c r="E465" s="37" t="inlineStr">
        <is>
          <t>Process Check</t>
        </is>
      </c>
      <c r="F465" s="37" t="inlineStr">
        <is>
          <t>Confirm 100% of enrolled students undergone screening (for technical courses).</t>
        </is>
      </c>
      <c r="G465" s="37" t="inlineStr">
        <is>
          <t>Not Applicable</t>
        </is>
      </c>
    </row>
    <row r="466">
      <c r="A466" s="37" t="inlineStr">
        <is>
          <t>Amit Chakraborty</t>
        </is>
      </c>
      <c r="B466" s="37" t="inlineStr">
        <is>
          <t>Danapur</t>
        </is>
      </c>
      <c r="C466" s="37" t="inlineStr">
        <is>
          <t>GROW Youth-Accenture</t>
        </is>
      </c>
      <c r="D466" s="37" t="inlineStr">
        <is>
          <t>2026-07-10</t>
        </is>
      </c>
      <c r="E466" s="37" t="inlineStr">
        <is>
          <t>Process Check</t>
        </is>
      </c>
      <c r="F466" s="37" t="inlineStr">
        <is>
          <t>Confirm ESA is done (in GROW full ESA and in Technical courses relevant sections of Core Employability Part).</t>
        </is>
      </c>
      <c r="G466" s="37" t="inlineStr">
        <is>
          <t>Need Improvement</t>
        </is>
      </c>
    </row>
    <row r="467">
      <c r="A467" s="37" t="inlineStr">
        <is>
          <t>Amit Chakraborty</t>
        </is>
      </c>
      <c r="B467" s="37" t="inlineStr">
        <is>
          <t>Danapur</t>
        </is>
      </c>
      <c r="C467" s="37" t="inlineStr">
        <is>
          <t>GROW Youth-Accenture</t>
        </is>
      </c>
      <c r="D467" s="37" t="inlineStr">
        <is>
          <t>2026-07-10</t>
        </is>
      </c>
      <c r="E467" s="37" t="inlineStr">
        <is>
          <t>Process Check</t>
        </is>
      </c>
      <c r="F467" s="37" t="inlineStr">
        <is>
          <t>Check is AH giving capstone project in GROW Tech.</t>
        </is>
      </c>
      <c r="G467" s="37" t="inlineStr">
        <is>
          <t>Not Applicable</t>
        </is>
      </c>
    </row>
    <row r="468">
      <c r="A468" s="37" t="inlineStr">
        <is>
          <t>Amit Chakraborty</t>
        </is>
      </c>
      <c r="B468" s="37" t="inlineStr">
        <is>
          <t>Danapur</t>
        </is>
      </c>
      <c r="C468" s="37" t="inlineStr">
        <is>
          <t>GROW Youth-Accenture</t>
        </is>
      </c>
      <c r="D468" s="37" t="inlineStr">
        <is>
          <t>2026-07-10</t>
        </is>
      </c>
      <c r="E468" s="37" t="inlineStr">
        <is>
          <t>Process Check</t>
        </is>
      </c>
      <c r="F468" s="37" t="inlineStr">
        <is>
          <t>Check is AH planning OJT as per guidelines and proofs are collected for technical courses.</t>
        </is>
      </c>
      <c r="G468" s="37" t="inlineStr">
        <is>
          <t>Not Applicable</t>
        </is>
      </c>
    </row>
    <row r="469">
      <c r="A469" s="37" t="inlineStr">
        <is>
          <t>Amit Chakraborty</t>
        </is>
      </c>
      <c r="B469" s="37" t="inlineStr">
        <is>
          <t>Danapur</t>
        </is>
      </c>
      <c r="C469" s="37" t="inlineStr">
        <is>
          <t>GROW Youth-Accenture</t>
        </is>
      </c>
      <c r="D469" s="37" t="inlineStr">
        <is>
          <t>2026-07-10</t>
        </is>
      </c>
      <c r="E469" s="37" t="inlineStr">
        <is>
          <t>Process Check</t>
        </is>
      </c>
      <c r="F469" s="37" t="inlineStr">
        <is>
          <t>Check are trainers contacting aspirants to find reason for their absenteeism of more than 1 day.</t>
        </is>
      </c>
      <c r="G469" s="37" t="inlineStr">
        <is>
          <t>All is Well</t>
        </is>
      </c>
    </row>
    <row r="470">
      <c r="A470" s="37" t="inlineStr">
        <is>
          <t>Amit Chakraborty</t>
        </is>
      </c>
      <c r="B470" s="37" t="inlineStr">
        <is>
          <t>Danapur</t>
        </is>
      </c>
      <c r="C470" s="37" t="inlineStr">
        <is>
          <t>GROW Youth-Accenture</t>
        </is>
      </c>
      <c r="D470" s="37" t="inlineStr">
        <is>
          <t>2026-07-10</t>
        </is>
      </c>
      <c r="E470" s="37" t="inlineStr">
        <is>
          <t>Process Check</t>
        </is>
      </c>
      <c r="F470" s="37" t="inlineStr">
        <is>
          <t>Check the AH plans monthly enrolment and placement numbers by the 3rd of each month and shares them with second level managers.</t>
        </is>
      </c>
      <c r="G470" s="37" t="inlineStr">
        <is>
          <t>All is Well</t>
        </is>
      </c>
    </row>
    <row r="471">
      <c r="A471" s="37" t="inlineStr">
        <is>
          <t>Amit Chakraborty</t>
        </is>
      </c>
      <c r="B471" s="37" t="inlineStr">
        <is>
          <t>Danapur</t>
        </is>
      </c>
      <c r="C471" s="37" t="inlineStr">
        <is>
          <t>GROW Youth-Accenture</t>
        </is>
      </c>
      <c r="D471" s="37" t="inlineStr">
        <is>
          <t>2026-07-10</t>
        </is>
      </c>
      <c r="E471" s="37" t="inlineStr">
        <is>
          <t>Process Check</t>
        </is>
      </c>
      <c r="F471" s="37" t="inlineStr">
        <is>
          <t>Check trainers submit aspirants’ placement interest areas to the AH by the batch’s 25th day (in GROW).</t>
        </is>
      </c>
      <c r="G471" s="37" t="inlineStr">
        <is>
          <t>Need Improvement</t>
        </is>
      </c>
    </row>
    <row r="472">
      <c r="A472" s="37" t="inlineStr">
        <is>
          <t>Amit Chakraborty</t>
        </is>
      </c>
      <c r="B472" s="37" t="inlineStr">
        <is>
          <t>Danapur</t>
        </is>
      </c>
      <c r="C472" s="37" t="inlineStr">
        <is>
          <t>GROW Youth-Accenture</t>
        </is>
      </c>
      <c r="D472" s="37" t="inlineStr">
        <is>
          <t>2026-07-10</t>
        </is>
      </c>
      <c r="E472" s="37" t="inlineStr">
        <is>
          <t>Process Check</t>
        </is>
      </c>
      <c r="F472" s="37" t="inlineStr">
        <is>
          <t>Ckeck For technical programs, placement is done only in technical jobs,on which aspirants are trained and relevant emplyers are identified by 45th day.</t>
        </is>
      </c>
      <c r="G472" s="37" t="inlineStr">
        <is>
          <t>Not Applicable</t>
        </is>
      </c>
    </row>
    <row r="473">
      <c r="A473" s="37" t="inlineStr">
        <is>
          <t>Amit Chakraborty</t>
        </is>
      </c>
      <c r="B473" s="37" t="inlineStr">
        <is>
          <t>Danapur</t>
        </is>
      </c>
      <c r="C473" s="37" t="inlineStr">
        <is>
          <t>GROW Youth-Accenture</t>
        </is>
      </c>
      <c r="D473" s="37" t="inlineStr">
        <is>
          <t>2026-07-10</t>
        </is>
      </c>
      <c r="E473" s="37" t="inlineStr">
        <is>
          <t>Process Check</t>
        </is>
      </c>
      <c r="F473" s="37" t="inlineStr">
        <is>
          <t>Check the AH follows EP guidelines and minimum benchmark salary guidelines.</t>
        </is>
      </c>
      <c r="G473" s="37" t="inlineStr">
        <is>
          <t>All is Well</t>
        </is>
      </c>
    </row>
    <row r="474">
      <c r="A474" s="37" t="inlineStr">
        <is>
          <t>Amit Chakraborty</t>
        </is>
      </c>
      <c r="B474" s="37" t="inlineStr">
        <is>
          <t>Danapur</t>
        </is>
      </c>
      <c r="C474" s="37" t="inlineStr">
        <is>
          <t>GROW Youth-Accenture</t>
        </is>
      </c>
      <c r="D474" s="37" t="inlineStr">
        <is>
          <t>2026-07-10</t>
        </is>
      </c>
      <c r="E474" s="37" t="inlineStr">
        <is>
          <t>Process Check</t>
        </is>
      </c>
      <c r="F474" s="37" t="inlineStr">
        <is>
          <t>Check that AH is enrolling only the right traget group in the program -as per the defined target.</t>
        </is>
      </c>
      <c r="G474" s="37" t="inlineStr">
        <is>
          <t>Need Improvement</t>
        </is>
      </c>
    </row>
    <row r="475">
      <c r="A475" s="37" t="inlineStr">
        <is>
          <t>Amit Chakraborty</t>
        </is>
      </c>
      <c r="B475" s="37" t="inlineStr">
        <is>
          <t>Danapur</t>
        </is>
      </c>
      <c r="C475" s="37" t="inlineStr">
        <is>
          <t>GROW Youth-Accenture</t>
        </is>
      </c>
      <c r="D475" s="37" t="inlineStr">
        <is>
          <t>2026-07-10</t>
        </is>
      </c>
      <c r="E475" s="37" t="inlineStr">
        <is>
          <t>Process Check</t>
        </is>
      </c>
      <c r="F475" s="37" t="inlineStr">
        <is>
          <t>Check the AH announces the next batch-start date by the 3rd of the month on all notice boards — focus on Zero-Day start.</t>
        </is>
      </c>
      <c r="G475" s="37" t="inlineStr">
        <is>
          <t>All is Well</t>
        </is>
      </c>
    </row>
    <row r="476">
      <c r="A476" s="37" t="inlineStr">
        <is>
          <t>Amit Chakraborty</t>
        </is>
      </c>
      <c r="B476" s="37" t="inlineStr">
        <is>
          <t>Danapur</t>
        </is>
      </c>
      <c r="C476" s="37" t="inlineStr">
        <is>
          <t>GROW Youth-Accenture</t>
        </is>
      </c>
      <c r="D476" s="37" t="inlineStr">
        <is>
          <t>2026-07-10</t>
        </is>
      </c>
      <c r="E476" s="37" t="inlineStr">
        <is>
          <t>Process Check</t>
        </is>
      </c>
      <c r="F476" s="37" t="inlineStr">
        <is>
          <t>Check the Aspirant Mock Interview Score Tracker is updated after every mock interview in the L&amp;D Google Sheet.</t>
        </is>
      </c>
      <c r="G476" s="37" t="inlineStr">
        <is>
          <t>Need Improvement</t>
        </is>
      </c>
    </row>
    <row r="477">
      <c r="A477" s="37" t="inlineStr">
        <is>
          <t>Amit Chakraborty</t>
        </is>
      </c>
      <c r="B477" s="37" t="inlineStr">
        <is>
          <t>Danapur</t>
        </is>
      </c>
      <c r="C477" s="37" t="inlineStr">
        <is>
          <t>GROW Youth-Accenture</t>
        </is>
      </c>
      <c r="D477" s="37" t="inlineStr">
        <is>
          <t>2026-07-10</t>
        </is>
      </c>
      <c r="E477" s="37" t="inlineStr">
        <is>
          <t>Process Check</t>
        </is>
      </c>
      <c r="F477" s="37" t="inlineStr">
        <is>
          <t>Confirm NPS (Net Promoter Score) is collected at MSDF centres.</t>
        </is>
      </c>
      <c r="G477" s="37" t="inlineStr">
        <is>
          <t>Not Applicable</t>
        </is>
      </c>
    </row>
    <row r="478">
      <c r="A478" s="37" t="inlineStr">
        <is>
          <t>Amit Chakraborty</t>
        </is>
      </c>
      <c r="B478" s="37" t="inlineStr">
        <is>
          <t>Danapur</t>
        </is>
      </c>
      <c r="C478" s="37" t="inlineStr">
        <is>
          <t>GROW Youth-Accenture</t>
        </is>
      </c>
      <c r="D478" s="37" t="inlineStr">
        <is>
          <t>2026-07-10</t>
        </is>
      </c>
      <c r="E478" s="37" t="inlineStr">
        <is>
          <t>Process Check</t>
        </is>
      </c>
      <c r="F478" s="37" t="inlineStr">
        <is>
          <t>Confirm that QAE is collecting student feedback for every batch.</t>
        </is>
      </c>
      <c r="G478" s="37" t="inlineStr">
        <is>
          <t>All is Well</t>
        </is>
      </c>
    </row>
    <row r="479">
      <c r="A479" s="37" t="inlineStr">
        <is>
          <t>Amit Chakraborty</t>
        </is>
      </c>
      <c r="B479" s="37" t="inlineStr">
        <is>
          <t>Danapur</t>
        </is>
      </c>
      <c r="C479" s="37" t="inlineStr">
        <is>
          <t>GROW Youth-Accenture</t>
        </is>
      </c>
      <c r="D479" s="37" t="inlineStr">
        <is>
          <t>2026-07-10</t>
        </is>
      </c>
      <c r="E479" s="37" t="inlineStr">
        <is>
          <t>Process Check</t>
        </is>
      </c>
      <c r="F479" s="37" t="inlineStr">
        <is>
          <t>Confirm all centre teams have completed the GROW Manual Course on Skillfy — ask for achievement certificates.</t>
        </is>
      </c>
      <c r="G479" s="37" t="inlineStr">
        <is>
          <t>Need Improvement</t>
        </is>
      </c>
    </row>
    <row r="480">
      <c r="A480" s="37" t="inlineStr">
        <is>
          <t>Amit Chakraborty</t>
        </is>
      </c>
      <c r="B480" s="37" t="inlineStr">
        <is>
          <t>Danapur</t>
        </is>
      </c>
      <c r="C480" s="37" t="inlineStr">
        <is>
          <t>GROW Youth-Accenture</t>
        </is>
      </c>
      <c r="D480" s="37" t="inlineStr">
        <is>
          <t>2026-07-10</t>
        </is>
      </c>
      <c r="E480" s="37" t="inlineStr">
        <is>
          <t>Process Check</t>
        </is>
      </c>
      <c r="F480" s="37" t="inlineStr">
        <is>
          <t>Check AH holds a quality weekly team meeting, documents action points in the weekly meeting format, and sends you a photo on WhatsApp.</t>
        </is>
      </c>
      <c r="G480" s="37" t="inlineStr">
        <is>
          <t>Need Improvement</t>
        </is>
      </c>
    </row>
    <row r="481">
      <c r="A481" s="37" t="inlineStr">
        <is>
          <t>Amit Chakraborty</t>
        </is>
      </c>
      <c r="B481" s="37" t="inlineStr">
        <is>
          <t>Danapur</t>
        </is>
      </c>
      <c r="C481" s="37" t="inlineStr">
        <is>
          <t>GROW Youth-Accenture</t>
        </is>
      </c>
      <c r="D481" s="37" t="inlineStr">
        <is>
          <t>2026-07-10</t>
        </is>
      </c>
      <c r="E481" s="37" t="inlineStr">
        <is>
          <t>Aspirant Interaction</t>
        </is>
      </c>
      <c r="F481" s="37" t="inlineStr">
        <is>
          <t>Ask aspirants about the session plan — confirm training is happening as planned?</t>
        </is>
      </c>
      <c r="G481" s="37" t="inlineStr">
        <is>
          <t>All is Well</t>
        </is>
      </c>
    </row>
    <row r="482">
      <c r="A482" s="37" t="inlineStr">
        <is>
          <t>Amit Chakraborty</t>
        </is>
      </c>
      <c r="B482" s="37" t="inlineStr">
        <is>
          <t>Danapur</t>
        </is>
      </c>
      <c r="C482" s="37" t="inlineStr">
        <is>
          <t>GROW Youth-Accenture</t>
        </is>
      </c>
      <c r="D482" s="37" t="inlineStr">
        <is>
          <t>2026-07-10</t>
        </is>
      </c>
      <c r="E482" s="37" t="inlineStr">
        <is>
          <t>Aspirant Interaction</t>
        </is>
      </c>
      <c r="F482" s="37" t="inlineStr">
        <is>
          <t>Ask about the quality of Core Employability component delivery (technical centres) and who delivers it.</t>
        </is>
      </c>
      <c r="G482" s="37" t="inlineStr">
        <is>
          <t>Not Applicable</t>
        </is>
      </c>
    </row>
    <row r="483">
      <c r="A483" s="37" t="inlineStr">
        <is>
          <t>Amit Chakraborty</t>
        </is>
      </c>
      <c r="B483" s="37" t="inlineStr">
        <is>
          <t>Danapur</t>
        </is>
      </c>
      <c r="C483" s="37" t="inlineStr">
        <is>
          <t>GROW Youth-Accenture</t>
        </is>
      </c>
      <c r="D483" s="37" t="inlineStr">
        <is>
          <t>2026-07-10</t>
        </is>
      </c>
      <c r="E483" s="37" t="inlineStr">
        <is>
          <t>Aspirant Interaction</t>
        </is>
      </c>
      <c r="F483" s="37" t="inlineStr">
        <is>
          <t>Ask whether they are aware of the referral scheme?</t>
        </is>
      </c>
      <c r="G483" s="37" t="inlineStr">
        <is>
          <t>All is Well</t>
        </is>
      </c>
    </row>
    <row r="484">
      <c r="A484" s="37" t="inlineStr">
        <is>
          <t>Amit Chakraborty</t>
        </is>
      </c>
      <c r="B484" s="37" t="inlineStr">
        <is>
          <t>Danapur</t>
        </is>
      </c>
      <c r="C484" s="37" t="inlineStr">
        <is>
          <t>GROW Youth-Accenture</t>
        </is>
      </c>
      <c r="D484" s="37" t="inlineStr">
        <is>
          <t>2026-07-10</t>
        </is>
      </c>
      <c r="E484" s="37" t="inlineStr">
        <is>
          <t>Aspirant Interaction</t>
        </is>
      </c>
      <c r="F484" s="37" t="inlineStr">
        <is>
          <t>Ask whether the AH explained the importance of the offer letter and sharing it with us once received for reporting purposes?</t>
        </is>
      </c>
      <c r="G484" s="37" t="inlineStr">
        <is>
          <t>All is Well</t>
        </is>
      </c>
    </row>
    <row r="485">
      <c r="A485" s="37" t="inlineStr">
        <is>
          <t>Amit Chakraborty</t>
        </is>
      </c>
      <c r="B485" s="37" t="inlineStr">
        <is>
          <t>Danapur</t>
        </is>
      </c>
      <c r="C485" s="37" t="inlineStr">
        <is>
          <t>GROW Youth-Accenture</t>
        </is>
      </c>
      <c r="D485" s="37" t="inlineStr">
        <is>
          <t>2026-07-10</t>
        </is>
      </c>
      <c r="E485" s="37" t="inlineStr">
        <is>
          <t>Aspirant Interaction</t>
        </is>
      </c>
      <c r="F485" s="37" t="inlineStr">
        <is>
          <t>Ask how many are not interested in jobs — and if so, why they enrolled in the programme?</t>
        </is>
      </c>
      <c r="G485" s="37" t="inlineStr">
        <is>
          <t>All is Well</t>
        </is>
      </c>
    </row>
    <row r="486">
      <c r="A486" s="37" t="inlineStr">
        <is>
          <t>Amit Chakraborty</t>
        </is>
      </c>
      <c r="B486" s="37" t="inlineStr">
        <is>
          <t>Danapur</t>
        </is>
      </c>
      <c r="C486" s="37" t="inlineStr">
        <is>
          <t>GROW Youth-Accenture</t>
        </is>
      </c>
      <c r="D486" s="37" t="inlineStr">
        <is>
          <t>2026-07-10</t>
        </is>
      </c>
      <c r="E486" s="37" t="inlineStr">
        <is>
          <t>Aspirant Interaction</t>
        </is>
      </c>
      <c r="F486" s="37" t="inlineStr">
        <is>
          <t>Ask whether they were told the kind of job they would get during counselling?</t>
        </is>
      </c>
      <c r="G486" s="37" t="inlineStr">
        <is>
          <t>All is Well</t>
        </is>
      </c>
    </row>
    <row r="487">
      <c r="A487" s="37" t="inlineStr">
        <is>
          <t>Amit Chakraborty</t>
        </is>
      </c>
      <c r="B487" s="37" t="inlineStr">
        <is>
          <t>Danapur</t>
        </is>
      </c>
      <c r="C487" s="37" t="inlineStr">
        <is>
          <t>GROW Youth-Accenture</t>
        </is>
      </c>
      <c r="D487" s="37" t="inlineStr">
        <is>
          <t>2026-07-10</t>
        </is>
      </c>
      <c r="E487" s="37" t="inlineStr">
        <is>
          <t>Aspirant Interaction</t>
        </is>
      </c>
      <c r="F487" s="37" t="inlineStr">
        <is>
          <t>Ask whether they have been given LMS access?</t>
        </is>
      </c>
      <c r="G487" s="37" t="inlineStr">
        <is>
          <t>All is Well</t>
        </is>
      </c>
    </row>
    <row r="488">
      <c r="A488" s="37" t="inlineStr">
        <is>
          <t>Amit Chakraborty</t>
        </is>
      </c>
      <c r="B488" s="37" t="inlineStr">
        <is>
          <t>Danapur</t>
        </is>
      </c>
      <c r="C488" s="37" t="inlineStr">
        <is>
          <t>GROW Youth-Accenture</t>
        </is>
      </c>
      <c r="D488" s="37" t="inlineStr">
        <is>
          <t>2026-07-10</t>
        </is>
      </c>
      <c r="E488" s="37" t="inlineStr">
        <is>
          <t>Aspirant Interaction</t>
        </is>
      </c>
      <c r="F488" s="37" t="inlineStr">
        <is>
          <t>Ask whether anyone asked them for money for training or placement?</t>
        </is>
      </c>
      <c r="G488" s="37" t="inlineStr">
        <is>
          <t>All is Well</t>
        </is>
      </c>
    </row>
    <row r="489">
      <c r="A489" s="37" t="inlineStr">
        <is>
          <t>Amit Chakraborty</t>
        </is>
      </c>
      <c r="B489" s="37" t="inlineStr">
        <is>
          <t>Danapur</t>
        </is>
      </c>
      <c r="C489" s="37" t="inlineStr">
        <is>
          <t>GROW Youth-Accenture</t>
        </is>
      </c>
      <c r="D489" s="37" t="inlineStr">
        <is>
          <t>2026-07-10</t>
        </is>
      </c>
      <c r="E489" s="37" t="inlineStr">
        <is>
          <t>Aspirant Interaction</t>
        </is>
      </c>
      <c r="F489" s="37" t="inlineStr">
        <is>
          <t>Ask to show their mobile phones — are they enrolled on Skillfy? If not, get them enrolled and give written feedback to trainers and the AH in your presence.</t>
        </is>
      </c>
      <c r="G489" s="37" t="inlineStr">
        <is>
          <t>Need Improvement</t>
        </is>
      </c>
    </row>
    <row r="490">
      <c r="A490" s="37" t="inlineStr">
        <is>
          <t>Amit Chakraborty</t>
        </is>
      </c>
      <c r="B490" s="37" t="inlineStr">
        <is>
          <t>Danapur</t>
        </is>
      </c>
      <c r="C490" s="37" t="inlineStr">
        <is>
          <t>GROW Youth-Accenture</t>
        </is>
      </c>
      <c r="D490" s="37" t="inlineStr">
        <is>
          <t>2026-07-10</t>
        </is>
      </c>
      <c r="E490" s="37" t="inlineStr">
        <is>
          <t>Aspirant Interaction</t>
        </is>
      </c>
      <c r="F490" s="37" t="inlineStr">
        <is>
          <t>Ask about the quality of the hostel and any issues they face.</t>
        </is>
      </c>
      <c r="G490" s="37" t="inlineStr">
        <is>
          <t>Not Applicable</t>
        </is>
      </c>
    </row>
    <row r="491">
      <c r="A491" s="37" t="inlineStr">
        <is>
          <t>Amit Chakraborty</t>
        </is>
      </c>
      <c r="B491" s="37" t="inlineStr">
        <is>
          <t>Danapur</t>
        </is>
      </c>
      <c r="C491" s="37" t="inlineStr">
        <is>
          <t>GROW Youth-Accenture</t>
        </is>
      </c>
      <c r="D491" s="37" t="inlineStr">
        <is>
          <t>2026-07-10</t>
        </is>
      </c>
      <c r="E491" s="37" t="inlineStr">
        <is>
          <t>Aspirant Interaction</t>
        </is>
      </c>
      <c r="F491" s="37" t="inlineStr">
        <is>
          <t>Ask a few relevant screening questions to support the 10th-day report and remove non-serious candidates, explaining to them the reasons.</t>
        </is>
      </c>
      <c r="G491" s="37" t="inlineStr">
        <is>
          <t>All is Well</t>
        </is>
      </c>
    </row>
    <row r="492">
      <c r="A492" s="37" t="inlineStr">
        <is>
          <t>Barna</t>
        </is>
      </c>
      <c r="B492" s="37" t="inlineStr">
        <is>
          <t>Daryaganj</t>
        </is>
      </c>
      <c r="C492" s="37" t="inlineStr">
        <is>
          <t>CITI Youth</t>
        </is>
      </c>
      <c r="D492" s="37" t="inlineStr">
        <is>
          <t>2026-07-07</t>
        </is>
      </c>
      <c r="E492" s="37" t="inlineStr">
        <is>
          <t>Data Check</t>
        </is>
      </c>
      <c r="F492" s="37" t="inlineStr">
        <is>
          <t>Reach the centre on time (unannounced) — confirm the centre opened on time.</t>
        </is>
      </c>
      <c r="G492" s="37" t="inlineStr">
        <is>
          <t>All is Well</t>
        </is>
      </c>
    </row>
    <row r="493">
      <c r="A493" s="37" t="inlineStr">
        <is>
          <t>Barna</t>
        </is>
      </c>
      <c r="B493" s="37" t="inlineStr">
        <is>
          <t>Daryaganj</t>
        </is>
      </c>
      <c r="C493" s="37" t="inlineStr">
        <is>
          <t>CITI Youth</t>
        </is>
      </c>
      <c r="D493" s="37" t="inlineStr">
        <is>
          <t>2026-07-07</t>
        </is>
      </c>
      <c r="E493" s="37" t="inlineStr">
        <is>
          <t>Data Check</t>
        </is>
      </c>
      <c r="F493" s="37" t="inlineStr">
        <is>
          <t>Check the staff attendance register, the Google Sheet, and geo-tagged photos for aspirants.</t>
        </is>
      </c>
      <c r="G493" s="37" t="inlineStr">
        <is>
          <t>All is Well</t>
        </is>
      </c>
    </row>
    <row r="494">
      <c r="A494" s="37" t="inlineStr">
        <is>
          <t>Barna</t>
        </is>
      </c>
      <c r="B494" s="37" t="inlineStr">
        <is>
          <t>Daryaganj</t>
        </is>
      </c>
      <c r="C494" s="37" t="inlineStr">
        <is>
          <t>CITI Youth</t>
        </is>
      </c>
      <c r="D494" s="37" t="inlineStr">
        <is>
          <t>2026-07-07</t>
        </is>
      </c>
      <c r="E494" s="37" t="inlineStr">
        <is>
          <t>Data Check</t>
        </is>
      </c>
      <c r="F494" s="37" t="inlineStr">
        <is>
          <t>Check Counselling and Screening Forms of recently started batches.</t>
        </is>
      </c>
      <c r="G494" s="37" t="inlineStr">
        <is>
          <t>All is Well</t>
        </is>
      </c>
    </row>
    <row r="495">
      <c r="A495" s="37" t="inlineStr">
        <is>
          <t>Barna</t>
        </is>
      </c>
      <c r="B495" s="37" t="inlineStr">
        <is>
          <t>Daryaganj</t>
        </is>
      </c>
      <c r="C495" s="37" t="inlineStr">
        <is>
          <t>CITI Youth</t>
        </is>
      </c>
      <c r="D495" s="37" t="inlineStr">
        <is>
          <t>2026-07-07</t>
        </is>
      </c>
      <c r="E495" s="37" t="inlineStr">
        <is>
          <t>Data Check</t>
        </is>
      </c>
      <c r="F495" s="37" t="inlineStr">
        <is>
          <t>Check Aspirant Registration Forms and related documents.</t>
        </is>
      </c>
      <c r="G495" s="37" t="inlineStr">
        <is>
          <t>Need Improvement</t>
        </is>
      </c>
    </row>
    <row r="496">
      <c r="A496" s="37" t="inlineStr">
        <is>
          <t>Barna</t>
        </is>
      </c>
      <c r="B496" s="37" t="inlineStr">
        <is>
          <t>Daryaganj</t>
        </is>
      </c>
      <c r="C496" s="37" t="inlineStr">
        <is>
          <t>CITI Youth</t>
        </is>
      </c>
      <c r="D496" s="37" t="inlineStr">
        <is>
          <t>2026-07-07</t>
        </is>
      </c>
      <c r="E496" s="37" t="inlineStr">
        <is>
          <t>Data Check</t>
        </is>
      </c>
      <c r="F496" s="37" t="inlineStr">
        <is>
          <t>On the GROW portal, confirm all student profile details and batch updates are currect.</t>
        </is>
      </c>
      <c r="G496" s="37" t="inlineStr">
        <is>
          <t>All is Well</t>
        </is>
      </c>
    </row>
    <row r="497">
      <c r="A497" s="37" t="inlineStr">
        <is>
          <t>Barna</t>
        </is>
      </c>
      <c r="B497" s="37" t="inlineStr">
        <is>
          <t>Daryaganj</t>
        </is>
      </c>
      <c r="C497" s="37" t="inlineStr">
        <is>
          <t>CITI Youth</t>
        </is>
      </c>
      <c r="D497" s="37" t="inlineStr">
        <is>
          <t>2026-07-07</t>
        </is>
      </c>
      <c r="E497" s="37" t="inlineStr">
        <is>
          <t>Data Check</t>
        </is>
      </c>
      <c r="F497" s="37" t="inlineStr">
        <is>
          <t>Verify placement data — randomly call 3–4 alumni placed in the last 3 months to confirm veracity (random selection is essential).</t>
        </is>
      </c>
      <c r="G497" s="37" t="inlineStr">
        <is>
          <t>All is Well</t>
        </is>
      </c>
    </row>
    <row r="498">
      <c r="A498" s="37" t="inlineStr">
        <is>
          <t>Barna</t>
        </is>
      </c>
      <c r="B498" s="37" t="inlineStr">
        <is>
          <t>Daryaganj</t>
        </is>
      </c>
      <c r="C498" s="37" t="inlineStr">
        <is>
          <t>CITI Youth</t>
        </is>
      </c>
      <c r="D498" s="37" t="inlineStr">
        <is>
          <t>2026-07-07</t>
        </is>
      </c>
      <c r="E498" s="37" t="inlineStr">
        <is>
          <t>Data Check</t>
        </is>
      </c>
      <c r="F498" s="37" t="inlineStr">
        <is>
          <t>Verify retention — check the Alumni Hand-holding Format is being updated as designed.</t>
        </is>
      </c>
      <c r="G498" s="37" t="inlineStr">
        <is>
          <t>Need Improvement</t>
        </is>
      </c>
    </row>
    <row r="499">
      <c r="A499" s="37" t="inlineStr">
        <is>
          <t>Barna</t>
        </is>
      </c>
      <c r="B499" s="37" t="inlineStr">
        <is>
          <t>Daryaganj</t>
        </is>
      </c>
      <c r="C499" s="37" t="inlineStr">
        <is>
          <t>CITI Youth</t>
        </is>
      </c>
      <c r="D499" s="37" t="inlineStr">
        <is>
          <t>2026-07-07</t>
        </is>
      </c>
      <c r="E499" s="37" t="inlineStr">
        <is>
          <t>Data Check</t>
        </is>
      </c>
      <c r="F499" s="37" t="inlineStr">
        <is>
          <t>Check aspirant Hostel Forms are properly filled or not.</t>
        </is>
      </c>
      <c r="G499" s="37" t="inlineStr">
        <is>
          <t>Not Applicable</t>
        </is>
      </c>
    </row>
    <row r="500">
      <c r="A500" s="37" t="inlineStr">
        <is>
          <t>Barna</t>
        </is>
      </c>
      <c r="B500" s="37" t="inlineStr">
        <is>
          <t>Daryaganj</t>
        </is>
      </c>
      <c r="C500" s="37" t="inlineStr">
        <is>
          <t>CITI Youth</t>
        </is>
      </c>
      <c r="D500" s="37" t="inlineStr">
        <is>
          <t>2026-07-07</t>
        </is>
      </c>
      <c r="E500" s="37" t="inlineStr">
        <is>
          <t>Infra Check</t>
        </is>
      </c>
      <c r="F500" s="37" t="inlineStr">
        <is>
          <t>Check all CCTV cameras; if any are not working, ask the AH to troubleshoot or call the vendor.</t>
        </is>
      </c>
      <c r="G500" s="37" t="inlineStr">
        <is>
          <t>All is Well</t>
        </is>
      </c>
    </row>
    <row r="501">
      <c r="A501" s="37" t="inlineStr">
        <is>
          <t>Barna</t>
        </is>
      </c>
      <c r="B501" s="37" t="inlineStr">
        <is>
          <t>Daryaganj</t>
        </is>
      </c>
      <c r="C501" s="37" t="inlineStr">
        <is>
          <t>CITI Youth</t>
        </is>
      </c>
      <c r="D501" s="37" t="inlineStr">
        <is>
          <t>2026-07-07</t>
        </is>
      </c>
      <c r="E501" s="37" t="inlineStr">
        <is>
          <t>Infra Check</t>
        </is>
      </c>
      <c r="F501" s="37" t="inlineStr">
        <is>
          <t>Check for any scrap material and get it cleared, with support of Admin</t>
        </is>
      </c>
      <c r="G501" s="37" t="inlineStr">
        <is>
          <t>All is Well</t>
        </is>
      </c>
    </row>
    <row r="502">
      <c r="A502" s="37" t="inlineStr">
        <is>
          <t>Barna</t>
        </is>
      </c>
      <c r="B502" s="37" t="inlineStr">
        <is>
          <t>Daryaganj</t>
        </is>
      </c>
      <c r="C502" s="37" t="inlineStr">
        <is>
          <t>CITI Youth</t>
        </is>
      </c>
      <c r="D502" s="37" t="inlineStr">
        <is>
          <t>2026-07-07</t>
        </is>
      </c>
      <c r="E502" s="37" t="inlineStr">
        <is>
          <t>Infra Check</t>
        </is>
      </c>
      <c r="F502" s="37" t="inlineStr">
        <is>
          <t>Check for any pending infra repairs.</t>
        </is>
      </c>
      <c r="G502" s="37" t="inlineStr">
        <is>
          <t>All is Well</t>
        </is>
      </c>
    </row>
    <row r="503">
      <c r="A503" s="37" t="inlineStr">
        <is>
          <t>Barna</t>
        </is>
      </c>
      <c r="B503" s="37" t="inlineStr">
        <is>
          <t>Daryaganj</t>
        </is>
      </c>
      <c r="C503" s="37" t="inlineStr">
        <is>
          <t>CITI Youth</t>
        </is>
      </c>
      <c r="D503" s="37" t="inlineStr">
        <is>
          <t>2026-07-07</t>
        </is>
      </c>
      <c r="E503" s="37" t="inlineStr">
        <is>
          <t>Infra Check</t>
        </is>
      </c>
      <c r="F503" s="37" t="inlineStr">
        <is>
          <t>Check whether any fire extinguishers have expired (check the needle and expiry date both).</t>
        </is>
      </c>
      <c r="G503" s="37" t="inlineStr">
        <is>
          <t>All is Well</t>
        </is>
      </c>
    </row>
    <row r="504">
      <c r="A504" s="37" t="inlineStr">
        <is>
          <t>Barna</t>
        </is>
      </c>
      <c r="B504" s="37" t="inlineStr">
        <is>
          <t>Daryaganj</t>
        </is>
      </c>
      <c r="C504" s="37" t="inlineStr">
        <is>
          <t>CITI Youth</t>
        </is>
      </c>
      <c r="D504" s="37" t="inlineStr">
        <is>
          <t>2026-07-07</t>
        </is>
      </c>
      <c r="E504" s="37" t="inlineStr">
        <is>
          <t>Infra Check</t>
        </is>
      </c>
      <c r="F504" s="37" t="inlineStr">
        <is>
          <t>Check basic cleanliness of the washrooms and the centre.</t>
        </is>
      </c>
      <c r="G504" s="37" t="inlineStr">
        <is>
          <t>All is Well</t>
        </is>
      </c>
    </row>
    <row r="505">
      <c r="A505" s="37" t="inlineStr">
        <is>
          <t>Barna</t>
        </is>
      </c>
      <c r="B505" s="37" t="inlineStr">
        <is>
          <t>Daryaganj</t>
        </is>
      </c>
      <c r="C505" s="37" t="inlineStr">
        <is>
          <t>CITI Youth</t>
        </is>
      </c>
      <c r="D505" s="37" t="inlineStr">
        <is>
          <t>2026-07-07</t>
        </is>
      </c>
      <c r="E505" s="37" t="inlineStr">
        <is>
          <t>Infra Check</t>
        </is>
      </c>
      <c r="F505" s="37" t="inlineStr">
        <is>
          <t>Confirm the correct program and partner logos are displayed.</t>
        </is>
      </c>
      <c r="G505" s="37" t="inlineStr">
        <is>
          <t>All is Well</t>
        </is>
      </c>
    </row>
    <row r="506">
      <c r="A506" s="37" t="inlineStr">
        <is>
          <t>Barna</t>
        </is>
      </c>
      <c r="B506" s="37" t="inlineStr">
        <is>
          <t>Daryaganj</t>
        </is>
      </c>
      <c r="C506" s="37" t="inlineStr">
        <is>
          <t>CITI Youth</t>
        </is>
      </c>
      <c r="D506" s="37" t="inlineStr">
        <is>
          <t>2026-07-07</t>
        </is>
      </c>
      <c r="E506" s="37" t="inlineStr">
        <is>
          <t>Infra Check</t>
        </is>
      </c>
      <c r="F506" s="37" t="inlineStr">
        <is>
          <t>Check the status of digital infra — PCs, smartboards, tablets, laptops, etc.</t>
        </is>
      </c>
      <c r="G506" s="37" t="inlineStr">
        <is>
          <t>All is Well</t>
        </is>
      </c>
    </row>
    <row r="507">
      <c r="A507" s="37" t="inlineStr">
        <is>
          <t>Barna</t>
        </is>
      </c>
      <c r="B507" s="37" t="inlineStr">
        <is>
          <t>Daryaganj</t>
        </is>
      </c>
      <c r="C507" s="37" t="inlineStr">
        <is>
          <t>CITI Youth</t>
        </is>
      </c>
      <c r="D507" s="37" t="inlineStr">
        <is>
          <t>2026-07-07</t>
        </is>
      </c>
      <c r="E507" s="37" t="inlineStr">
        <is>
          <t>Infra Check</t>
        </is>
      </c>
      <c r="F507" s="37" t="inlineStr">
        <is>
          <t>Make a quick hostel visit; have lunch there if possible to test the food quality.</t>
        </is>
      </c>
      <c r="G507" s="37" t="inlineStr">
        <is>
          <t>Not Applicable</t>
        </is>
      </c>
    </row>
    <row r="508">
      <c r="A508" s="37" t="inlineStr">
        <is>
          <t>Barna</t>
        </is>
      </c>
      <c r="B508" s="37" t="inlineStr">
        <is>
          <t>Daryaganj</t>
        </is>
      </c>
      <c r="C508" s="37" t="inlineStr">
        <is>
          <t>CITI Youth</t>
        </is>
      </c>
      <c r="D508" s="37" t="inlineStr">
        <is>
          <t>2026-07-07</t>
        </is>
      </c>
      <c r="E508" s="37" t="inlineStr">
        <is>
          <t>Process Check</t>
        </is>
      </c>
      <c r="F508" s="37" t="inlineStr">
        <is>
          <t>Refer to the activity planner — check if any activities are delayed.</t>
        </is>
      </c>
      <c r="G508" s="37" t="inlineStr">
        <is>
          <t>All is Well</t>
        </is>
      </c>
    </row>
    <row r="509">
      <c r="A509" s="37" t="inlineStr">
        <is>
          <t>Barna</t>
        </is>
      </c>
      <c r="B509" s="37" t="inlineStr">
        <is>
          <t>Daryaganj</t>
        </is>
      </c>
      <c r="C509" s="37" t="inlineStr">
        <is>
          <t>CITI Youth</t>
        </is>
      </c>
      <c r="D509" s="37" t="inlineStr">
        <is>
          <t>2026-07-07</t>
        </is>
      </c>
      <c r="E509" s="37" t="inlineStr">
        <is>
          <t>Process Check</t>
        </is>
      </c>
      <c r="F509" s="37" t="inlineStr">
        <is>
          <t>Check planning for the next batch-start announcement.</t>
        </is>
      </c>
      <c r="G509" s="37" t="inlineStr">
        <is>
          <t>Need Improvement</t>
        </is>
      </c>
    </row>
    <row r="510">
      <c r="A510" s="37" t="inlineStr">
        <is>
          <t>Barna</t>
        </is>
      </c>
      <c r="B510" s="37" t="inlineStr">
        <is>
          <t>Daryaganj</t>
        </is>
      </c>
      <c r="C510" s="37" t="inlineStr">
        <is>
          <t>CITI Youth</t>
        </is>
      </c>
      <c r="D510" s="37" t="inlineStr">
        <is>
          <t>2026-07-07</t>
        </is>
      </c>
      <c r="E510" s="37" t="inlineStr">
        <is>
          <t>Process Check</t>
        </is>
      </c>
      <c r="F510" s="37" t="inlineStr">
        <is>
          <t>Check if any hiring is delayed and plan a resolution.</t>
        </is>
      </c>
      <c r="G510" s="37" t="inlineStr">
        <is>
          <t>All is Well</t>
        </is>
      </c>
    </row>
    <row r="511">
      <c r="A511" s="37" t="inlineStr">
        <is>
          <t>Barna</t>
        </is>
      </c>
      <c r="B511" s="37" t="inlineStr">
        <is>
          <t>Daryaganj</t>
        </is>
      </c>
      <c r="C511" s="37" t="inlineStr">
        <is>
          <t>CITI Youth</t>
        </is>
      </c>
      <c r="D511" s="37" t="inlineStr">
        <is>
          <t>2026-07-07</t>
        </is>
      </c>
      <c r="E511" s="37" t="inlineStr">
        <is>
          <t>Process Check</t>
        </is>
      </c>
      <c r="F511" s="37" t="inlineStr">
        <is>
          <t>Check the CA’s diary — is CA guided daily by the AH during planning days?</t>
        </is>
      </c>
      <c r="G511" s="37" t="inlineStr">
        <is>
          <t>Need Improvement</t>
        </is>
      </c>
    </row>
    <row r="512">
      <c r="A512" s="37" t="inlineStr">
        <is>
          <t>Barna</t>
        </is>
      </c>
      <c r="B512" s="37" t="inlineStr">
        <is>
          <t>Daryaganj</t>
        </is>
      </c>
      <c r="C512" s="37" t="inlineStr">
        <is>
          <t>CITI Youth</t>
        </is>
      </c>
      <c r="D512" s="37" t="inlineStr">
        <is>
          <t>2026-07-07</t>
        </is>
      </c>
      <c r="E512" s="37" t="inlineStr">
        <is>
          <t>Process Check</t>
        </is>
      </c>
      <c r="F512" s="37" t="inlineStr">
        <is>
          <t>Check the AH is regularly meeting employers (in person and online) and updating the centre’s Top 20 Employer format.</t>
        </is>
      </c>
      <c r="G512" s="37" t="inlineStr">
        <is>
          <t>Need Improvement</t>
        </is>
      </c>
    </row>
    <row r="513">
      <c r="A513" s="37" t="inlineStr">
        <is>
          <t>Barna</t>
        </is>
      </c>
      <c r="B513" s="37" t="inlineStr">
        <is>
          <t>Daryaganj</t>
        </is>
      </c>
      <c r="C513" s="37" t="inlineStr">
        <is>
          <t>CITI Youth</t>
        </is>
      </c>
      <c r="D513" s="37" t="inlineStr">
        <is>
          <t>2026-07-07</t>
        </is>
      </c>
      <c r="E513" s="37" t="inlineStr">
        <is>
          <t>Process Check</t>
        </is>
      </c>
      <c r="F513" s="37" t="inlineStr">
        <is>
          <t>Confirm all new employers are registered on portal as per new process.</t>
        </is>
      </c>
      <c r="G513" s="37" t="inlineStr">
        <is>
          <t>All is Well</t>
        </is>
      </c>
    </row>
    <row r="514">
      <c r="A514" s="37" t="inlineStr">
        <is>
          <t>Barna</t>
        </is>
      </c>
      <c r="B514" s="37" t="inlineStr">
        <is>
          <t>Daryaganj</t>
        </is>
      </c>
      <c r="C514" s="37" t="inlineStr">
        <is>
          <t>CITI Youth</t>
        </is>
      </c>
      <c r="D514" s="37" t="inlineStr">
        <is>
          <t>2026-07-07</t>
        </is>
      </c>
      <c r="E514" s="37" t="inlineStr">
        <is>
          <t>Process Check</t>
        </is>
      </c>
      <c r="F514" s="37" t="inlineStr">
        <is>
          <t>Confirm 100% of enrolled students undergone screening (for technical courses).</t>
        </is>
      </c>
      <c r="G514" s="37" t="inlineStr">
        <is>
          <t>Not Applicable</t>
        </is>
      </c>
    </row>
    <row r="515">
      <c r="A515" s="37" t="inlineStr">
        <is>
          <t>Barna</t>
        </is>
      </c>
      <c r="B515" s="37" t="inlineStr">
        <is>
          <t>Daryaganj</t>
        </is>
      </c>
      <c r="C515" s="37" t="inlineStr">
        <is>
          <t>CITI Youth</t>
        </is>
      </c>
      <c r="D515" s="37" t="inlineStr">
        <is>
          <t>2026-07-07</t>
        </is>
      </c>
      <c r="E515" s="37" t="inlineStr">
        <is>
          <t>Process Check</t>
        </is>
      </c>
      <c r="F515" s="37" t="inlineStr">
        <is>
          <t>Confirm ESA is done (in GROW full ESA and in Technical courses relevant sections of Core Employability Part).</t>
        </is>
      </c>
      <c r="G515" s="37" t="inlineStr">
        <is>
          <t>All is Well</t>
        </is>
      </c>
    </row>
    <row r="516">
      <c r="A516" s="37" t="inlineStr">
        <is>
          <t>Barna</t>
        </is>
      </c>
      <c r="B516" s="37" t="inlineStr">
        <is>
          <t>Daryaganj</t>
        </is>
      </c>
      <c r="C516" s="37" t="inlineStr">
        <is>
          <t>CITI Youth</t>
        </is>
      </c>
      <c r="D516" s="37" t="inlineStr">
        <is>
          <t>2026-07-07</t>
        </is>
      </c>
      <c r="E516" s="37" t="inlineStr">
        <is>
          <t>Process Check</t>
        </is>
      </c>
      <c r="F516" s="37" t="inlineStr">
        <is>
          <t>Check is AH giving capstone project in GROW Tech.</t>
        </is>
      </c>
      <c r="G516" s="37" t="inlineStr">
        <is>
          <t>Not Applicable</t>
        </is>
      </c>
    </row>
    <row r="517">
      <c r="A517" s="37" t="inlineStr">
        <is>
          <t>Barna</t>
        </is>
      </c>
      <c r="B517" s="37" t="inlineStr">
        <is>
          <t>Daryaganj</t>
        </is>
      </c>
      <c r="C517" s="37" t="inlineStr">
        <is>
          <t>CITI Youth</t>
        </is>
      </c>
      <c r="D517" s="37" t="inlineStr">
        <is>
          <t>2026-07-07</t>
        </is>
      </c>
      <c r="E517" s="37" t="inlineStr">
        <is>
          <t>Process Check</t>
        </is>
      </c>
      <c r="F517" s="37" t="inlineStr">
        <is>
          <t>Check is AH planning OJT as per guidelines and proofs are collected for technical courses.</t>
        </is>
      </c>
      <c r="G517" s="37" t="inlineStr">
        <is>
          <t>Not Applicable</t>
        </is>
      </c>
    </row>
    <row r="518">
      <c r="A518" s="37" t="inlineStr">
        <is>
          <t>Barna</t>
        </is>
      </c>
      <c r="B518" s="37" t="inlineStr">
        <is>
          <t>Daryaganj</t>
        </is>
      </c>
      <c r="C518" s="37" t="inlineStr">
        <is>
          <t>CITI Youth</t>
        </is>
      </c>
      <c r="D518" s="37" t="inlineStr">
        <is>
          <t>2026-07-07</t>
        </is>
      </c>
      <c r="E518" s="37" t="inlineStr">
        <is>
          <t>Process Check</t>
        </is>
      </c>
      <c r="F518" s="37" t="inlineStr">
        <is>
          <t>Check are trainers contacting aspirants to find reason for their absenteeism of more than 1 day.</t>
        </is>
      </c>
      <c r="G518" s="37" t="inlineStr">
        <is>
          <t>All is Well</t>
        </is>
      </c>
    </row>
    <row r="519">
      <c r="A519" s="37" t="inlineStr">
        <is>
          <t>Barna</t>
        </is>
      </c>
      <c r="B519" s="37" t="inlineStr">
        <is>
          <t>Daryaganj</t>
        </is>
      </c>
      <c r="C519" s="37" t="inlineStr">
        <is>
          <t>CITI Youth</t>
        </is>
      </c>
      <c r="D519" s="37" t="inlineStr">
        <is>
          <t>2026-07-07</t>
        </is>
      </c>
      <c r="E519" s="37" t="inlineStr">
        <is>
          <t>Process Check</t>
        </is>
      </c>
      <c r="F519" s="37" t="inlineStr">
        <is>
          <t>Check the AH plans monthly enrolment and placement numbers by the 3rd of each month and shares them with second level managers.</t>
        </is>
      </c>
      <c r="G519" s="37" t="inlineStr">
        <is>
          <t>Need Improvement</t>
        </is>
      </c>
    </row>
    <row r="520">
      <c r="A520" s="37" t="inlineStr">
        <is>
          <t>Barna</t>
        </is>
      </c>
      <c r="B520" s="37" t="inlineStr">
        <is>
          <t>Daryaganj</t>
        </is>
      </c>
      <c r="C520" s="37" t="inlineStr">
        <is>
          <t>CITI Youth</t>
        </is>
      </c>
      <c r="D520" s="37" t="inlineStr">
        <is>
          <t>2026-07-07</t>
        </is>
      </c>
      <c r="E520" s="37" t="inlineStr">
        <is>
          <t>Process Check</t>
        </is>
      </c>
      <c r="F520" s="37" t="inlineStr">
        <is>
          <t>Check trainers submit aspirants’ placement interest areas to the AH by the batch’s 25th day (in GROW).</t>
        </is>
      </c>
      <c r="G520" s="37" t="inlineStr">
        <is>
          <t>All is Well</t>
        </is>
      </c>
    </row>
    <row r="521">
      <c r="A521" s="37" t="inlineStr">
        <is>
          <t>Barna</t>
        </is>
      </c>
      <c r="B521" s="37" t="inlineStr">
        <is>
          <t>Daryaganj</t>
        </is>
      </c>
      <c r="C521" s="37" t="inlineStr">
        <is>
          <t>CITI Youth</t>
        </is>
      </c>
      <c r="D521" s="37" t="inlineStr">
        <is>
          <t>2026-07-07</t>
        </is>
      </c>
      <c r="E521" s="37" t="inlineStr">
        <is>
          <t>Process Check</t>
        </is>
      </c>
      <c r="F521" s="37" t="inlineStr">
        <is>
          <t>Ckeck For technical programs, placement is done only in technical jobs,on which aspirants are trained and relevant emplyers are identified by 45th day.</t>
        </is>
      </c>
      <c r="G521" s="37" t="inlineStr">
        <is>
          <t>Not Applicable</t>
        </is>
      </c>
    </row>
    <row r="522">
      <c r="A522" s="37" t="inlineStr">
        <is>
          <t>Barna</t>
        </is>
      </c>
      <c r="B522" s="37" t="inlineStr">
        <is>
          <t>Daryaganj</t>
        </is>
      </c>
      <c r="C522" s="37" t="inlineStr">
        <is>
          <t>CITI Youth</t>
        </is>
      </c>
      <c r="D522" s="37" t="inlineStr">
        <is>
          <t>2026-07-07</t>
        </is>
      </c>
      <c r="E522" s="37" t="inlineStr">
        <is>
          <t>Process Check</t>
        </is>
      </c>
      <c r="F522" s="37" t="inlineStr">
        <is>
          <t>Check the AH follows EP guidelines and minimum benchmark salary guidelines.</t>
        </is>
      </c>
      <c r="G522" s="37" t="inlineStr">
        <is>
          <t>All is Well</t>
        </is>
      </c>
    </row>
    <row r="523">
      <c r="A523" s="37" t="inlineStr">
        <is>
          <t>Barna</t>
        </is>
      </c>
      <c r="B523" s="37" t="inlineStr">
        <is>
          <t>Daryaganj</t>
        </is>
      </c>
      <c r="C523" s="37" t="inlineStr">
        <is>
          <t>CITI Youth</t>
        </is>
      </c>
      <c r="D523" s="37" t="inlineStr">
        <is>
          <t>2026-07-07</t>
        </is>
      </c>
      <c r="E523" s="37" t="inlineStr">
        <is>
          <t>Process Check</t>
        </is>
      </c>
      <c r="F523" s="37" t="inlineStr">
        <is>
          <t>Check that AH is enrolling only the right traget group in the program -as per the defined target.</t>
        </is>
      </c>
      <c r="G523" s="37" t="inlineStr">
        <is>
          <t>All is Well</t>
        </is>
      </c>
    </row>
    <row r="524">
      <c r="A524" s="37" t="inlineStr">
        <is>
          <t>Barna</t>
        </is>
      </c>
      <c r="B524" s="37" t="inlineStr">
        <is>
          <t>Daryaganj</t>
        </is>
      </c>
      <c r="C524" s="37" t="inlineStr">
        <is>
          <t>CITI Youth</t>
        </is>
      </c>
      <c r="D524" s="37" t="inlineStr">
        <is>
          <t>2026-07-07</t>
        </is>
      </c>
      <c r="E524" s="37" t="inlineStr">
        <is>
          <t>Process Check</t>
        </is>
      </c>
      <c r="F524" s="37" t="inlineStr">
        <is>
          <t>Check the AH announces the next batch-start date by the 3rd of the month on all notice boards — focus on Zero-Day start.</t>
        </is>
      </c>
      <c r="G524" s="37" t="inlineStr">
        <is>
          <t>Need Improvement</t>
        </is>
      </c>
    </row>
    <row r="525">
      <c r="A525" s="37" t="inlineStr">
        <is>
          <t>Barna</t>
        </is>
      </c>
      <c r="B525" s="37" t="inlineStr">
        <is>
          <t>Daryaganj</t>
        </is>
      </c>
      <c r="C525" s="37" t="inlineStr">
        <is>
          <t>CITI Youth</t>
        </is>
      </c>
      <c r="D525" s="37" t="inlineStr">
        <is>
          <t>2026-07-07</t>
        </is>
      </c>
      <c r="E525" s="37" t="inlineStr">
        <is>
          <t>Process Check</t>
        </is>
      </c>
      <c r="F525" s="37" t="inlineStr">
        <is>
          <t>Check the Aspirant Mock Interview Score Tracker is updated after every mock interview in the L&amp;D Google Sheet.</t>
        </is>
      </c>
      <c r="G525" s="37" t="inlineStr">
        <is>
          <t>Need Improvement</t>
        </is>
      </c>
    </row>
    <row r="526">
      <c r="A526" s="37" t="inlineStr">
        <is>
          <t>Barna</t>
        </is>
      </c>
      <c r="B526" s="37" t="inlineStr">
        <is>
          <t>Daryaganj</t>
        </is>
      </c>
      <c r="C526" s="37" t="inlineStr">
        <is>
          <t>CITI Youth</t>
        </is>
      </c>
      <c r="D526" s="37" t="inlineStr">
        <is>
          <t>2026-07-07</t>
        </is>
      </c>
      <c r="E526" s="37" t="inlineStr">
        <is>
          <t>Process Check</t>
        </is>
      </c>
      <c r="F526" s="37" t="inlineStr">
        <is>
          <t>Confirm NPS (Net Promoter Score) is collected at MSDF centres.</t>
        </is>
      </c>
      <c r="G526" s="37" t="inlineStr">
        <is>
          <t>Not Applicable</t>
        </is>
      </c>
    </row>
    <row r="527">
      <c r="A527" s="37" t="inlineStr">
        <is>
          <t>Barna</t>
        </is>
      </c>
      <c r="B527" s="37" t="inlineStr">
        <is>
          <t>Daryaganj</t>
        </is>
      </c>
      <c r="C527" s="37" t="inlineStr">
        <is>
          <t>CITI Youth</t>
        </is>
      </c>
      <c r="D527" s="37" t="inlineStr">
        <is>
          <t>2026-07-07</t>
        </is>
      </c>
      <c r="E527" s="37" t="inlineStr">
        <is>
          <t>Process Check</t>
        </is>
      </c>
      <c r="F527" s="37" t="inlineStr">
        <is>
          <t>Confirm that QAE is collecting student feedback for every batch.</t>
        </is>
      </c>
      <c r="G527" s="37" t="inlineStr">
        <is>
          <t>All is Well</t>
        </is>
      </c>
    </row>
    <row r="528">
      <c r="A528" s="37" t="inlineStr">
        <is>
          <t>Barna</t>
        </is>
      </c>
      <c r="B528" s="37" t="inlineStr">
        <is>
          <t>Daryaganj</t>
        </is>
      </c>
      <c r="C528" s="37" t="inlineStr">
        <is>
          <t>CITI Youth</t>
        </is>
      </c>
      <c r="D528" s="37" t="inlineStr">
        <is>
          <t>2026-07-07</t>
        </is>
      </c>
      <c r="E528" s="37" t="inlineStr">
        <is>
          <t>Process Check</t>
        </is>
      </c>
      <c r="F528" s="37" t="inlineStr">
        <is>
          <t>Confirm all centre teams have completed the GROW Manual Course on Skillfy — ask for achievement certificates.</t>
        </is>
      </c>
      <c r="G528" s="37" t="inlineStr">
        <is>
          <t>All is Well</t>
        </is>
      </c>
    </row>
    <row r="529">
      <c r="A529" s="37" t="inlineStr">
        <is>
          <t>Barna</t>
        </is>
      </c>
      <c r="B529" s="37" t="inlineStr">
        <is>
          <t>Daryaganj</t>
        </is>
      </c>
      <c r="C529" s="37" t="inlineStr">
        <is>
          <t>CITI Youth</t>
        </is>
      </c>
      <c r="D529" s="37" t="inlineStr">
        <is>
          <t>2026-07-07</t>
        </is>
      </c>
      <c r="E529" s="37" t="inlineStr">
        <is>
          <t>Process Check</t>
        </is>
      </c>
      <c r="F529" s="37" t="inlineStr">
        <is>
          <t>Check AH holds a quality weekly team meeting, documents action points in the weekly meeting format, and sends you a photo on WhatsApp.</t>
        </is>
      </c>
      <c r="G529" s="37" t="inlineStr">
        <is>
          <t>Need Improvement</t>
        </is>
      </c>
    </row>
    <row r="530">
      <c r="A530" s="37" t="inlineStr">
        <is>
          <t>Barna</t>
        </is>
      </c>
      <c r="B530" s="37" t="inlineStr">
        <is>
          <t>Daryaganj</t>
        </is>
      </c>
      <c r="C530" s="37" t="inlineStr">
        <is>
          <t>CITI Youth</t>
        </is>
      </c>
      <c r="D530" s="37" t="inlineStr">
        <is>
          <t>2026-07-07</t>
        </is>
      </c>
      <c r="E530" s="37" t="inlineStr">
        <is>
          <t>Aspirant Interaction</t>
        </is>
      </c>
      <c r="F530" s="37" t="inlineStr">
        <is>
          <t>Ask aspirants about the session plan — confirm training is happening as planned?</t>
        </is>
      </c>
      <c r="G530" s="37" t="inlineStr">
        <is>
          <t>All is Well</t>
        </is>
      </c>
    </row>
    <row r="531">
      <c r="A531" s="37" t="inlineStr">
        <is>
          <t>Barna</t>
        </is>
      </c>
      <c r="B531" s="37" t="inlineStr">
        <is>
          <t>Daryaganj</t>
        </is>
      </c>
      <c r="C531" s="37" t="inlineStr">
        <is>
          <t>CITI Youth</t>
        </is>
      </c>
      <c r="D531" s="37" t="inlineStr">
        <is>
          <t>2026-07-07</t>
        </is>
      </c>
      <c r="E531" s="37" t="inlineStr">
        <is>
          <t>Aspirant Interaction</t>
        </is>
      </c>
      <c r="F531" s="37" t="inlineStr">
        <is>
          <t>Ask about the quality of Core Employability component delivery (technical centres) and who delivers it.</t>
        </is>
      </c>
      <c r="G531" s="37" t="inlineStr">
        <is>
          <t>Not Applicable</t>
        </is>
      </c>
    </row>
    <row r="532">
      <c r="A532" s="37" t="inlineStr">
        <is>
          <t>Barna</t>
        </is>
      </c>
      <c r="B532" s="37" t="inlineStr">
        <is>
          <t>Daryaganj</t>
        </is>
      </c>
      <c r="C532" s="37" t="inlineStr">
        <is>
          <t>CITI Youth</t>
        </is>
      </c>
      <c r="D532" s="37" t="inlineStr">
        <is>
          <t>2026-07-07</t>
        </is>
      </c>
      <c r="E532" s="37" t="inlineStr">
        <is>
          <t>Aspirant Interaction</t>
        </is>
      </c>
      <c r="F532" s="37" t="inlineStr">
        <is>
          <t>Ask whether they are aware of the referral scheme?</t>
        </is>
      </c>
      <c r="G532" s="37" t="inlineStr">
        <is>
          <t>All is Well</t>
        </is>
      </c>
    </row>
    <row r="533">
      <c r="A533" s="37" t="inlineStr">
        <is>
          <t>Barna</t>
        </is>
      </c>
      <c r="B533" s="37" t="inlineStr">
        <is>
          <t>Daryaganj</t>
        </is>
      </c>
      <c r="C533" s="37" t="inlineStr">
        <is>
          <t>CITI Youth</t>
        </is>
      </c>
      <c r="D533" s="37" t="inlineStr">
        <is>
          <t>2026-07-07</t>
        </is>
      </c>
      <c r="E533" s="37" t="inlineStr">
        <is>
          <t>Aspirant Interaction</t>
        </is>
      </c>
      <c r="F533" s="37" t="inlineStr">
        <is>
          <t>Ask whether the AH explained the importance of the offer letter and sharing it with us once received for reporting purposes?</t>
        </is>
      </c>
      <c r="G533" s="37" t="inlineStr">
        <is>
          <t>All is Well</t>
        </is>
      </c>
    </row>
    <row r="534">
      <c r="A534" s="37" t="inlineStr">
        <is>
          <t>Barna</t>
        </is>
      </c>
      <c r="B534" s="37" t="inlineStr">
        <is>
          <t>Daryaganj</t>
        </is>
      </c>
      <c r="C534" s="37" t="inlineStr">
        <is>
          <t>CITI Youth</t>
        </is>
      </c>
      <c r="D534" s="37" t="inlineStr">
        <is>
          <t>2026-07-07</t>
        </is>
      </c>
      <c r="E534" s="37" t="inlineStr">
        <is>
          <t>Aspirant Interaction</t>
        </is>
      </c>
      <c r="F534" s="37" t="inlineStr">
        <is>
          <t>Ask how many are not interested in jobs — and if so, why they enrolled in the programme?</t>
        </is>
      </c>
      <c r="G534" s="37" t="inlineStr">
        <is>
          <t>Not Applicable</t>
        </is>
      </c>
    </row>
    <row r="535">
      <c r="A535" s="37" t="inlineStr">
        <is>
          <t>Barna</t>
        </is>
      </c>
      <c r="B535" s="37" t="inlineStr">
        <is>
          <t>Daryaganj</t>
        </is>
      </c>
      <c r="C535" s="37" t="inlineStr">
        <is>
          <t>CITI Youth</t>
        </is>
      </c>
      <c r="D535" s="37" t="inlineStr">
        <is>
          <t>2026-07-07</t>
        </is>
      </c>
      <c r="E535" s="37" t="inlineStr">
        <is>
          <t>Aspirant Interaction</t>
        </is>
      </c>
      <c r="F535" s="37" t="inlineStr">
        <is>
          <t>Ask whether they were told the kind of job they would get during counselling?</t>
        </is>
      </c>
      <c r="G535" s="37" t="inlineStr">
        <is>
          <t>All is Well</t>
        </is>
      </c>
    </row>
    <row r="536">
      <c r="A536" s="37" t="inlineStr">
        <is>
          <t>Barna</t>
        </is>
      </c>
      <c r="B536" s="37" t="inlineStr">
        <is>
          <t>Daryaganj</t>
        </is>
      </c>
      <c r="C536" s="37" t="inlineStr">
        <is>
          <t>CITI Youth</t>
        </is>
      </c>
      <c r="D536" s="37" t="inlineStr">
        <is>
          <t>2026-07-07</t>
        </is>
      </c>
      <c r="E536" s="37" t="inlineStr">
        <is>
          <t>Aspirant Interaction</t>
        </is>
      </c>
      <c r="F536" s="37" t="inlineStr">
        <is>
          <t>Ask whether they have been given LMS access?</t>
        </is>
      </c>
      <c r="G536" s="37" t="inlineStr">
        <is>
          <t>All is Well</t>
        </is>
      </c>
    </row>
    <row r="537">
      <c r="A537" s="37" t="inlineStr">
        <is>
          <t>Barna</t>
        </is>
      </c>
      <c r="B537" s="37" t="inlineStr">
        <is>
          <t>Daryaganj</t>
        </is>
      </c>
      <c r="C537" s="37" t="inlineStr">
        <is>
          <t>CITI Youth</t>
        </is>
      </c>
      <c r="D537" s="37" t="inlineStr">
        <is>
          <t>2026-07-07</t>
        </is>
      </c>
      <c r="E537" s="37" t="inlineStr">
        <is>
          <t>Aspirant Interaction</t>
        </is>
      </c>
      <c r="F537" s="37" t="inlineStr">
        <is>
          <t>Ask whether anyone asked them for money for training or placement?</t>
        </is>
      </c>
      <c r="G537" s="37" t="inlineStr">
        <is>
          <t>All is Well</t>
        </is>
      </c>
    </row>
    <row r="538">
      <c r="A538" s="37" t="inlineStr">
        <is>
          <t>Barna</t>
        </is>
      </c>
      <c r="B538" s="37" t="inlineStr">
        <is>
          <t>Daryaganj</t>
        </is>
      </c>
      <c r="C538" s="37" t="inlineStr">
        <is>
          <t>CITI Youth</t>
        </is>
      </c>
      <c r="D538" s="37" t="inlineStr">
        <is>
          <t>2026-07-07</t>
        </is>
      </c>
      <c r="E538" s="37" t="inlineStr">
        <is>
          <t>Aspirant Interaction</t>
        </is>
      </c>
      <c r="F538" s="37" t="inlineStr">
        <is>
          <t>Ask to show their mobile phones — are they enrolled on Skillfy? If not, get them enrolled and give written feedback to trainers and the AH in your presence.</t>
        </is>
      </c>
      <c r="G538" s="37" t="inlineStr">
        <is>
          <t>All is Well</t>
        </is>
      </c>
    </row>
    <row r="539">
      <c r="A539" s="37" t="inlineStr">
        <is>
          <t>Barna</t>
        </is>
      </c>
      <c r="B539" s="37" t="inlineStr">
        <is>
          <t>Daryaganj</t>
        </is>
      </c>
      <c r="C539" s="37" t="inlineStr">
        <is>
          <t>CITI Youth</t>
        </is>
      </c>
      <c r="D539" s="37" t="inlineStr">
        <is>
          <t>2026-07-07</t>
        </is>
      </c>
      <c r="E539" s="37" t="inlineStr">
        <is>
          <t>Aspirant Interaction</t>
        </is>
      </c>
      <c r="F539" s="37" t="inlineStr">
        <is>
          <t>Ask about the quality of the hostel and any issues they face.</t>
        </is>
      </c>
      <c r="G539" s="37" t="inlineStr">
        <is>
          <t>Not Applicable</t>
        </is>
      </c>
    </row>
    <row r="540">
      <c r="A540" s="37" t="inlineStr">
        <is>
          <t>Barna</t>
        </is>
      </c>
      <c r="B540" s="37" t="inlineStr">
        <is>
          <t>Daryaganj</t>
        </is>
      </c>
      <c r="C540" s="37" t="inlineStr">
        <is>
          <t>CITI Youth</t>
        </is>
      </c>
      <c r="D540" s="37" t="inlineStr">
        <is>
          <t>2026-07-07</t>
        </is>
      </c>
      <c r="E540" s="37" t="inlineStr">
        <is>
          <t>Aspirant Interaction</t>
        </is>
      </c>
      <c r="F540" s="37" t="inlineStr">
        <is>
          <t>Ask a few relevant screening questions to support the 10th-day report and remove non-serious candidates, explaining to them the reasons.</t>
        </is>
      </c>
      <c r="G540" s="37" t="inlineStr">
        <is>
          <t>All is Well</t>
        </is>
      </c>
    </row>
    <row r="541">
      <c r="A541" s="37" t="inlineStr">
        <is>
          <t>Barna</t>
        </is>
      </c>
      <c r="B541" s="37" t="inlineStr">
        <is>
          <t>Shahdara</t>
        </is>
      </c>
      <c r="C541" s="37" t="inlineStr">
        <is>
          <t>Accenture (Youth)</t>
        </is>
      </c>
      <c r="D541" s="37" t="inlineStr">
        <is>
          <t>2026-07-08</t>
        </is>
      </c>
      <c r="E541" s="37" t="inlineStr">
        <is>
          <t>Data Check</t>
        </is>
      </c>
      <c r="F541" s="37" t="inlineStr">
        <is>
          <t>Reach the centre on time (unannounced) — confirm the centre opened on time.</t>
        </is>
      </c>
      <c r="G541" s="37" t="inlineStr">
        <is>
          <t>All is Well</t>
        </is>
      </c>
    </row>
    <row r="542">
      <c r="A542" s="37" t="inlineStr">
        <is>
          <t>Barna</t>
        </is>
      </c>
      <c r="B542" s="37" t="inlineStr">
        <is>
          <t>Shahdara</t>
        </is>
      </c>
      <c r="C542" s="37" t="inlineStr">
        <is>
          <t>Accenture (Youth)</t>
        </is>
      </c>
      <c r="D542" s="37" t="inlineStr">
        <is>
          <t>2026-07-08</t>
        </is>
      </c>
      <c r="E542" s="37" t="inlineStr">
        <is>
          <t>Data Check</t>
        </is>
      </c>
      <c r="F542" s="37" t="inlineStr">
        <is>
          <t>Check the staff attendance register, the Google Sheet, and geo-tagged photos for aspirants.</t>
        </is>
      </c>
      <c r="G542" s="37" t="inlineStr">
        <is>
          <t>All is Well</t>
        </is>
      </c>
    </row>
    <row r="543">
      <c r="A543" s="37" t="inlineStr">
        <is>
          <t>Barna</t>
        </is>
      </c>
      <c r="B543" s="37" t="inlineStr">
        <is>
          <t>Shahdara</t>
        </is>
      </c>
      <c r="C543" s="37" t="inlineStr">
        <is>
          <t>Accenture (Youth)</t>
        </is>
      </c>
      <c r="D543" s="37" t="inlineStr">
        <is>
          <t>2026-07-08</t>
        </is>
      </c>
      <c r="E543" s="37" t="inlineStr">
        <is>
          <t>Data Check</t>
        </is>
      </c>
      <c r="F543" s="37" t="inlineStr">
        <is>
          <t>Check Counselling and Screening Forms of recently started batches.</t>
        </is>
      </c>
      <c r="G543" s="37" t="inlineStr">
        <is>
          <t>All is Well</t>
        </is>
      </c>
    </row>
    <row r="544">
      <c r="A544" s="37" t="inlineStr">
        <is>
          <t>Barna</t>
        </is>
      </c>
      <c r="B544" s="37" t="inlineStr">
        <is>
          <t>Shahdara</t>
        </is>
      </c>
      <c r="C544" s="37" t="inlineStr">
        <is>
          <t>Accenture (Youth)</t>
        </is>
      </c>
      <c r="D544" s="37" t="inlineStr">
        <is>
          <t>2026-07-08</t>
        </is>
      </c>
      <c r="E544" s="37" t="inlineStr">
        <is>
          <t>Data Check</t>
        </is>
      </c>
      <c r="F544" s="37" t="inlineStr">
        <is>
          <t>Check Aspirant Registration Forms and related documents.</t>
        </is>
      </c>
      <c r="G544" s="37" t="inlineStr">
        <is>
          <t>Need Improvement</t>
        </is>
      </c>
    </row>
    <row r="545">
      <c r="A545" s="37" t="inlineStr">
        <is>
          <t>Barna</t>
        </is>
      </c>
      <c r="B545" s="37" t="inlineStr">
        <is>
          <t>Shahdara</t>
        </is>
      </c>
      <c r="C545" s="37" t="inlineStr">
        <is>
          <t>Accenture (Youth)</t>
        </is>
      </c>
      <c r="D545" s="37" t="inlineStr">
        <is>
          <t>2026-07-08</t>
        </is>
      </c>
      <c r="E545" s="37" t="inlineStr">
        <is>
          <t>Data Check</t>
        </is>
      </c>
      <c r="F545" s="37" t="inlineStr">
        <is>
          <t>On the GROW portal, confirm all student profile details and batch updates are currect.</t>
        </is>
      </c>
      <c r="G545" s="37" t="inlineStr">
        <is>
          <t>All is Well</t>
        </is>
      </c>
    </row>
    <row r="546">
      <c r="A546" s="37" t="inlineStr">
        <is>
          <t>Barna</t>
        </is>
      </c>
      <c r="B546" s="37" t="inlineStr">
        <is>
          <t>Shahdara</t>
        </is>
      </c>
      <c r="C546" s="37" t="inlineStr">
        <is>
          <t>Accenture (Youth)</t>
        </is>
      </c>
      <c r="D546" s="37" t="inlineStr">
        <is>
          <t>2026-07-08</t>
        </is>
      </c>
      <c r="E546" s="37" t="inlineStr">
        <is>
          <t>Data Check</t>
        </is>
      </c>
      <c r="F546" s="37" t="inlineStr">
        <is>
          <t>Verify placement data — randomly call 3–4 alumni placed in the last 3 months to confirm veracity (random selection is essential).</t>
        </is>
      </c>
      <c r="G546" s="37" t="inlineStr">
        <is>
          <t>All is Well</t>
        </is>
      </c>
    </row>
    <row r="547">
      <c r="A547" s="37" t="inlineStr">
        <is>
          <t>Barna</t>
        </is>
      </c>
      <c r="B547" s="37" t="inlineStr">
        <is>
          <t>Shahdara</t>
        </is>
      </c>
      <c r="C547" s="37" t="inlineStr">
        <is>
          <t>Accenture (Youth)</t>
        </is>
      </c>
      <c r="D547" s="37" t="inlineStr">
        <is>
          <t>2026-07-08</t>
        </is>
      </c>
      <c r="E547" s="37" t="inlineStr">
        <is>
          <t>Data Check</t>
        </is>
      </c>
      <c r="F547" s="37" t="inlineStr">
        <is>
          <t>Verify retention — check the Alumni Hand-holding Format is being updated as designed.</t>
        </is>
      </c>
      <c r="G547" s="37" t="inlineStr">
        <is>
          <t>Need Improvement</t>
        </is>
      </c>
    </row>
    <row r="548">
      <c r="A548" s="37" t="inlineStr">
        <is>
          <t>Barna</t>
        </is>
      </c>
      <c r="B548" s="37" t="inlineStr">
        <is>
          <t>Shahdara</t>
        </is>
      </c>
      <c r="C548" s="37" t="inlineStr">
        <is>
          <t>Accenture (Youth)</t>
        </is>
      </c>
      <c r="D548" s="37" t="inlineStr">
        <is>
          <t>2026-07-08</t>
        </is>
      </c>
      <c r="E548" s="37" t="inlineStr">
        <is>
          <t>Data Check</t>
        </is>
      </c>
      <c r="F548" s="37" t="inlineStr">
        <is>
          <t>Check aspirant Hostel Forms are properly filled or not.</t>
        </is>
      </c>
      <c r="G548" s="37" t="inlineStr">
        <is>
          <t>Not Applicable</t>
        </is>
      </c>
    </row>
    <row r="549">
      <c r="A549" s="37" t="inlineStr">
        <is>
          <t>Barna</t>
        </is>
      </c>
      <c r="B549" s="37" t="inlineStr">
        <is>
          <t>Shahdara</t>
        </is>
      </c>
      <c r="C549" s="37" t="inlineStr">
        <is>
          <t>Accenture (Youth)</t>
        </is>
      </c>
      <c r="D549" s="37" t="inlineStr">
        <is>
          <t>2026-07-08</t>
        </is>
      </c>
      <c r="E549" s="37" t="inlineStr">
        <is>
          <t>Infra Check</t>
        </is>
      </c>
      <c r="F549" s="37" t="inlineStr">
        <is>
          <t>Check all CCTV cameras; if any are not working, ask the AH to troubleshoot or call the vendor.</t>
        </is>
      </c>
      <c r="G549" s="37" t="inlineStr">
        <is>
          <t>All is Well</t>
        </is>
      </c>
    </row>
    <row r="550">
      <c r="A550" s="37" t="inlineStr">
        <is>
          <t>Barna</t>
        </is>
      </c>
      <c r="B550" s="37" t="inlineStr">
        <is>
          <t>Shahdara</t>
        </is>
      </c>
      <c r="C550" s="37" t="inlineStr">
        <is>
          <t>Accenture (Youth)</t>
        </is>
      </c>
      <c r="D550" s="37" t="inlineStr">
        <is>
          <t>2026-07-08</t>
        </is>
      </c>
      <c r="E550" s="37" t="inlineStr">
        <is>
          <t>Infra Check</t>
        </is>
      </c>
      <c r="F550" s="37" t="inlineStr">
        <is>
          <t>Check for any scrap material and get it cleared, with support of Admin</t>
        </is>
      </c>
      <c r="G550" s="37" t="inlineStr">
        <is>
          <t>All is Well</t>
        </is>
      </c>
    </row>
    <row r="551">
      <c r="A551" s="37" t="inlineStr">
        <is>
          <t>Barna</t>
        </is>
      </c>
      <c r="B551" s="37" t="inlineStr">
        <is>
          <t>Shahdara</t>
        </is>
      </c>
      <c r="C551" s="37" t="inlineStr">
        <is>
          <t>Accenture (Youth)</t>
        </is>
      </c>
      <c r="D551" s="37" t="inlineStr">
        <is>
          <t>2026-07-08</t>
        </is>
      </c>
      <c r="E551" s="37" t="inlineStr">
        <is>
          <t>Infra Check</t>
        </is>
      </c>
      <c r="F551" s="37" t="inlineStr">
        <is>
          <t>Check for any pending infra repairs.</t>
        </is>
      </c>
      <c r="G551" s="37" t="inlineStr">
        <is>
          <t>All is Well</t>
        </is>
      </c>
    </row>
    <row r="552">
      <c r="A552" s="37" t="inlineStr">
        <is>
          <t>Barna</t>
        </is>
      </c>
      <c r="B552" s="37" t="inlineStr">
        <is>
          <t>Shahdara</t>
        </is>
      </c>
      <c r="C552" s="37" t="inlineStr">
        <is>
          <t>Accenture (Youth)</t>
        </is>
      </c>
      <c r="D552" s="37" t="inlineStr">
        <is>
          <t>2026-07-08</t>
        </is>
      </c>
      <c r="E552" s="37" t="inlineStr">
        <is>
          <t>Infra Check</t>
        </is>
      </c>
      <c r="F552" s="37" t="inlineStr">
        <is>
          <t>Check whether any fire extinguishers have expired (check the needle and expiry date both).</t>
        </is>
      </c>
      <c r="G552" s="37" t="inlineStr">
        <is>
          <t>All is Well</t>
        </is>
      </c>
    </row>
    <row r="553">
      <c r="A553" s="37" t="inlineStr">
        <is>
          <t>Barna</t>
        </is>
      </c>
      <c r="B553" s="37" t="inlineStr">
        <is>
          <t>Shahdara</t>
        </is>
      </c>
      <c r="C553" s="37" t="inlineStr">
        <is>
          <t>Accenture (Youth)</t>
        </is>
      </c>
      <c r="D553" s="37" t="inlineStr">
        <is>
          <t>2026-07-08</t>
        </is>
      </c>
      <c r="E553" s="37" t="inlineStr">
        <is>
          <t>Infra Check</t>
        </is>
      </c>
      <c r="F553" s="37" t="inlineStr">
        <is>
          <t>Check basic cleanliness of the washrooms and the centre.</t>
        </is>
      </c>
      <c r="G553" s="37" t="inlineStr">
        <is>
          <t>All is Well</t>
        </is>
      </c>
    </row>
    <row r="554">
      <c r="A554" s="37" t="inlineStr">
        <is>
          <t>Barna</t>
        </is>
      </c>
      <c r="B554" s="37" t="inlineStr">
        <is>
          <t>Shahdara</t>
        </is>
      </c>
      <c r="C554" s="37" t="inlineStr">
        <is>
          <t>Accenture (Youth)</t>
        </is>
      </c>
      <c r="D554" s="37" t="inlineStr">
        <is>
          <t>2026-07-08</t>
        </is>
      </c>
      <c r="E554" s="37" t="inlineStr">
        <is>
          <t>Infra Check</t>
        </is>
      </c>
      <c r="F554" s="37" t="inlineStr">
        <is>
          <t>Confirm the correct program and partner logos are displayed.</t>
        </is>
      </c>
      <c r="G554" s="37" t="inlineStr">
        <is>
          <t>All is Well</t>
        </is>
      </c>
    </row>
    <row r="555">
      <c r="A555" s="37" t="inlineStr">
        <is>
          <t>Barna</t>
        </is>
      </c>
      <c r="B555" s="37" t="inlineStr">
        <is>
          <t>Shahdara</t>
        </is>
      </c>
      <c r="C555" s="37" t="inlineStr">
        <is>
          <t>Accenture (Youth)</t>
        </is>
      </c>
      <c r="D555" s="37" t="inlineStr">
        <is>
          <t>2026-07-08</t>
        </is>
      </c>
      <c r="E555" s="37" t="inlineStr">
        <is>
          <t>Infra Check</t>
        </is>
      </c>
      <c r="F555" s="37" t="inlineStr">
        <is>
          <t>Check the status of digital infra — PCs, smartboards, tablets, laptops, etc.</t>
        </is>
      </c>
      <c r="G555" s="37" t="inlineStr">
        <is>
          <t>All is Well</t>
        </is>
      </c>
    </row>
    <row r="556">
      <c r="A556" s="37" t="inlineStr">
        <is>
          <t>Barna</t>
        </is>
      </c>
      <c r="B556" s="37" t="inlineStr">
        <is>
          <t>Shahdara</t>
        </is>
      </c>
      <c r="C556" s="37" t="inlineStr">
        <is>
          <t>Accenture (Youth)</t>
        </is>
      </c>
      <c r="D556" s="37" t="inlineStr">
        <is>
          <t>2026-07-08</t>
        </is>
      </c>
      <c r="E556" s="37" t="inlineStr">
        <is>
          <t>Infra Check</t>
        </is>
      </c>
      <c r="F556" s="37" t="inlineStr">
        <is>
          <t>Make a quick hostel visit; have lunch there if possible to test the food quality.</t>
        </is>
      </c>
      <c r="G556" s="37" t="inlineStr">
        <is>
          <t>Not Applicable</t>
        </is>
      </c>
    </row>
    <row r="557">
      <c r="A557" s="37" t="inlineStr">
        <is>
          <t>Barna</t>
        </is>
      </c>
      <c r="B557" s="37" t="inlineStr">
        <is>
          <t>Shahdara</t>
        </is>
      </c>
      <c r="C557" s="37" t="inlineStr">
        <is>
          <t>Accenture (Youth)</t>
        </is>
      </c>
      <c r="D557" s="37" t="inlineStr">
        <is>
          <t>2026-07-08</t>
        </is>
      </c>
      <c r="E557" s="37" t="inlineStr">
        <is>
          <t>Process Check</t>
        </is>
      </c>
      <c r="F557" s="37" t="inlineStr">
        <is>
          <t>Refer to the activity planner — check if any activities are delayed.</t>
        </is>
      </c>
      <c r="G557" s="37" t="inlineStr">
        <is>
          <t>All is Well</t>
        </is>
      </c>
    </row>
    <row r="558">
      <c r="A558" s="37" t="inlineStr">
        <is>
          <t>Barna</t>
        </is>
      </c>
      <c r="B558" s="37" t="inlineStr">
        <is>
          <t>Shahdara</t>
        </is>
      </c>
      <c r="C558" s="37" t="inlineStr">
        <is>
          <t>Accenture (Youth)</t>
        </is>
      </c>
      <c r="D558" s="37" t="inlineStr">
        <is>
          <t>2026-07-08</t>
        </is>
      </c>
      <c r="E558" s="37" t="inlineStr">
        <is>
          <t>Process Check</t>
        </is>
      </c>
      <c r="F558" s="37" t="inlineStr">
        <is>
          <t>Check planning for the next batch-start announcement.</t>
        </is>
      </c>
      <c r="G558" s="37" t="inlineStr">
        <is>
          <t>Need Improvement</t>
        </is>
      </c>
    </row>
    <row r="559">
      <c r="A559" s="37" t="inlineStr">
        <is>
          <t>Barna</t>
        </is>
      </c>
      <c r="B559" s="37" t="inlineStr">
        <is>
          <t>Shahdara</t>
        </is>
      </c>
      <c r="C559" s="37" t="inlineStr">
        <is>
          <t>Accenture (Youth)</t>
        </is>
      </c>
      <c r="D559" s="37" t="inlineStr">
        <is>
          <t>2026-07-08</t>
        </is>
      </c>
      <c r="E559" s="37" t="inlineStr">
        <is>
          <t>Process Check</t>
        </is>
      </c>
      <c r="F559" s="37" t="inlineStr">
        <is>
          <t>Check if any hiring is delayed and plan a resolution.</t>
        </is>
      </c>
      <c r="G559" s="37" t="inlineStr">
        <is>
          <t>All is Well</t>
        </is>
      </c>
    </row>
    <row r="560">
      <c r="A560" s="37" t="inlineStr">
        <is>
          <t>Barna</t>
        </is>
      </c>
      <c r="B560" s="37" t="inlineStr">
        <is>
          <t>Shahdara</t>
        </is>
      </c>
      <c r="C560" s="37" t="inlineStr">
        <is>
          <t>Accenture (Youth)</t>
        </is>
      </c>
      <c r="D560" s="37" t="inlineStr">
        <is>
          <t>2026-07-08</t>
        </is>
      </c>
      <c r="E560" s="37" t="inlineStr">
        <is>
          <t>Process Check</t>
        </is>
      </c>
      <c r="F560" s="37" t="inlineStr">
        <is>
          <t>Check the CA’s diary — is CA guided daily by the AH during planning days?</t>
        </is>
      </c>
      <c r="G560" s="37" t="inlineStr">
        <is>
          <t>Need Improvement</t>
        </is>
      </c>
    </row>
    <row r="561">
      <c r="A561" s="37" t="inlineStr">
        <is>
          <t>Barna</t>
        </is>
      </c>
      <c r="B561" s="37" t="inlineStr">
        <is>
          <t>Shahdara</t>
        </is>
      </c>
      <c r="C561" s="37" t="inlineStr">
        <is>
          <t>Accenture (Youth)</t>
        </is>
      </c>
      <c r="D561" s="37" t="inlineStr">
        <is>
          <t>2026-07-08</t>
        </is>
      </c>
      <c r="E561" s="37" t="inlineStr">
        <is>
          <t>Process Check</t>
        </is>
      </c>
      <c r="F561" s="37" t="inlineStr">
        <is>
          <t>Check the AH is regularly meeting employers (in person and online) and updating the centre’s Top 20 Employer format.</t>
        </is>
      </c>
      <c r="G561" s="37" t="inlineStr">
        <is>
          <t>Need Improvement</t>
        </is>
      </c>
    </row>
    <row r="562">
      <c r="A562" s="37" t="inlineStr">
        <is>
          <t>Barna</t>
        </is>
      </c>
      <c r="B562" s="37" t="inlineStr">
        <is>
          <t>Shahdara</t>
        </is>
      </c>
      <c r="C562" s="37" t="inlineStr">
        <is>
          <t>Accenture (Youth)</t>
        </is>
      </c>
      <c r="D562" s="37" t="inlineStr">
        <is>
          <t>2026-07-08</t>
        </is>
      </c>
      <c r="E562" s="37" t="inlineStr">
        <is>
          <t>Process Check</t>
        </is>
      </c>
      <c r="F562" s="37" t="inlineStr">
        <is>
          <t>Confirm all new employers are registered on portal as per new process.</t>
        </is>
      </c>
      <c r="G562" s="37" t="inlineStr">
        <is>
          <t>Not Applicable</t>
        </is>
      </c>
    </row>
    <row r="563">
      <c r="A563" s="37" t="inlineStr">
        <is>
          <t>Barna</t>
        </is>
      </c>
      <c r="B563" s="37" t="inlineStr">
        <is>
          <t>Shahdara</t>
        </is>
      </c>
      <c r="C563" s="37" t="inlineStr">
        <is>
          <t>Accenture (Youth)</t>
        </is>
      </c>
      <c r="D563" s="37" t="inlineStr">
        <is>
          <t>2026-07-08</t>
        </is>
      </c>
      <c r="E563" s="37" t="inlineStr">
        <is>
          <t>Process Check</t>
        </is>
      </c>
      <c r="F563" s="37" t="inlineStr">
        <is>
          <t>Confirm 100% of enrolled students undergone screening (for technical courses).</t>
        </is>
      </c>
      <c r="G563" s="37" t="inlineStr">
        <is>
          <t>Not Applicable</t>
        </is>
      </c>
    </row>
    <row r="564">
      <c r="A564" s="37" t="inlineStr">
        <is>
          <t>Barna</t>
        </is>
      </c>
      <c r="B564" s="37" t="inlineStr">
        <is>
          <t>Shahdara</t>
        </is>
      </c>
      <c r="C564" s="37" t="inlineStr">
        <is>
          <t>Accenture (Youth)</t>
        </is>
      </c>
      <c r="D564" s="37" t="inlineStr">
        <is>
          <t>2026-07-08</t>
        </is>
      </c>
      <c r="E564" s="37" t="inlineStr">
        <is>
          <t>Process Check</t>
        </is>
      </c>
      <c r="F564" s="37" t="inlineStr">
        <is>
          <t>Confirm ESA is done (in GROW full ESA and in Technical courses relevant sections of Core Employability Part).</t>
        </is>
      </c>
      <c r="G564" s="37" t="inlineStr">
        <is>
          <t>All is Well</t>
        </is>
      </c>
    </row>
    <row r="565">
      <c r="A565" s="37" t="inlineStr">
        <is>
          <t>Barna</t>
        </is>
      </c>
      <c r="B565" s="37" t="inlineStr">
        <is>
          <t>Shahdara</t>
        </is>
      </c>
      <c r="C565" s="37" t="inlineStr">
        <is>
          <t>Accenture (Youth)</t>
        </is>
      </c>
      <c r="D565" s="37" t="inlineStr">
        <is>
          <t>2026-07-08</t>
        </is>
      </c>
      <c r="E565" s="37" t="inlineStr">
        <is>
          <t>Process Check</t>
        </is>
      </c>
      <c r="F565" s="37" t="inlineStr">
        <is>
          <t>Check is AH giving capstone project in GROW Tech.</t>
        </is>
      </c>
      <c r="G565" s="37" t="inlineStr">
        <is>
          <t>Not Applicable</t>
        </is>
      </c>
    </row>
    <row r="566">
      <c r="A566" s="37" t="inlineStr">
        <is>
          <t>Barna</t>
        </is>
      </c>
      <c r="B566" s="37" t="inlineStr">
        <is>
          <t>Shahdara</t>
        </is>
      </c>
      <c r="C566" s="37" t="inlineStr">
        <is>
          <t>Accenture (Youth)</t>
        </is>
      </c>
      <c r="D566" s="37" t="inlineStr">
        <is>
          <t>2026-07-08</t>
        </is>
      </c>
      <c r="E566" s="37" t="inlineStr">
        <is>
          <t>Process Check</t>
        </is>
      </c>
      <c r="F566" s="37" t="inlineStr">
        <is>
          <t>Check is AH planning OJT as per guidelines and proofs are collected for technical courses.</t>
        </is>
      </c>
      <c r="G566" s="37" t="inlineStr">
        <is>
          <t>Not Applicable</t>
        </is>
      </c>
    </row>
    <row r="567">
      <c r="A567" s="37" t="inlineStr">
        <is>
          <t>Barna</t>
        </is>
      </c>
      <c r="B567" s="37" t="inlineStr">
        <is>
          <t>Shahdara</t>
        </is>
      </c>
      <c r="C567" s="37" t="inlineStr">
        <is>
          <t>Accenture (Youth)</t>
        </is>
      </c>
      <c r="D567" s="37" t="inlineStr">
        <is>
          <t>2026-07-08</t>
        </is>
      </c>
      <c r="E567" s="37" t="inlineStr">
        <is>
          <t>Process Check</t>
        </is>
      </c>
      <c r="F567" s="37" t="inlineStr">
        <is>
          <t>Check are trainers contacting aspirants to find reason for their absenteeism of more than 1 day.</t>
        </is>
      </c>
      <c r="G567" s="37" t="inlineStr">
        <is>
          <t>All is Well</t>
        </is>
      </c>
    </row>
    <row r="568">
      <c r="A568" s="37" t="inlineStr">
        <is>
          <t>Barna</t>
        </is>
      </c>
      <c r="B568" s="37" t="inlineStr">
        <is>
          <t>Shahdara</t>
        </is>
      </c>
      <c r="C568" s="37" t="inlineStr">
        <is>
          <t>Accenture (Youth)</t>
        </is>
      </c>
      <c r="D568" s="37" t="inlineStr">
        <is>
          <t>2026-07-08</t>
        </is>
      </c>
      <c r="E568" s="37" t="inlineStr">
        <is>
          <t>Process Check</t>
        </is>
      </c>
      <c r="F568" s="37" t="inlineStr">
        <is>
          <t>Check the AH plans monthly enrolment and placement numbers by the 3rd of each month and shares them with second level managers.</t>
        </is>
      </c>
      <c r="G568" s="37" t="inlineStr">
        <is>
          <t>Need Improvement</t>
        </is>
      </c>
    </row>
    <row r="569">
      <c r="A569" s="37" t="inlineStr">
        <is>
          <t>Barna</t>
        </is>
      </c>
      <c r="B569" s="37" t="inlineStr">
        <is>
          <t>Shahdara</t>
        </is>
      </c>
      <c r="C569" s="37" t="inlineStr">
        <is>
          <t>Accenture (Youth)</t>
        </is>
      </c>
      <c r="D569" s="37" t="inlineStr">
        <is>
          <t>2026-07-08</t>
        </is>
      </c>
      <c r="E569" s="37" t="inlineStr">
        <is>
          <t>Process Check</t>
        </is>
      </c>
      <c r="F569" s="37" t="inlineStr">
        <is>
          <t>Check trainers submit aspirants’ placement interest areas to the AH by the batch’s 25th day (in GROW).</t>
        </is>
      </c>
      <c r="G569" s="37" t="inlineStr">
        <is>
          <t>All is Well</t>
        </is>
      </c>
    </row>
    <row r="570">
      <c r="A570" s="37" t="inlineStr">
        <is>
          <t>Barna</t>
        </is>
      </c>
      <c r="B570" s="37" t="inlineStr">
        <is>
          <t>Shahdara</t>
        </is>
      </c>
      <c r="C570" s="37" t="inlineStr">
        <is>
          <t>Accenture (Youth)</t>
        </is>
      </c>
      <c r="D570" s="37" t="inlineStr">
        <is>
          <t>2026-07-08</t>
        </is>
      </c>
      <c r="E570" s="37" t="inlineStr">
        <is>
          <t>Process Check</t>
        </is>
      </c>
      <c r="F570" s="37" t="inlineStr">
        <is>
          <t>Ckeck For technical programs, placement is done only in technical jobs,on which aspirants are trained and relevant emplyers are identified by 45th day.</t>
        </is>
      </c>
      <c r="G570" s="37" t="inlineStr">
        <is>
          <t>Not Applicable</t>
        </is>
      </c>
    </row>
    <row r="571">
      <c r="A571" s="37" t="inlineStr">
        <is>
          <t>Barna</t>
        </is>
      </c>
      <c r="B571" s="37" t="inlineStr">
        <is>
          <t>Shahdara</t>
        </is>
      </c>
      <c r="C571" s="37" t="inlineStr">
        <is>
          <t>Accenture (Youth)</t>
        </is>
      </c>
      <c r="D571" s="37" t="inlineStr">
        <is>
          <t>2026-07-08</t>
        </is>
      </c>
      <c r="E571" s="37" t="inlineStr">
        <is>
          <t>Process Check</t>
        </is>
      </c>
      <c r="F571" s="37" t="inlineStr">
        <is>
          <t>Check the AH follows EP guidelines and minimum benchmark salary guidelines.</t>
        </is>
      </c>
      <c r="G571" s="37" t="inlineStr">
        <is>
          <t>All is Well</t>
        </is>
      </c>
    </row>
    <row r="572">
      <c r="A572" s="37" t="inlineStr">
        <is>
          <t>Barna</t>
        </is>
      </c>
      <c r="B572" s="37" t="inlineStr">
        <is>
          <t>Shahdara</t>
        </is>
      </c>
      <c r="C572" s="37" t="inlineStr">
        <is>
          <t>Accenture (Youth)</t>
        </is>
      </c>
      <c r="D572" s="37" t="inlineStr">
        <is>
          <t>2026-07-08</t>
        </is>
      </c>
      <c r="E572" s="37" t="inlineStr">
        <is>
          <t>Process Check</t>
        </is>
      </c>
      <c r="F572" s="37" t="inlineStr">
        <is>
          <t>Check that AH is enrolling only the right traget group in the program -as per the defined target.</t>
        </is>
      </c>
      <c r="G572" s="37" t="inlineStr">
        <is>
          <t>All is Well</t>
        </is>
      </c>
    </row>
    <row r="573">
      <c r="A573" s="37" t="inlineStr">
        <is>
          <t>Barna</t>
        </is>
      </c>
      <c r="B573" s="37" t="inlineStr">
        <is>
          <t>Shahdara</t>
        </is>
      </c>
      <c r="C573" s="37" t="inlineStr">
        <is>
          <t>Accenture (Youth)</t>
        </is>
      </c>
      <c r="D573" s="37" t="inlineStr">
        <is>
          <t>2026-07-08</t>
        </is>
      </c>
      <c r="E573" s="37" t="inlineStr">
        <is>
          <t>Process Check</t>
        </is>
      </c>
      <c r="F573" s="37" t="inlineStr">
        <is>
          <t>Check the AH announces the next batch-start date by the 3rd of the month on all notice boards — focus on Zero-Day start.</t>
        </is>
      </c>
      <c r="G573" s="37" t="inlineStr">
        <is>
          <t>Need Improvement</t>
        </is>
      </c>
    </row>
    <row r="574">
      <c r="A574" s="37" t="inlineStr">
        <is>
          <t>Barna</t>
        </is>
      </c>
      <c r="B574" s="37" t="inlineStr">
        <is>
          <t>Shahdara</t>
        </is>
      </c>
      <c r="C574" s="37" t="inlineStr">
        <is>
          <t>Accenture (Youth)</t>
        </is>
      </c>
      <c r="D574" s="37" t="inlineStr">
        <is>
          <t>2026-07-08</t>
        </is>
      </c>
      <c r="E574" s="37" t="inlineStr">
        <is>
          <t>Process Check</t>
        </is>
      </c>
      <c r="F574" s="37" t="inlineStr">
        <is>
          <t>Check the Aspirant Mock Interview Score Tracker is updated after every mock interview in the L&amp;D Google Sheet.</t>
        </is>
      </c>
      <c r="G574" s="37" t="inlineStr">
        <is>
          <t>Need Improvement</t>
        </is>
      </c>
    </row>
    <row r="575">
      <c r="A575" s="37" t="inlineStr">
        <is>
          <t>Barna</t>
        </is>
      </c>
      <c r="B575" s="37" t="inlineStr">
        <is>
          <t>Shahdara</t>
        </is>
      </c>
      <c r="C575" s="37" t="inlineStr">
        <is>
          <t>Accenture (Youth)</t>
        </is>
      </c>
      <c r="D575" s="37" t="inlineStr">
        <is>
          <t>2026-07-08</t>
        </is>
      </c>
      <c r="E575" s="37" t="inlineStr">
        <is>
          <t>Process Check</t>
        </is>
      </c>
      <c r="F575" s="37" t="inlineStr">
        <is>
          <t>Confirm NPS (Net Promoter Score) is collected at MSDF centres.</t>
        </is>
      </c>
      <c r="G575" s="37" t="inlineStr">
        <is>
          <t>Not Applicable</t>
        </is>
      </c>
    </row>
    <row r="576">
      <c r="A576" s="37" t="inlineStr">
        <is>
          <t>Barna</t>
        </is>
      </c>
      <c r="B576" s="37" t="inlineStr">
        <is>
          <t>Shahdara</t>
        </is>
      </c>
      <c r="C576" s="37" t="inlineStr">
        <is>
          <t>Accenture (Youth)</t>
        </is>
      </c>
      <c r="D576" s="37" t="inlineStr">
        <is>
          <t>2026-07-08</t>
        </is>
      </c>
      <c r="E576" s="37" t="inlineStr">
        <is>
          <t>Process Check</t>
        </is>
      </c>
      <c r="F576" s="37" t="inlineStr">
        <is>
          <t>Confirm that QAE is collecting student feedback for every batch.</t>
        </is>
      </c>
      <c r="G576" s="37" t="inlineStr">
        <is>
          <t>All is Well</t>
        </is>
      </c>
    </row>
    <row r="577">
      <c r="A577" s="37" t="inlineStr">
        <is>
          <t>Barna</t>
        </is>
      </c>
      <c r="B577" s="37" t="inlineStr">
        <is>
          <t>Shahdara</t>
        </is>
      </c>
      <c r="C577" s="37" t="inlineStr">
        <is>
          <t>Accenture (Youth)</t>
        </is>
      </c>
      <c r="D577" s="37" t="inlineStr">
        <is>
          <t>2026-07-08</t>
        </is>
      </c>
      <c r="E577" s="37" t="inlineStr">
        <is>
          <t>Process Check</t>
        </is>
      </c>
      <c r="F577" s="37" t="inlineStr">
        <is>
          <t>Confirm all centre teams have completed the GROW Manual Course on Skillfy — ask for achievement certificates.</t>
        </is>
      </c>
      <c r="G577" s="37" t="inlineStr">
        <is>
          <t>All is Well</t>
        </is>
      </c>
    </row>
    <row r="578">
      <c r="A578" s="37" t="inlineStr">
        <is>
          <t>Barna</t>
        </is>
      </c>
      <c r="B578" s="37" t="inlineStr">
        <is>
          <t>Shahdara</t>
        </is>
      </c>
      <c r="C578" s="37" t="inlineStr">
        <is>
          <t>Accenture (Youth)</t>
        </is>
      </c>
      <c r="D578" s="37" t="inlineStr">
        <is>
          <t>2026-07-08</t>
        </is>
      </c>
      <c r="E578" s="37" t="inlineStr">
        <is>
          <t>Process Check</t>
        </is>
      </c>
      <c r="F578" s="37" t="inlineStr">
        <is>
          <t>Check AH holds a quality weekly team meeting, documents action points in the weekly meeting format, and sends you a photo on WhatsApp.</t>
        </is>
      </c>
      <c r="G578" s="37" t="inlineStr">
        <is>
          <t>Need Improvement</t>
        </is>
      </c>
    </row>
    <row r="579">
      <c r="A579" s="37" t="inlineStr">
        <is>
          <t>Barna</t>
        </is>
      </c>
      <c r="B579" s="37" t="inlineStr">
        <is>
          <t>Shahdara</t>
        </is>
      </c>
      <c r="C579" s="37" t="inlineStr">
        <is>
          <t>Accenture (Youth)</t>
        </is>
      </c>
      <c r="D579" s="37" t="inlineStr">
        <is>
          <t>2026-07-08</t>
        </is>
      </c>
      <c r="E579" s="37" t="inlineStr">
        <is>
          <t>Aspirant Interaction</t>
        </is>
      </c>
      <c r="F579" s="37" t="inlineStr">
        <is>
          <t>Ask aspirants about the session plan — confirm training is happening as planned?</t>
        </is>
      </c>
      <c r="G579" s="37" t="inlineStr">
        <is>
          <t>All is Well</t>
        </is>
      </c>
    </row>
    <row r="580">
      <c r="A580" s="37" t="inlineStr">
        <is>
          <t>Barna</t>
        </is>
      </c>
      <c r="B580" s="37" t="inlineStr">
        <is>
          <t>Shahdara</t>
        </is>
      </c>
      <c r="C580" s="37" t="inlineStr">
        <is>
          <t>Accenture (Youth)</t>
        </is>
      </c>
      <c r="D580" s="37" t="inlineStr">
        <is>
          <t>2026-07-08</t>
        </is>
      </c>
      <c r="E580" s="37" t="inlineStr">
        <is>
          <t>Aspirant Interaction</t>
        </is>
      </c>
      <c r="F580" s="37" t="inlineStr">
        <is>
          <t>Ask about the quality of Core Employability component delivery (technical centres) and who delivers it.</t>
        </is>
      </c>
      <c r="G580" s="37" t="inlineStr">
        <is>
          <t>Not Applicable</t>
        </is>
      </c>
    </row>
    <row r="581">
      <c r="A581" s="37" t="inlineStr">
        <is>
          <t>Barna</t>
        </is>
      </c>
      <c r="B581" s="37" t="inlineStr">
        <is>
          <t>Shahdara</t>
        </is>
      </c>
      <c r="C581" s="37" t="inlineStr">
        <is>
          <t>Accenture (Youth)</t>
        </is>
      </c>
      <c r="D581" s="37" t="inlineStr">
        <is>
          <t>2026-07-08</t>
        </is>
      </c>
      <c r="E581" s="37" t="inlineStr">
        <is>
          <t>Aspirant Interaction</t>
        </is>
      </c>
      <c r="F581" s="37" t="inlineStr">
        <is>
          <t>Ask whether they are aware of the referral scheme?</t>
        </is>
      </c>
      <c r="G581" s="37" t="inlineStr">
        <is>
          <t>All is Well</t>
        </is>
      </c>
    </row>
    <row r="582">
      <c r="A582" s="37" t="inlineStr">
        <is>
          <t>Barna</t>
        </is>
      </c>
      <c r="B582" s="37" t="inlineStr">
        <is>
          <t>Shahdara</t>
        </is>
      </c>
      <c r="C582" s="37" t="inlineStr">
        <is>
          <t>Accenture (Youth)</t>
        </is>
      </c>
      <c r="D582" s="37" t="inlineStr">
        <is>
          <t>2026-07-08</t>
        </is>
      </c>
      <c r="E582" s="37" t="inlineStr">
        <is>
          <t>Aspirant Interaction</t>
        </is>
      </c>
      <c r="F582" s="37" t="inlineStr">
        <is>
          <t>Ask whether the AH explained the importance of the offer letter and sharing it with us once received for reporting purposes?</t>
        </is>
      </c>
      <c r="G582" s="37" t="inlineStr">
        <is>
          <t>All is Well</t>
        </is>
      </c>
    </row>
    <row r="583">
      <c r="A583" s="37" t="inlineStr">
        <is>
          <t>Barna</t>
        </is>
      </c>
      <c r="B583" s="37" t="inlineStr">
        <is>
          <t>Shahdara</t>
        </is>
      </c>
      <c r="C583" s="37" t="inlineStr">
        <is>
          <t>Accenture (Youth)</t>
        </is>
      </c>
      <c r="D583" s="37" t="inlineStr">
        <is>
          <t>2026-07-08</t>
        </is>
      </c>
      <c r="E583" s="37" t="inlineStr">
        <is>
          <t>Aspirant Interaction</t>
        </is>
      </c>
      <c r="F583" s="37" t="inlineStr">
        <is>
          <t>Ask how many are not interested in jobs — and if so, why they enrolled in the programme?</t>
        </is>
      </c>
      <c r="G583" s="37" t="inlineStr">
        <is>
          <t>Not Applicable</t>
        </is>
      </c>
    </row>
    <row r="584">
      <c r="A584" s="37" t="inlineStr">
        <is>
          <t>Barna</t>
        </is>
      </c>
      <c r="B584" s="37" t="inlineStr">
        <is>
          <t>Shahdara</t>
        </is>
      </c>
      <c r="C584" s="37" t="inlineStr">
        <is>
          <t>Accenture (Youth)</t>
        </is>
      </c>
      <c r="D584" s="37" t="inlineStr">
        <is>
          <t>2026-07-08</t>
        </is>
      </c>
      <c r="E584" s="37" t="inlineStr">
        <is>
          <t>Aspirant Interaction</t>
        </is>
      </c>
      <c r="F584" s="37" t="inlineStr">
        <is>
          <t>Ask whether they were told the kind of job they would get during counselling?</t>
        </is>
      </c>
      <c r="G584" s="37" t="inlineStr">
        <is>
          <t>All is Well</t>
        </is>
      </c>
    </row>
    <row r="585">
      <c r="A585" s="37" t="inlineStr">
        <is>
          <t>Barna</t>
        </is>
      </c>
      <c r="B585" s="37" t="inlineStr">
        <is>
          <t>Shahdara</t>
        </is>
      </c>
      <c r="C585" s="37" t="inlineStr">
        <is>
          <t>Accenture (Youth)</t>
        </is>
      </c>
      <c r="D585" s="37" t="inlineStr">
        <is>
          <t>2026-07-08</t>
        </is>
      </c>
      <c r="E585" s="37" t="inlineStr">
        <is>
          <t>Aspirant Interaction</t>
        </is>
      </c>
      <c r="F585" s="37" t="inlineStr">
        <is>
          <t>Ask whether they have been given LMS access?</t>
        </is>
      </c>
      <c r="G585" s="37" t="inlineStr">
        <is>
          <t>All is Well</t>
        </is>
      </c>
    </row>
    <row r="586">
      <c r="A586" s="37" t="inlineStr">
        <is>
          <t>Barna</t>
        </is>
      </c>
      <c r="B586" s="37" t="inlineStr">
        <is>
          <t>Shahdara</t>
        </is>
      </c>
      <c r="C586" s="37" t="inlineStr">
        <is>
          <t>Accenture (Youth)</t>
        </is>
      </c>
      <c r="D586" s="37" t="inlineStr">
        <is>
          <t>2026-07-08</t>
        </is>
      </c>
      <c r="E586" s="37" t="inlineStr">
        <is>
          <t>Aspirant Interaction</t>
        </is>
      </c>
      <c r="F586" s="37" t="inlineStr">
        <is>
          <t>Ask whether anyone asked them for money for training or placement?</t>
        </is>
      </c>
      <c r="G586" s="37" t="inlineStr">
        <is>
          <t>All is Well</t>
        </is>
      </c>
    </row>
    <row r="587">
      <c r="A587" s="37" t="inlineStr">
        <is>
          <t>Barna</t>
        </is>
      </c>
      <c r="B587" s="37" t="inlineStr">
        <is>
          <t>Shahdara</t>
        </is>
      </c>
      <c r="C587" s="37" t="inlineStr">
        <is>
          <t>Accenture (Youth)</t>
        </is>
      </c>
      <c r="D587" s="37" t="inlineStr">
        <is>
          <t>2026-07-08</t>
        </is>
      </c>
      <c r="E587" s="37" t="inlineStr">
        <is>
          <t>Aspirant Interaction</t>
        </is>
      </c>
      <c r="F587" s="37" t="inlineStr">
        <is>
          <t>Ask to show their mobile phones — are they enrolled on Skillfy? If not, get them enrolled and give written feedback to trainers and the AH in your presence.</t>
        </is>
      </c>
      <c r="G587" s="37" t="inlineStr">
        <is>
          <t>All is Well</t>
        </is>
      </c>
    </row>
    <row r="588">
      <c r="A588" s="37" t="inlineStr">
        <is>
          <t>Barna</t>
        </is>
      </c>
      <c r="B588" s="37" t="inlineStr">
        <is>
          <t>Shahdara</t>
        </is>
      </c>
      <c r="C588" s="37" t="inlineStr">
        <is>
          <t>Accenture (Youth)</t>
        </is>
      </c>
      <c r="D588" s="37" t="inlineStr">
        <is>
          <t>2026-07-08</t>
        </is>
      </c>
      <c r="E588" s="37" t="inlineStr">
        <is>
          <t>Aspirant Interaction</t>
        </is>
      </c>
      <c r="F588" s="37" t="inlineStr">
        <is>
          <t>Ask about the quality of the hostel and any issues they face.</t>
        </is>
      </c>
      <c r="G588" s="37" t="inlineStr">
        <is>
          <t>Not Applicable</t>
        </is>
      </c>
    </row>
    <row r="589">
      <c r="A589" s="37" t="inlineStr">
        <is>
          <t>Barna</t>
        </is>
      </c>
      <c r="B589" s="37" t="inlineStr">
        <is>
          <t>Shahdara</t>
        </is>
      </c>
      <c r="C589" s="37" t="inlineStr">
        <is>
          <t>Accenture (Youth)</t>
        </is>
      </c>
      <c r="D589" s="37" t="inlineStr">
        <is>
          <t>2026-07-08</t>
        </is>
      </c>
      <c r="E589" s="37" t="inlineStr">
        <is>
          <t>Aspirant Interaction</t>
        </is>
      </c>
      <c r="F589" s="37" t="inlineStr">
        <is>
          <t>Ask a few relevant screening questions to support the 10th-day report and remove non-serious candidates, explaining to them the reasons.</t>
        </is>
      </c>
      <c r="G589" s="37" t="inlineStr">
        <is>
          <t>All is Well</t>
        </is>
      </c>
    </row>
    <row r="590">
      <c r="A590" s="37" t="inlineStr">
        <is>
          <t>Amit Chakraborty</t>
        </is>
      </c>
      <c r="B590" s="37" t="inlineStr">
        <is>
          <t>Kidwainagar</t>
        </is>
      </c>
      <c r="C590" s="37" t="inlineStr">
        <is>
          <t>Grow Youth-Accenture</t>
        </is>
      </c>
      <c r="D590" s="37" t="inlineStr">
        <is>
          <t>2026-07-11</t>
        </is>
      </c>
      <c r="E590" s="37" t="inlineStr">
        <is>
          <t>Data Check</t>
        </is>
      </c>
      <c r="F590" s="37" t="inlineStr">
        <is>
          <t>Reach the centre on time (unannounced) — confirm the centre opened on time.</t>
        </is>
      </c>
      <c r="G590" s="37" t="inlineStr">
        <is>
          <t>All is Well</t>
        </is>
      </c>
    </row>
    <row r="591">
      <c r="A591" s="37" t="inlineStr">
        <is>
          <t>Amit Chakraborty</t>
        </is>
      </c>
      <c r="B591" s="37" t="inlineStr">
        <is>
          <t>Kidwainagar</t>
        </is>
      </c>
      <c r="C591" s="37" t="inlineStr">
        <is>
          <t>Grow Youth-Accenture</t>
        </is>
      </c>
      <c r="D591" s="37" t="inlineStr">
        <is>
          <t>2026-07-11</t>
        </is>
      </c>
      <c r="E591" s="37" t="inlineStr">
        <is>
          <t>Data Check</t>
        </is>
      </c>
      <c r="F591" s="37" t="inlineStr">
        <is>
          <t>Check the staff attendance register, the Google Sheet, and geo-tagged photos for aspirants.</t>
        </is>
      </c>
      <c r="G591" s="37" t="inlineStr">
        <is>
          <t>All is Well</t>
        </is>
      </c>
    </row>
    <row r="592">
      <c r="A592" s="37" t="inlineStr">
        <is>
          <t>Amit Chakraborty</t>
        </is>
      </c>
      <c r="B592" s="37" t="inlineStr">
        <is>
          <t>Kidwainagar</t>
        </is>
      </c>
      <c r="C592" s="37" t="inlineStr">
        <is>
          <t>Grow Youth-Accenture</t>
        </is>
      </c>
      <c r="D592" s="37" t="inlineStr">
        <is>
          <t>2026-07-11</t>
        </is>
      </c>
      <c r="E592" s="37" t="inlineStr">
        <is>
          <t>Data Check</t>
        </is>
      </c>
      <c r="F592" s="37" t="inlineStr">
        <is>
          <t>Check Counselling and Screening Forms of recently started batches.</t>
        </is>
      </c>
      <c r="G592" s="37" t="inlineStr">
        <is>
          <t>Need Improvement</t>
        </is>
      </c>
    </row>
    <row r="593">
      <c r="A593" s="37" t="inlineStr">
        <is>
          <t>Amit Chakraborty</t>
        </is>
      </c>
      <c r="B593" s="37" t="inlineStr">
        <is>
          <t>Kidwainagar</t>
        </is>
      </c>
      <c r="C593" s="37" t="inlineStr">
        <is>
          <t>Grow Youth-Accenture</t>
        </is>
      </c>
      <c r="D593" s="37" t="inlineStr">
        <is>
          <t>2026-07-11</t>
        </is>
      </c>
      <c r="E593" s="37" t="inlineStr">
        <is>
          <t>Data Check</t>
        </is>
      </c>
      <c r="F593" s="37" t="inlineStr">
        <is>
          <t>Check Aspirant Registration Forms and related documents.</t>
        </is>
      </c>
      <c r="G593" s="37" t="inlineStr">
        <is>
          <t>Need Improvement</t>
        </is>
      </c>
    </row>
    <row r="594">
      <c r="A594" s="37" t="inlineStr">
        <is>
          <t>Amit Chakraborty</t>
        </is>
      </c>
      <c r="B594" s="37" t="inlineStr">
        <is>
          <t>Kidwainagar</t>
        </is>
      </c>
      <c r="C594" s="37" t="inlineStr">
        <is>
          <t>Grow Youth-Accenture</t>
        </is>
      </c>
      <c r="D594" s="37" t="inlineStr">
        <is>
          <t>2026-07-11</t>
        </is>
      </c>
      <c r="E594" s="37" t="inlineStr">
        <is>
          <t>Data Check</t>
        </is>
      </c>
      <c r="F594" s="37" t="inlineStr">
        <is>
          <t>On the GROW portal, confirm all student profile details and batch updates are currect.</t>
        </is>
      </c>
      <c r="G594" s="37" t="inlineStr">
        <is>
          <t>Need Improvement</t>
        </is>
      </c>
    </row>
    <row r="595">
      <c r="A595" s="37" t="inlineStr">
        <is>
          <t>Amit Chakraborty</t>
        </is>
      </c>
      <c r="B595" s="37" t="inlineStr">
        <is>
          <t>Kidwainagar</t>
        </is>
      </c>
      <c r="C595" s="37" t="inlineStr">
        <is>
          <t>Grow Youth-Accenture</t>
        </is>
      </c>
      <c r="D595" s="37" t="inlineStr">
        <is>
          <t>2026-07-11</t>
        </is>
      </c>
      <c r="E595" s="37" t="inlineStr">
        <is>
          <t>Data Check</t>
        </is>
      </c>
      <c r="F595" s="37" t="inlineStr">
        <is>
          <t>Verify placement data — randomly call 3–4 alumni placed in the last 3 months to confirm veracity (random selection is essential).</t>
        </is>
      </c>
      <c r="G595" s="37" t="inlineStr">
        <is>
          <t>All is Well</t>
        </is>
      </c>
    </row>
    <row r="596">
      <c r="A596" s="37" t="inlineStr">
        <is>
          <t>Amit Chakraborty</t>
        </is>
      </c>
      <c r="B596" s="37" t="inlineStr">
        <is>
          <t>Kidwainagar</t>
        </is>
      </c>
      <c r="C596" s="37" t="inlineStr">
        <is>
          <t>Grow Youth-Accenture</t>
        </is>
      </c>
      <c r="D596" s="37" t="inlineStr">
        <is>
          <t>2026-07-11</t>
        </is>
      </c>
      <c r="E596" s="37" t="inlineStr">
        <is>
          <t>Data Check</t>
        </is>
      </c>
      <c r="F596" s="37" t="inlineStr">
        <is>
          <t>Verify retention — check the Alumni Hand-holding Format is being updated as designed.</t>
        </is>
      </c>
      <c r="G596" s="37" t="inlineStr">
        <is>
          <t>Need Improvement</t>
        </is>
      </c>
    </row>
    <row r="597">
      <c r="A597" s="37" t="inlineStr">
        <is>
          <t>Amit Chakraborty</t>
        </is>
      </c>
      <c r="B597" s="37" t="inlineStr">
        <is>
          <t>Kidwainagar</t>
        </is>
      </c>
      <c r="C597" s="37" t="inlineStr">
        <is>
          <t>Grow Youth-Accenture</t>
        </is>
      </c>
      <c r="D597" s="37" t="inlineStr">
        <is>
          <t>2026-07-11</t>
        </is>
      </c>
      <c r="E597" s="37" t="inlineStr">
        <is>
          <t>Data Check</t>
        </is>
      </c>
      <c r="F597" s="37" t="inlineStr">
        <is>
          <t>Check aspirant Hostel Forms are properly filled or not.</t>
        </is>
      </c>
      <c r="G597" s="37" t="inlineStr">
        <is>
          <t>Not Applicable</t>
        </is>
      </c>
    </row>
    <row r="598">
      <c r="A598" s="37" t="inlineStr">
        <is>
          <t>Amit Chakraborty</t>
        </is>
      </c>
      <c r="B598" s="37" t="inlineStr">
        <is>
          <t>Kidwainagar</t>
        </is>
      </c>
      <c r="C598" s="37" t="inlineStr">
        <is>
          <t>Grow Youth-Accenture</t>
        </is>
      </c>
      <c r="D598" s="37" t="inlineStr">
        <is>
          <t>2026-07-11</t>
        </is>
      </c>
      <c r="E598" s="37" t="inlineStr">
        <is>
          <t>Infra Check</t>
        </is>
      </c>
      <c r="F598" s="37" t="inlineStr">
        <is>
          <t>Check all CCTV cameras; if any are not working, ask the AH to troubleshoot or call the vendor.</t>
        </is>
      </c>
      <c r="G598" s="37" t="inlineStr">
        <is>
          <t>All is Well</t>
        </is>
      </c>
    </row>
    <row r="599">
      <c r="A599" s="37" t="inlineStr">
        <is>
          <t>Amit Chakraborty</t>
        </is>
      </c>
      <c r="B599" s="37" t="inlineStr">
        <is>
          <t>Kidwainagar</t>
        </is>
      </c>
      <c r="C599" s="37" t="inlineStr">
        <is>
          <t>Grow Youth-Accenture</t>
        </is>
      </c>
      <c r="D599" s="37" t="inlineStr">
        <is>
          <t>2026-07-11</t>
        </is>
      </c>
      <c r="E599" s="37" t="inlineStr">
        <is>
          <t>Infra Check</t>
        </is>
      </c>
      <c r="F599" s="37" t="inlineStr">
        <is>
          <t>Check for any scrap material and get it cleared, with support of Admin</t>
        </is>
      </c>
      <c r="G599" s="37" t="inlineStr">
        <is>
          <t>All is Well</t>
        </is>
      </c>
    </row>
    <row r="600">
      <c r="A600" s="37" t="inlineStr">
        <is>
          <t>Amit Chakraborty</t>
        </is>
      </c>
      <c r="B600" s="37" t="inlineStr">
        <is>
          <t>Kidwainagar</t>
        </is>
      </c>
      <c r="C600" s="37" t="inlineStr">
        <is>
          <t>Grow Youth-Accenture</t>
        </is>
      </c>
      <c r="D600" s="37" t="inlineStr">
        <is>
          <t>2026-07-11</t>
        </is>
      </c>
      <c r="E600" s="37" t="inlineStr">
        <is>
          <t>Infra Check</t>
        </is>
      </c>
      <c r="F600" s="37" t="inlineStr">
        <is>
          <t>Check for any pending infra repairs.</t>
        </is>
      </c>
      <c r="G600" s="37" t="inlineStr">
        <is>
          <t>Need Improvement</t>
        </is>
      </c>
    </row>
    <row r="601">
      <c r="A601" s="37" t="inlineStr">
        <is>
          <t>Amit Chakraborty</t>
        </is>
      </c>
      <c r="B601" s="37" t="inlineStr">
        <is>
          <t>Kidwainagar</t>
        </is>
      </c>
      <c r="C601" s="37" t="inlineStr">
        <is>
          <t>Grow Youth-Accenture</t>
        </is>
      </c>
      <c r="D601" s="37" t="inlineStr">
        <is>
          <t>2026-07-11</t>
        </is>
      </c>
      <c r="E601" s="37" t="inlineStr">
        <is>
          <t>Infra Check</t>
        </is>
      </c>
      <c r="F601" s="37" t="inlineStr">
        <is>
          <t>Check whether any fire extinguishers have expired (check the needle and expiry date both).</t>
        </is>
      </c>
      <c r="G601" s="37" t="inlineStr">
        <is>
          <t>All is Well</t>
        </is>
      </c>
    </row>
    <row r="602">
      <c r="A602" s="37" t="inlineStr">
        <is>
          <t>Amit Chakraborty</t>
        </is>
      </c>
      <c r="B602" s="37" t="inlineStr">
        <is>
          <t>Kidwainagar</t>
        </is>
      </c>
      <c r="C602" s="37" t="inlineStr">
        <is>
          <t>Grow Youth-Accenture</t>
        </is>
      </c>
      <c r="D602" s="37" t="inlineStr">
        <is>
          <t>2026-07-11</t>
        </is>
      </c>
      <c r="E602" s="37" t="inlineStr">
        <is>
          <t>Infra Check</t>
        </is>
      </c>
      <c r="F602" s="37" t="inlineStr">
        <is>
          <t>Check basic cleanliness of the washrooms and the centre.</t>
        </is>
      </c>
      <c r="G602" s="37" t="inlineStr">
        <is>
          <t>All is Well</t>
        </is>
      </c>
    </row>
    <row r="603">
      <c r="A603" s="37" t="inlineStr">
        <is>
          <t>Amit Chakraborty</t>
        </is>
      </c>
      <c r="B603" s="37" t="inlineStr">
        <is>
          <t>Kidwainagar</t>
        </is>
      </c>
      <c r="C603" s="37" t="inlineStr">
        <is>
          <t>Grow Youth-Accenture</t>
        </is>
      </c>
      <c r="D603" s="37" t="inlineStr">
        <is>
          <t>2026-07-11</t>
        </is>
      </c>
      <c r="E603" s="37" t="inlineStr">
        <is>
          <t>Infra Check</t>
        </is>
      </c>
      <c r="F603" s="37" t="inlineStr">
        <is>
          <t>Confirm the correct program and partner logos are displayed.</t>
        </is>
      </c>
      <c r="G603" s="37" t="inlineStr">
        <is>
          <t>All is Well</t>
        </is>
      </c>
    </row>
    <row r="604">
      <c r="A604" s="37" t="inlineStr">
        <is>
          <t>Amit Chakraborty</t>
        </is>
      </c>
      <c r="B604" s="37" t="inlineStr">
        <is>
          <t>Kidwainagar</t>
        </is>
      </c>
      <c r="C604" s="37" t="inlineStr">
        <is>
          <t>Grow Youth-Accenture</t>
        </is>
      </c>
      <c r="D604" s="37" t="inlineStr">
        <is>
          <t>2026-07-11</t>
        </is>
      </c>
      <c r="E604" s="37" t="inlineStr">
        <is>
          <t>Infra Check</t>
        </is>
      </c>
      <c r="F604" s="37" t="inlineStr">
        <is>
          <t>Check the status of digital infra — PCs, smartboards, tablets, laptops, etc.</t>
        </is>
      </c>
      <c r="G604" s="37" t="inlineStr">
        <is>
          <t>Need Improvement</t>
        </is>
      </c>
    </row>
    <row r="605">
      <c r="A605" s="37" t="inlineStr">
        <is>
          <t>Amit Chakraborty</t>
        </is>
      </c>
      <c r="B605" s="37" t="inlineStr">
        <is>
          <t>Kidwainagar</t>
        </is>
      </c>
      <c r="C605" s="37" t="inlineStr">
        <is>
          <t>Grow Youth-Accenture</t>
        </is>
      </c>
      <c r="D605" s="37" t="inlineStr">
        <is>
          <t>2026-07-11</t>
        </is>
      </c>
      <c r="E605" s="37" t="inlineStr">
        <is>
          <t>Infra Check</t>
        </is>
      </c>
      <c r="F605" s="37" t="inlineStr">
        <is>
          <t>Make a quick hostel visit; have lunch there if possible to test the food quality.</t>
        </is>
      </c>
      <c r="G605" s="37" t="inlineStr">
        <is>
          <t>Not Applicable</t>
        </is>
      </c>
    </row>
    <row r="606">
      <c r="A606" s="37" t="inlineStr">
        <is>
          <t>Amit Chakraborty</t>
        </is>
      </c>
      <c r="B606" s="37" t="inlineStr">
        <is>
          <t>Kidwainagar</t>
        </is>
      </c>
      <c r="C606" s="37" t="inlineStr">
        <is>
          <t>Grow Youth-Accenture</t>
        </is>
      </c>
      <c r="D606" s="37" t="inlineStr">
        <is>
          <t>2026-07-11</t>
        </is>
      </c>
      <c r="E606" s="37" t="inlineStr">
        <is>
          <t>Process Check</t>
        </is>
      </c>
      <c r="F606" s="37" t="inlineStr">
        <is>
          <t>Refer to the activity planner — check if any activities are delayed.</t>
        </is>
      </c>
      <c r="G606" s="37" t="inlineStr">
        <is>
          <t>All is Well</t>
        </is>
      </c>
    </row>
    <row r="607">
      <c r="A607" s="37" t="inlineStr">
        <is>
          <t>Amit Chakraborty</t>
        </is>
      </c>
      <c r="B607" s="37" t="inlineStr">
        <is>
          <t>Kidwainagar</t>
        </is>
      </c>
      <c r="C607" s="37" t="inlineStr">
        <is>
          <t>Grow Youth-Accenture</t>
        </is>
      </c>
      <c r="D607" s="37" t="inlineStr">
        <is>
          <t>2026-07-11</t>
        </is>
      </c>
      <c r="E607" s="37" t="inlineStr">
        <is>
          <t>Process Check</t>
        </is>
      </c>
      <c r="F607" s="37" t="inlineStr">
        <is>
          <t>Check planning for the next batch-start announcement.</t>
        </is>
      </c>
      <c r="G607" s="37" t="inlineStr">
        <is>
          <t>All is Well</t>
        </is>
      </c>
    </row>
    <row r="608">
      <c r="A608" s="37" t="inlineStr">
        <is>
          <t>Amit Chakraborty</t>
        </is>
      </c>
      <c r="B608" s="37" t="inlineStr">
        <is>
          <t>Kidwainagar</t>
        </is>
      </c>
      <c r="C608" s="37" t="inlineStr">
        <is>
          <t>Grow Youth-Accenture</t>
        </is>
      </c>
      <c r="D608" s="37" t="inlineStr">
        <is>
          <t>2026-07-11</t>
        </is>
      </c>
      <c r="E608" s="37" t="inlineStr">
        <is>
          <t>Process Check</t>
        </is>
      </c>
      <c r="F608" s="37" t="inlineStr">
        <is>
          <t>Check if any hiring is delayed and plan a resolution.</t>
        </is>
      </c>
      <c r="G608" s="37" t="inlineStr">
        <is>
          <t>Need Improvement</t>
        </is>
      </c>
    </row>
    <row r="609">
      <c r="A609" s="37" t="inlineStr">
        <is>
          <t>Amit Chakraborty</t>
        </is>
      </c>
      <c r="B609" s="37" t="inlineStr">
        <is>
          <t>Kidwainagar</t>
        </is>
      </c>
      <c r="C609" s="37" t="inlineStr">
        <is>
          <t>Grow Youth-Accenture</t>
        </is>
      </c>
      <c r="D609" s="37" t="inlineStr">
        <is>
          <t>2026-07-11</t>
        </is>
      </c>
      <c r="E609" s="37" t="inlineStr">
        <is>
          <t>Process Check</t>
        </is>
      </c>
      <c r="F609" s="37" t="inlineStr">
        <is>
          <t>Check the CA’s diary — is CA guided daily by the AH during planning days?</t>
        </is>
      </c>
      <c r="G609" s="37" t="inlineStr">
        <is>
          <t>Need Improvement</t>
        </is>
      </c>
    </row>
    <row r="610">
      <c r="A610" s="37" t="inlineStr">
        <is>
          <t>Amit Chakraborty</t>
        </is>
      </c>
      <c r="B610" s="37" t="inlineStr">
        <is>
          <t>Kidwainagar</t>
        </is>
      </c>
      <c r="C610" s="37" t="inlineStr">
        <is>
          <t>Grow Youth-Accenture</t>
        </is>
      </c>
      <c r="D610" s="37" t="inlineStr">
        <is>
          <t>2026-07-11</t>
        </is>
      </c>
      <c r="E610" s="37" t="inlineStr">
        <is>
          <t>Process Check</t>
        </is>
      </c>
      <c r="F610" s="37" t="inlineStr">
        <is>
          <t>Check the AH is regularly meeting employers (in person and online) and updating the centre’s Top 20 Employer format.</t>
        </is>
      </c>
      <c r="G610" s="37" t="inlineStr">
        <is>
          <t>Need Improvement</t>
        </is>
      </c>
    </row>
    <row r="611">
      <c r="A611" s="37" t="inlineStr">
        <is>
          <t>Amit Chakraborty</t>
        </is>
      </c>
      <c r="B611" s="37" t="inlineStr">
        <is>
          <t>Kidwainagar</t>
        </is>
      </c>
      <c r="C611" s="37" t="inlineStr">
        <is>
          <t>Grow Youth-Accenture</t>
        </is>
      </c>
      <c r="D611" s="37" t="inlineStr">
        <is>
          <t>2026-07-11</t>
        </is>
      </c>
      <c r="E611" s="37" t="inlineStr">
        <is>
          <t>Process Check</t>
        </is>
      </c>
      <c r="F611" s="37" t="inlineStr">
        <is>
          <t>Confirm all new employers are registered on portal as per new process.</t>
        </is>
      </c>
      <c r="G611" s="37" t="inlineStr">
        <is>
          <t>All is Well</t>
        </is>
      </c>
    </row>
    <row r="612">
      <c r="A612" s="37" t="inlineStr">
        <is>
          <t>Amit Chakraborty</t>
        </is>
      </c>
      <c r="B612" s="37" t="inlineStr">
        <is>
          <t>Kidwainagar</t>
        </is>
      </c>
      <c r="C612" s="37" t="inlineStr">
        <is>
          <t>Grow Youth-Accenture</t>
        </is>
      </c>
      <c r="D612" s="37" t="inlineStr">
        <is>
          <t>2026-07-11</t>
        </is>
      </c>
      <c r="E612" s="37" t="inlineStr">
        <is>
          <t>Process Check</t>
        </is>
      </c>
      <c r="F612" s="37" t="inlineStr">
        <is>
          <t>Confirm 100% of enrolled students undergone screening (for technical courses).</t>
        </is>
      </c>
      <c r="G612" s="37" t="inlineStr">
        <is>
          <t>Not Applicable</t>
        </is>
      </c>
    </row>
    <row r="613">
      <c r="A613" s="37" t="inlineStr">
        <is>
          <t>Amit Chakraborty</t>
        </is>
      </c>
      <c r="B613" s="37" t="inlineStr">
        <is>
          <t>Kidwainagar</t>
        </is>
      </c>
      <c r="C613" s="37" t="inlineStr">
        <is>
          <t>Grow Youth-Accenture</t>
        </is>
      </c>
      <c r="D613" s="37" t="inlineStr">
        <is>
          <t>2026-07-11</t>
        </is>
      </c>
      <c r="E613" s="37" t="inlineStr">
        <is>
          <t>Process Check</t>
        </is>
      </c>
      <c r="F613" s="37" t="inlineStr">
        <is>
          <t>Confirm ESA is done (in GROW full ESA and in Technical courses relevant sections of Core Employability Part).</t>
        </is>
      </c>
      <c r="G613" s="37" t="inlineStr">
        <is>
          <t>All is Well</t>
        </is>
      </c>
    </row>
    <row r="614">
      <c r="A614" s="37" t="inlineStr">
        <is>
          <t>Amit Chakraborty</t>
        </is>
      </c>
      <c r="B614" s="37" t="inlineStr">
        <is>
          <t>Kidwainagar</t>
        </is>
      </c>
      <c r="C614" s="37" t="inlineStr">
        <is>
          <t>Grow Youth-Accenture</t>
        </is>
      </c>
      <c r="D614" s="37" t="inlineStr">
        <is>
          <t>2026-07-11</t>
        </is>
      </c>
      <c r="E614" s="37" t="inlineStr">
        <is>
          <t>Process Check</t>
        </is>
      </c>
      <c r="F614" s="37" t="inlineStr">
        <is>
          <t>Check is AH giving capstone project in GROW Tech.</t>
        </is>
      </c>
      <c r="G614" s="37" t="inlineStr">
        <is>
          <t>Not Applicable</t>
        </is>
      </c>
    </row>
    <row r="615">
      <c r="A615" s="37" t="inlineStr">
        <is>
          <t>Amit Chakraborty</t>
        </is>
      </c>
      <c r="B615" s="37" t="inlineStr">
        <is>
          <t>Kidwainagar</t>
        </is>
      </c>
      <c r="C615" s="37" t="inlineStr">
        <is>
          <t>Grow Youth-Accenture</t>
        </is>
      </c>
      <c r="D615" s="37" t="inlineStr">
        <is>
          <t>2026-07-11</t>
        </is>
      </c>
      <c r="E615" s="37" t="inlineStr">
        <is>
          <t>Process Check</t>
        </is>
      </c>
      <c r="F615" s="37" t="inlineStr">
        <is>
          <t>Check is AH planning OJT as per guidelines and proofs are collected for technical courses.</t>
        </is>
      </c>
      <c r="G615" s="37" t="inlineStr">
        <is>
          <t>Not Applicable</t>
        </is>
      </c>
    </row>
    <row r="616">
      <c r="A616" s="37" t="inlineStr">
        <is>
          <t>Amit Chakraborty</t>
        </is>
      </c>
      <c r="B616" s="37" t="inlineStr">
        <is>
          <t>Kidwainagar</t>
        </is>
      </c>
      <c r="C616" s="37" t="inlineStr">
        <is>
          <t>Grow Youth-Accenture</t>
        </is>
      </c>
      <c r="D616" s="37" t="inlineStr">
        <is>
          <t>2026-07-11</t>
        </is>
      </c>
      <c r="E616" s="37" t="inlineStr">
        <is>
          <t>Process Check</t>
        </is>
      </c>
      <c r="F616" s="37" t="inlineStr">
        <is>
          <t>Check are trainers contacting aspirants to find reason for their absenteeism of more than 1 day.</t>
        </is>
      </c>
      <c r="G616" s="37" t="inlineStr">
        <is>
          <t>All is Well</t>
        </is>
      </c>
    </row>
    <row r="617">
      <c r="A617" s="37" t="inlineStr">
        <is>
          <t>Amit Chakraborty</t>
        </is>
      </c>
      <c r="B617" s="37" t="inlineStr">
        <is>
          <t>Kidwainagar</t>
        </is>
      </c>
      <c r="C617" s="37" t="inlineStr">
        <is>
          <t>Grow Youth-Accenture</t>
        </is>
      </c>
      <c r="D617" s="37" t="inlineStr">
        <is>
          <t>2026-07-11</t>
        </is>
      </c>
      <c r="E617" s="37" t="inlineStr">
        <is>
          <t>Process Check</t>
        </is>
      </c>
      <c r="F617" s="37" t="inlineStr">
        <is>
          <t>Check the AH plans monthly enrolment and placement numbers by the 3rd of each month and shares them with second level managers.</t>
        </is>
      </c>
      <c r="G617" s="37" t="inlineStr">
        <is>
          <t>Need Improvement</t>
        </is>
      </c>
    </row>
    <row r="618">
      <c r="A618" s="37" t="inlineStr">
        <is>
          <t>Amit Chakraborty</t>
        </is>
      </c>
      <c r="B618" s="37" t="inlineStr">
        <is>
          <t>Kidwainagar</t>
        </is>
      </c>
      <c r="C618" s="37" t="inlineStr">
        <is>
          <t>Grow Youth-Accenture</t>
        </is>
      </c>
      <c r="D618" s="37" t="inlineStr">
        <is>
          <t>2026-07-11</t>
        </is>
      </c>
      <c r="E618" s="37" t="inlineStr">
        <is>
          <t>Process Check</t>
        </is>
      </c>
      <c r="F618" s="37" t="inlineStr">
        <is>
          <t>Check trainers submit aspirants’ placement interest areas to the AH by the batch’s 25th day (in GROW).</t>
        </is>
      </c>
      <c r="G618" s="37" t="inlineStr">
        <is>
          <t>All is Well</t>
        </is>
      </c>
    </row>
    <row r="619">
      <c r="A619" s="37" t="inlineStr">
        <is>
          <t>Amit Chakraborty</t>
        </is>
      </c>
      <c r="B619" s="37" t="inlineStr">
        <is>
          <t>Kidwainagar</t>
        </is>
      </c>
      <c r="C619" s="37" t="inlineStr">
        <is>
          <t>Grow Youth-Accenture</t>
        </is>
      </c>
      <c r="D619" s="37" t="inlineStr">
        <is>
          <t>2026-07-11</t>
        </is>
      </c>
      <c r="E619" s="37" t="inlineStr">
        <is>
          <t>Process Check</t>
        </is>
      </c>
      <c r="F619" s="37" t="inlineStr">
        <is>
          <t>Ckeck For technical programs, placement is done only in technical jobs,on which aspirants are trained and relevant emplyers are identified by 45th day.</t>
        </is>
      </c>
      <c r="G619" s="37" t="inlineStr">
        <is>
          <t>Not Applicable</t>
        </is>
      </c>
    </row>
    <row r="620">
      <c r="A620" s="37" t="inlineStr">
        <is>
          <t>Amit Chakraborty</t>
        </is>
      </c>
      <c r="B620" s="37" t="inlineStr">
        <is>
          <t>Kidwainagar</t>
        </is>
      </c>
      <c r="C620" s="37" t="inlineStr">
        <is>
          <t>Grow Youth-Accenture</t>
        </is>
      </c>
      <c r="D620" s="37" t="inlineStr">
        <is>
          <t>2026-07-11</t>
        </is>
      </c>
      <c r="E620" s="37" t="inlineStr">
        <is>
          <t>Process Check</t>
        </is>
      </c>
      <c r="F620" s="37" t="inlineStr">
        <is>
          <t>Check the AH follows EP guidelines and minimum benchmark salary guidelines.</t>
        </is>
      </c>
      <c r="G620" s="37" t="inlineStr">
        <is>
          <t>All is Well</t>
        </is>
      </c>
    </row>
    <row r="621">
      <c r="A621" s="37" t="inlineStr">
        <is>
          <t>Amit Chakraborty</t>
        </is>
      </c>
      <c r="B621" s="37" t="inlineStr">
        <is>
          <t>Kidwainagar</t>
        </is>
      </c>
      <c r="C621" s="37" t="inlineStr">
        <is>
          <t>Grow Youth-Accenture</t>
        </is>
      </c>
      <c r="D621" s="37" t="inlineStr">
        <is>
          <t>2026-07-11</t>
        </is>
      </c>
      <c r="E621" s="37" t="inlineStr">
        <is>
          <t>Process Check</t>
        </is>
      </c>
      <c r="F621" s="37" t="inlineStr">
        <is>
          <t>Check that AH is enrolling only the right traget group in the program -as per the defined target.</t>
        </is>
      </c>
      <c r="G621" s="37" t="inlineStr">
        <is>
          <t>Need Improvement</t>
        </is>
      </c>
    </row>
    <row r="622">
      <c r="A622" s="37" t="inlineStr">
        <is>
          <t>Amit Chakraborty</t>
        </is>
      </c>
      <c r="B622" s="37" t="inlineStr">
        <is>
          <t>Kidwainagar</t>
        </is>
      </c>
      <c r="C622" s="37" t="inlineStr">
        <is>
          <t>Grow Youth-Accenture</t>
        </is>
      </c>
      <c r="D622" s="37" t="inlineStr">
        <is>
          <t>2026-07-11</t>
        </is>
      </c>
      <c r="E622" s="37" t="inlineStr">
        <is>
          <t>Process Check</t>
        </is>
      </c>
      <c r="F622" s="37" t="inlineStr">
        <is>
          <t>Check the AH announces the next batch-start date by the 3rd of the month on all notice boards — focus on Zero-Day start.</t>
        </is>
      </c>
      <c r="G622" s="37" t="inlineStr">
        <is>
          <t>All is Well</t>
        </is>
      </c>
    </row>
    <row r="623">
      <c r="A623" s="37" t="inlineStr">
        <is>
          <t>Amit Chakraborty</t>
        </is>
      </c>
      <c r="B623" s="37" t="inlineStr">
        <is>
          <t>Kidwainagar</t>
        </is>
      </c>
      <c r="C623" s="37" t="inlineStr">
        <is>
          <t>Grow Youth-Accenture</t>
        </is>
      </c>
      <c r="D623" s="37" t="inlineStr">
        <is>
          <t>2026-07-11</t>
        </is>
      </c>
      <c r="E623" s="37" t="inlineStr">
        <is>
          <t>Process Check</t>
        </is>
      </c>
      <c r="F623" s="37" t="inlineStr">
        <is>
          <t>Check the Aspirant Mock Interview Score Tracker is updated after every mock interview in the L&amp;D Google Sheet.</t>
        </is>
      </c>
      <c r="G623" s="37" t="inlineStr">
        <is>
          <t>Need Improvement</t>
        </is>
      </c>
    </row>
    <row r="624">
      <c r="A624" s="37" t="inlineStr">
        <is>
          <t>Amit Chakraborty</t>
        </is>
      </c>
      <c r="B624" s="37" t="inlineStr">
        <is>
          <t>Kidwainagar</t>
        </is>
      </c>
      <c r="C624" s="37" t="inlineStr">
        <is>
          <t>Grow Youth-Accenture</t>
        </is>
      </c>
      <c r="D624" s="37" t="inlineStr">
        <is>
          <t>2026-07-11</t>
        </is>
      </c>
      <c r="E624" s="37" t="inlineStr">
        <is>
          <t>Process Check</t>
        </is>
      </c>
      <c r="F624" s="37" t="inlineStr">
        <is>
          <t>Confirm NPS (Net Promoter Score) is collected at MSDF centres.</t>
        </is>
      </c>
      <c r="G624" s="37" t="inlineStr">
        <is>
          <t>Not Applicable</t>
        </is>
      </c>
    </row>
    <row r="625">
      <c r="A625" s="37" t="inlineStr">
        <is>
          <t>Amit Chakraborty</t>
        </is>
      </c>
      <c r="B625" s="37" t="inlineStr">
        <is>
          <t>Kidwainagar</t>
        </is>
      </c>
      <c r="C625" s="37" t="inlineStr">
        <is>
          <t>Grow Youth-Accenture</t>
        </is>
      </c>
      <c r="D625" s="37" t="inlineStr">
        <is>
          <t>2026-07-11</t>
        </is>
      </c>
      <c r="E625" s="37" t="inlineStr">
        <is>
          <t>Process Check</t>
        </is>
      </c>
      <c r="F625" s="37" t="inlineStr">
        <is>
          <t>Confirm that QAE is collecting student feedback for every batch.</t>
        </is>
      </c>
      <c r="G625" s="37" t="inlineStr">
        <is>
          <t>All is Well</t>
        </is>
      </c>
    </row>
    <row r="626">
      <c r="A626" s="37" t="inlineStr">
        <is>
          <t>Amit Chakraborty</t>
        </is>
      </c>
      <c r="B626" s="37" t="inlineStr">
        <is>
          <t>Kidwainagar</t>
        </is>
      </c>
      <c r="C626" s="37" t="inlineStr">
        <is>
          <t>Grow Youth-Accenture</t>
        </is>
      </c>
      <c r="D626" s="37" t="inlineStr">
        <is>
          <t>2026-07-11</t>
        </is>
      </c>
      <c r="E626" s="37" t="inlineStr">
        <is>
          <t>Process Check</t>
        </is>
      </c>
      <c r="F626" s="37" t="inlineStr">
        <is>
          <t>Confirm all centre teams have completed the GROW Manual Course on Skillfy — ask for achievement certificates.</t>
        </is>
      </c>
      <c r="G626" s="37" t="inlineStr">
        <is>
          <t>Need Improvement</t>
        </is>
      </c>
    </row>
    <row r="627">
      <c r="A627" s="37" t="inlineStr">
        <is>
          <t>Amit Chakraborty</t>
        </is>
      </c>
      <c r="B627" s="37" t="inlineStr">
        <is>
          <t>Kidwainagar</t>
        </is>
      </c>
      <c r="C627" s="37" t="inlineStr">
        <is>
          <t>Grow Youth-Accenture</t>
        </is>
      </c>
      <c r="D627" s="37" t="inlineStr">
        <is>
          <t>2026-07-11</t>
        </is>
      </c>
      <c r="E627" s="37" t="inlineStr">
        <is>
          <t>Process Check</t>
        </is>
      </c>
      <c r="F627" s="37" t="inlineStr">
        <is>
          <t>Check AH holds a quality weekly team meeting, documents action points in the weekly meeting format, and sends you a photo on WhatsApp.</t>
        </is>
      </c>
      <c r="G627" s="37" t="inlineStr">
        <is>
          <t>All is Well</t>
        </is>
      </c>
    </row>
    <row r="628">
      <c r="A628" s="37" t="inlineStr">
        <is>
          <t>Amit Chakraborty</t>
        </is>
      </c>
      <c r="B628" s="37" t="inlineStr">
        <is>
          <t>Kidwainagar</t>
        </is>
      </c>
      <c r="C628" s="37" t="inlineStr">
        <is>
          <t>Grow Youth-Accenture</t>
        </is>
      </c>
      <c r="D628" s="37" t="inlineStr">
        <is>
          <t>2026-07-11</t>
        </is>
      </c>
      <c r="E628" s="37" t="inlineStr">
        <is>
          <t>Aspirant Interaction</t>
        </is>
      </c>
      <c r="F628" s="37" t="inlineStr">
        <is>
          <t>Ask aspirants about the session plan — confirm training is happening as planned?</t>
        </is>
      </c>
      <c r="G628" s="37" t="inlineStr">
        <is>
          <t>All is Well</t>
        </is>
      </c>
    </row>
    <row r="629">
      <c r="A629" s="37" t="inlineStr">
        <is>
          <t>Amit Chakraborty</t>
        </is>
      </c>
      <c r="B629" s="37" t="inlineStr">
        <is>
          <t>Kidwainagar</t>
        </is>
      </c>
      <c r="C629" s="37" t="inlineStr">
        <is>
          <t>Grow Youth-Accenture</t>
        </is>
      </c>
      <c r="D629" s="37" t="inlineStr">
        <is>
          <t>2026-07-11</t>
        </is>
      </c>
      <c r="E629" s="37" t="inlineStr">
        <is>
          <t>Aspirant Interaction</t>
        </is>
      </c>
      <c r="F629" s="37" t="inlineStr">
        <is>
          <t>Ask about the quality of Core Employability component delivery (technical centres) and who delivers it.</t>
        </is>
      </c>
      <c r="G629" s="37" t="inlineStr">
        <is>
          <t>Not Applicable</t>
        </is>
      </c>
    </row>
    <row r="630">
      <c r="A630" s="37" t="inlineStr">
        <is>
          <t>Amit Chakraborty</t>
        </is>
      </c>
      <c r="B630" s="37" t="inlineStr">
        <is>
          <t>Kidwainagar</t>
        </is>
      </c>
      <c r="C630" s="37" t="inlineStr">
        <is>
          <t>Grow Youth-Accenture</t>
        </is>
      </c>
      <c r="D630" s="37" t="inlineStr">
        <is>
          <t>2026-07-11</t>
        </is>
      </c>
      <c r="E630" s="37" t="inlineStr">
        <is>
          <t>Aspirant Interaction</t>
        </is>
      </c>
      <c r="F630" s="37" t="inlineStr">
        <is>
          <t>Ask whether they are aware of the referral scheme?</t>
        </is>
      </c>
      <c r="G630" s="37" t="inlineStr">
        <is>
          <t>Need Improvement</t>
        </is>
      </c>
    </row>
    <row r="631">
      <c r="A631" s="37" t="inlineStr">
        <is>
          <t>Amit Chakraborty</t>
        </is>
      </c>
      <c r="B631" s="37" t="inlineStr">
        <is>
          <t>Kidwainagar</t>
        </is>
      </c>
      <c r="C631" s="37" t="inlineStr">
        <is>
          <t>Grow Youth-Accenture</t>
        </is>
      </c>
      <c r="D631" s="37" t="inlineStr">
        <is>
          <t>2026-07-11</t>
        </is>
      </c>
      <c r="E631" s="37" t="inlineStr">
        <is>
          <t>Aspirant Interaction</t>
        </is>
      </c>
      <c r="F631" s="37" t="inlineStr">
        <is>
          <t>Ask whether the AH explained the importance of the offer letter and sharing it with us once received for reporting purposes?</t>
        </is>
      </c>
      <c r="G631" s="37" t="inlineStr">
        <is>
          <t>All is Well</t>
        </is>
      </c>
    </row>
    <row r="632">
      <c r="A632" s="37" t="inlineStr">
        <is>
          <t>Amit Chakraborty</t>
        </is>
      </c>
      <c r="B632" s="37" t="inlineStr">
        <is>
          <t>Kidwainagar</t>
        </is>
      </c>
      <c r="C632" s="37" t="inlineStr">
        <is>
          <t>Grow Youth-Accenture</t>
        </is>
      </c>
      <c r="D632" s="37" t="inlineStr">
        <is>
          <t>2026-07-11</t>
        </is>
      </c>
      <c r="E632" s="37" t="inlineStr">
        <is>
          <t>Aspirant Interaction</t>
        </is>
      </c>
      <c r="F632" s="37" t="inlineStr">
        <is>
          <t>Ask how many are not interested in jobs — and if so, why they enrolled in the programme?</t>
        </is>
      </c>
      <c r="G632" s="37" t="inlineStr">
        <is>
          <t>All is Well</t>
        </is>
      </c>
    </row>
    <row r="633">
      <c r="A633" s="37" t="inlineStr">
        <is>
          <t>Amit Chakraborty</t>
        </is>
      </c>
      <c r="B633" s="37" t="inlineStr">
        <is>
          <t>Kidwainagar</t>
        </is>
      </c>
      <c r="C633" s="37" t="inlineStr">
        <is>
          <t>Grow Youth-Accenture</t>
        </is>
      </c>
      <c r="D633" s="37" t="inlineStr">
        <is>
          <t>2026-07-11</t>
        </is>
      </c>
      <c r="E633" s="37" t="inlineStr">
        <is>
          <t>Aspirant Interaction</t>
        </is>
      </c>
      <c r="F633" s="37" t="inlineStr">
        <is>
          <t>Ask whether they were told the kind of job they would get during counselling?</t>
        </is>
      </c>
      <c r="G633" s="37" t="inlineStr">
        <is>
          <t>All is Well</t>
        </is>
      </c>
    </row>
    <row r="634">
      <c r="A634" s="37" t="inlineStr">
        <is>
          <t>Amit Chakraborty</t>
        </is>
      </c>
      <c r="B634" s="37" t="inlineStr">
        <is>
          <t>Kidwainagar</t>
        </is>
      </c>
      <c r="C634" s="37" t="inlineStr">
        <is>
          <t>Grow Youth-Accenture</t>
        </is>
      </c>
      <c r="D634" s="37" t="inlineStr">
        <is>
          <t>2026-07-11</t>
        </is>
      </c>
      <c r="E634" s="37" t="inlineStr">
        <is>
          <t>Aspirant Interaction</t>
        </is>
      </c>
      <c r="F634" s="37" t="inlineStr">
        <is>
          <t>Ask whether they have been given LMS access?</t>
        </is>
      </c>
      <c r="G634" s="37" t="inlineStr">
        <is>
          <t>All is Well</t>
        </is>
      </c>
    </row>
    <row r="635">
      <c r="A635" s="37" t="inlineStr">
        <is>
          <t>Amit Chakraborty</t>
        </is>
      </c>
      <c r="B635" s="37" t="inlineStr">
        <is>
          <t>Kidwainagar</t>
        </is>
      </c>
      <c r="C635" s="37" t="inlineStr">
        <is>
          <t>Grow Youth-Accenture</t>
        </is>
      </c>
      <c r="D635" s="37" t="inlineStr">
        <is>
          <t>2026-07-11</t>
        </is>
      </c>
      <c r="E635" s="37" t="inlineStr">
        <is>
          <t>Aspirant Interaction</t>
        </is>
      </c>
      <c r="F635" s="37" t="inlineStr">
        <is>
          <t>Ask whether anyone asked them for money for training or placement?</t>
        </is>
      </c>
      <c r="G635" s="37" t="inlineStr">
        <is>
          <t>All is Well</t>
        </is>
      </c>
    </row>
    <row r="636">
      <c r="A636" s="37" t="inlineStr">
        <is>
          <t>Amit Chakraborty</t>
        </is>
      </c>
      <c r="B636" s="37" t="inlineStr">
        <is>
          <t>Kidwainagar</t>
        </is>
      </c>
      <c r="C636" s="37" t="inlineStr">
        <is>
          <t>Grow Youth-Accenture</t>
        </is>
      </c>
      <c r="D636" s="37" t="inlineStr">
        <is>
          <t>2026-07-11</t>
        </is>
      </c>
      <c r="E636" s="37" t="inlineStr">
        <is>
          <t>Aspirant Interaction</t>
        </is>
      </c>
      <c r="F636" s="37" t="inlineStr">
        <is>
          <t>Ask to show their mobile phones — are they enrolled on Skillfy? If not, get them enrolled and give written feedback to trainers and the AH in your presence.</t>
        </is>
      </c>
      <c r="G636" s="37" t="inlineStr">
        <is>
          <t>All is Well</t>
        </is>
      </c>
    </row>
    <row r="637">
      <c r="A637" s="37" t="inlineStr">
        <is>
          <t>Amit Chakraborty</t>
        </is>
      </c>
      <c r="B637" s="37" t="inlineStr">
        <is>
          <t>Kidwainagar</t>
        </is>
      </c>
      <c r="C637" s="37" t="inlineStr">
        <is>
          <t>Grow Youth-Accenture</t>
        </is>
      </c>
      <c r="D637" s="37" t="inlineStr">
        <is>
          <t>2026-07-11</t>
        </is>
      </c>
      <c r="E637" s="37" t="inlineStr">
        <is>
          <t>Aspirant Interaction</t>
        </is>
      </c>
      <c r="F637" s="37" t="inlineStr">
        <is>
          <t>Ask about the quality of the hostel and any issues they face.</t>
        </is>
      </c>
      <c r="G637" s="37" t="inlineStr">
        <is>
          <t>Not Applicable</t>
        </is>
      </c>
    </row>
    <row r="638">
      <c r="A638" s="37" t="inlineStr">
        <is>
          <t>Amit Chakraborty</t>
        </is>
      </c>
      <c r="B638" s="37" t="inlineStr">
        <is>
          <t>Kidwainagar</t>
        </is>
      </c>
      <c r="C638" s="37" t="inlineStr">
        <is>
          <t>Grow Youth-Accenture</t>
        </is>
      </c>
      <c r="D638" s="37" t="inlineStr">
        <is>
          <t>2026-07-11</t>
        </is>
      </c>
      <c r="E638" s="37" t="inlineStr">
        <is>
          <t>Aspirant Interaction</t>
        </is>
      </c>
      <c r="F638" s="37" t="inlineStr">
        <is>
          <t>Ask a few relevant screening questions to support the 10th-day report and remove non-serious candidates, explaining to them the reasons.</t>
        </is>
      </c>
      <c r="G638" s="37" t="inlineStr">
        <is>
          <t>All is Well</t>
        </is>
      </c>
    </row>
    <row r="639">
      <c r="A639" s="37" t="inlineStr">
        <is>
          <t>Bhargav Challa</t>
        </is>
      </c>
      <c r="B639" s="37" t="inlineStr">
        <is>
          <t>Gachibowli</t>
        </is>
      </c>
      <c r="C639" s="37" t="inlineStr">
        <is>
          <t>Grow Youth</t>
        </is>
      </c>
      <c r="D639" s="37" t="inlineStr">
        <is>
          <t>2026-07-11</t>
        </is>
      </c>
      <c r="E639" s="37" t="inlineStr">
        <is>
          <t>Data Check</t>
        </is>
      </c>
      <c r="F639" s="37" t="inlineStr">
        <is>
          <t>Reach the centre on time (unannounced) — confirm the centre opened on time.</t>
        </is>
      </c>
      <c r="G639" s="37" t="inlineStr">
        <is>
          <t>All is Well</t>
        </is>
      </c>
    </row>
    <row r="640">
      <c r="A640" s="37" t="inlineStr">
        <is>
          <t>Bhargav Challa</t>
        </is>
      </c>
      <c r="B640" s="37" t="inlineStr">
        <is>
          <t>Gachibowli</t>
        </is>
      </c>
      <c r="C640" s="37" t="inlineStr">
        <is>
          <t>Grow Youth</t>
        </is>
      </c>
      <c r="D640" s="37" t="inlineStr">
        <is>
          <t>2026-07-11</t>
        </is>
      </c>
      <c r="E640" s="37" t="inlineStr">
        <is>
          <t>Data Check</t>
        </is>
      </c>
      <c r="F640" s="37" t="inlineStr">
        <is>
          <t>Check the staff attendance register, the Google Sheet, and geo-tagged photos for aspirants.</t>
        </is>
      </c>
      <c r="G640" s="37" t="inlineStr">
        <is>
          <t>Need Improvement</t>
        </is>
      </c>
    </row>
    <row r="641">
      <c r="A641" s="37" t="inlineStr">
        <is>
          <t>Bhargav Challa</t>
        </is>
      </c>
      <c r="B641" s="37" t="inlineStr">
        <is>
          <t>Gachibowli</t>
        </is>
      </c>
      <c r="C641" s="37" t="inlineStr">
        <is>
          <t>Grow Youth</t>
        </is>
      </c>
      <c r="D641" s="37" t="inlineStr">
        <is>
          <t>2026-07-11</t>
        </is>
      </c>
      <c r="E641" s="37" t="inlineStr">
        <is>
          <t>Data Check</t>
        </is>
      </c>
      <c r="F641" s="37" t="inlineStr">
        <is>
          <t>Check Counselling and Screening Forms of recently started batches.</t>
        </is>
      </c>
      <c r="G641" s="37" t="inlineStr">
        <is>
          <t>All is Well</t>
        </is>
      </c>
    </row>
    <row r="642">
      <c r="A642" s="37" t="inlineStr">
        <is>
          <t>Bhargav Challa</t>
        </is>
      </c>
      <c r="B642" s="37" t="inlineStr">
        <is>
          <t>Gachibowli</t>
        </is>
      </c>
      <c r="C642" s="37" t="inlineStr">
        <is>
          <t>Grow Youth</t>
        </is>
      </c>
      <c r="D642" s="37" t="inlineStr">
        <is>
          <t>2026-07-11</t>
        </is>
      </c>
      <c r="E642" s="37" t="inlineStr">
        <is>
          <t>Data Check</t>
        </is>
      </c>
      <c r="F642" s="37" t="inlineStr">
        <is>
          <t>Check Aspirant Registration Forms and related documents.</t>
        </is>
      </c>
      <c r="G642" s="37" t="inlineStr">
        <is>
          <t>All is Well</t>
        </is>
      </c>
    </row>
    <row r="643">
      <c r="A643" s="37" t="inlineStr">
        <is>
          <t>Bhargav Challa</t>
        </is>
      </c>
      <c r="B643" s="37" t="inlineStr">
        <is>
          <t>Gachibowli</t>
        </is>
      </c>
      <c r="C643" s="37" t="inlineStr">
        <is>
          <t>Grow Youth</t>
        </is>
      </c>
      <c r="D643" s="37" t="inlineStr">
        <is>
          <t>2026-07-11</t>
        </is>
      </c>
      <c r="E643" s="37" t="inlineStr">
        <is>
          <t>Data Check</t>
        </is>
      </c>
      <c r="F643" s="37" t="inlineStr">
        <is>
          <t>On the GROW portal, confirm all student profile details and batch updates are currect.</t>
        </is>
      </c>
      <c r="G643" s="37" t="inlineStr">
        <is>
          <t>Need Improvement</t>
        </is>
      </c>
    </row>
    <row r="644">
      <c r="A644" s="37" t="inlineStr">
        <is>
          <t>Bhargav Challa</t>
        </is>
      </c>
      <c r="B644" s="37" t="inlineStr">
        <is>
          <t>Gachibowli</t>
        </is>
      </c>
      <c r="C644" s="37" t="inlineStr">
        <is>
          <t>Grow Youth</t>
        </is>
      </c>
      <c r="D644" s="37" t="inlineStr">
        <is>
          <t>2026-07-11</t>
        </is>
      </c>
      <c r="E644" s="37" t="inlineStr">
        <is>
          <t>Data Check</t>
        </is>
      </c>
      <c r="F644" s="37" t="inlineStr">
        <is>
          <t>Verify placement data — randomly call 3–4 alumni placed in the last 3 months to confirm veracity (random selection is essential).</t>
        </is>
      </c>
      <c r="G644" s="37" t="inlineStr">
        <is>
          <t>All is Well</t>
        </is>
      </c>
    </row>
    <row r="645">
      <c r="A645" s="37" t="inlineStr">
        <is>
          <t>Bhargav Challa</t>
        </is>
      </c>
      <c r="B645" s="37" t="inlineStr">
        <is>
          <t>Gachibowli</t>
        </is>
      </c>
      <c r="C645" s="37" t="inlineStr">
        <is>
          <t>Grow Youth</t>
        </is>
      </c>
      <c r="D645" s="37" t="inlineStr">
        <is>
          <t>2026-07-11</t>
        </is>
      </c>
      <c r="E645" s="37" t="inlineStr">
        <is>
          <t>Data Check</t>
        </is>
      </c>
      <c r="F645" s="37" t="inlineStr">
        <is>
          <t>Verify retention — check the Alumni Hand-holding Format is being updated as designed.</t>
        </is>
      </c>
      <c r="G645" s="37" t="inlineStr">
        <is>
          <t>Need Improvement</t>
        </is>
      </c>
    </row>
    <row r="646">
      <c r="A646" s="37" t="inlineStr">
        <is>
          <t>Bhargav Challa</t>
        </is>
      </c>
      <c r="B646" s="37" t="inlineStr">
        <is>
          <t>Gachibowli</t>
        </is>
      </c>
      <c r="C646" s="37" t="inlineStr">
        <is>
          <t>Grow Youth</t>
        </is>
      </c>
      <c r="D646" s="37" t="inlineStr">
        <is>
          <t>2026-07-11</t>
        </is>
      </c>
      <c r="E646" s="37" t="inlineStr">
        <is>
          <t>Data Check</t>
        </is>
      </c>
      <c r="F646" s="37" t="inlineStr">
        <is>
          <t>Check aspirant Hostel Forms are properly filled or not.</t>
        </is>
      </c>
      <c r="G646" s="37" t="inlineStr">
        <is>
          <t>Not Applicable</t>
        </is>
      </c>
    </row>
    <row r="647">
      <c r="A647" s="37" t="inlineStr">
        <is>
          <t>Bhargav Challa</t>
        </is>
      </c>
      <c r="B647" s="37" t="inlineStr">
        <is>
          <t>Gachibowli</t>
        </is>
      </c>
      <c r="C647" s="37" t="inlineStr">
        <is>
          <t>Grow Youth</t>
        </is>
      </c>
      <c r="D647" s="37" t="inlineStr">
        <is>
          <t>2026-07-11</t>
        </is>
      </c>
      <c r="E647" s="37" t="inlineStr">
        <is>
          <t>Infra Check</t>
        </is>
      </c>
      <c r="F647" s="37" t="inlineStr">
        <is>
          <t>Check all CCTV cameras; if any are not working, ask the AH to troubleshoot or call the vendor.</t>
        </is>
      </c>
      <c r="G647" s="37" t="inlineStr">
        <is>
          <t>All is Well</t>
        </is>
      </c>
    </row>
    <row r="648">
      <c r="A648" s="37" t="inlineStr">
        <is>
          <t>Bhargav Challa</t>
        </is>
      </c>
      <c r="B648" s="37" t="inlineStr">
        <is>
          <t>Gachibowli</t>
        </is>
      </c>
      <c r="C648" s="37" t="inlineStr">
        <is>
          <t>Grow Youth</t>
        </is>
      </c>
      <c r="D648" s="37" t="inlineStr">
        <is>
          <t>2026-07-11</t>
        </is>
      </c>
      <c r="E648" s="37" t="inlineStr">
        <is>
          <t>Infra Check</t>
        </is>
      </c>
      <c r="F648" s="37" t="inlineStr">
        <is>
          <t>Check for any scrap material and get it cleared, with support of Admin</t>
        </is>
      </c>
      <c r="G648" s="37" t="inlineStr">
        <is>
          <t>Need Improvement</t>
        </is>
      </c>
    </row>
    <row r="649">
      <c r="A649" s="37" t="inlineStr">
        <is>
          <t>Bhargav Challa</t>
        </is>
      </c>
      <c r="B649" s="37" t="inlineStr">
        <is>
          <t>Gachibowli</t>
        </is>
      </c>
      <c r="C649" s="37" t="inlineStr">
        <is>
          <t>Grow Youth</t>
        </is>
      </c>
      <c r="D649" s="37" t="inlineStr">
        <is>
          <t>2026-07-11</t>
        </is>
      </c>
      <c r="E649" s="37" t="inlineStr">
        <is>
          <t>Infra Check</t>
        </is>
      </c>
      <c r="F649" s="37" t="inlineStr">
        <is>
          <t>Check for any pending infra repairs.</t>
        </is>
      </c>
      <c r="G649" s="37" t="inlineStr">
        <is>
          <t>Need Improvement</t>
        </is>
      </c>
    </row>
    <row r="650">
      <c r="A650" s="37" t="inlineStr">
        <is>
          <t>Bhargav Challa</t>
        </is>
      </c>
      <c r="B650" s="37" t="inlineStr">
        <is>
          <t>Gachibowli</t>
        </is>
      </c>
      <c r="C650" s="37" t="inlineStr">
        <is>
          <t>Grow Youth</t>
        </is>
      </c>
      <c r="D650" s="37" t="inlineStr">
        <is>
          <t>2026-07-11</t>
        </is>
      </c>
      <c r="E650" s="37" t="inlineStr">
        <is>
          <t>Infra Check</t>
        </is>
      </c>
      <c r="F650" s="37" t="inlineStr">
        <is>
          <t>Check whether any fire extinguishers have expired (check the needle and expiry date both).</t>
        </is>
      </c>
      <c r="G650" s="37" t="inlineStr">
        <is>
          <t>All is Well</t>
        </is>
      </c>
    </row>
    <row r="651">
      <c r="A651" s="37" t="inlineStr">
        <is>
          <t>Bhargav Challa</t>
        </is>
      </c>
      <c r="B651" s="37" t="inlineStr">
        <is>
          <t>Gachibowli</t>
        </is>
      </c>
      <c r="C651" s="37" t="inlineStr">
        <is>
          <t>Grow Youth</t>
        </is>
      </c>
      <c r="D651" s="37" t="inlineStr">
        <is>
          <t>2026-07-11</t>
        </is>
      </c>
      <c r="E651" s="37" t="inlineStr">
        <is>
          <t>Infra Check</t>
        </is>
      </c>
      <c r="F651" s="37" t="inlineStr">
        <is>
          <t>Check basic cleanliness of the washrooms and the centre.</t>
        </is>
      </c>
      <c r="G651" s="37" t="inlineStr">
        <is>
          <t>Need Improvement</t>
        </is>
      </c>
    </row>
    <row r="652">
      <c r="A652" s="37" t="inlineStr">
        <is>
          <t>Bhargav Challa</t>
        </is>
      </c>
      <c r="B652" s="37" t="inlineStr">
        <is>
          <t>Gachibowli</t>
        </is>
      </c>
      <c r="C652" s="37" t="inlineStr">
        <is>
          <t>Grow Youth</t>
        </is>
      </c>
      <c r="D652" s="37" t="inlineStr">
        <is>
          <t>2026-07-11</t>
        </is>
      </c>
      <c r="E652" s="37" t="inlineStr">
        <is>
          <t>Infra Check</t>
        </is>
      </c>
      <c r="F652" s="37" t="inlineStr">
        <is>
          <t>Confirm the correct program and partner logos are displayed.</t>
        </is>
      </c>
      <c r="G652" s="37" t="inlineStr">
        <is>
          <t>All is Well</t>
        </is>
      </c>
    </row>
    <row r="653">
      <c r="A653" s="37" t="inlineStr">
        <is>
          <t>Bhargav Challa</t>
        </is>
      </c>
      <c r="B653" s="37" t="inlineStr">
        <is>
          <t>Gachibowli</t>
        </is>
      </c>
      <c r="C653" s="37" t="inlineStr">
        <is>
          <t>Grow Youth</t>
        </is>
      </c>
      <c r="D653" s="37" t="inlineStr">
        <is>
          <t>2026-07-11</t>
        </is>
      </c>
      <c r="E653" s="37" t="inlineStr">
        <is>
          <t>Infra Check</t>
        </is>
      </c>
      <c r="F653" s="37" t="inlineStr">
        <is>
          <t>Check the status of digital infra — PCs, smartboards, tablets, laptops, etc.</t>
        </is>
      </c>
      <c r="G653" s="37" t="inlineStr">
        <is>
          <t>Need Improvement</t>
        </is>
      </c>
    </row>
    <row r="654">
      <c r="A654" s="37" t="inlineStr">
        <is>
          <t>Bhargav Challa</t>
        </is>
      </c>
      <c r="B654" s="37" t="inlineStr">
        <is>
          <t>Gachibowli</t>
        </is>
      </c>
      <c r="C654" s="37" t="inlineStr">
        <is>
          <t>Grow Youth</t>
        </is>
      </c>
      <c r="D654" s="37" t="inlineStr">
        <is>
          <t>2026-07-11</t>
        </is>
      </c>
      <c r="E654" s="37" t="inlineStr">
        <is>
          <t>Infra Check</t>
        </is>
      </c>
      <c r="F654" s="37" t="inlineStr">
        <is>
          <t>Make a quick hostel visit; have lunch there if possible to test the food quality.</t>
        </is>
      </c>
      <c r="G654" s="37" t="inlineStr">
        <is>
          <t>Not Applicable</t>
        </is>
      </c>
    </row>
    <row r="655">
      <c r="A655" s="37" t="inlineStr">
        <is>
          <t>Bhargav Challa</t>
        </is>
      </c>
      <c r="B655" s="37" t="inlineStr">
        <is>
          <t>Gachibowli</t>
        </is>
      </c>
      <c r="C655" s="37" t="inlineStr">
        <is>
          <t>Grow Youth</t>
        </is>
      </c>
      <c r="D655" s="37" t="inlineStr">
        <is>
          <t>2026-07-11</t>
        </is>
      </c>
      <c r="E655" s="37" t="inlineStr">
        <is>
          <t>Process Check</t>
        </is>
      </c>
      <c r="F655" s="37" t="inlineStr">
        <is>
          <t>Refer to the activity planner — check if any activities are delayed.</t>
        </is>
      </c>
      <c r="G655" s="37" t="inlineStr">
        <is>
          <t>Not Applicable</t>
        </is>
      </c>
    </row>
    <row r="656">
      <c r="A656" s="37" t="inlineStr">
        <is>
          <t>Bhargav Challa</t>
        </is>
      </c>
      <c r="B656" s="37" t="inlineStr">
        <is>
          <t>Gachibowli</t>
        </is>
      </c>
      <c r="C656" s="37" t="inlineStr">
        <is>
          <t>Grow Youth</t>
        </is>
      </c>
      <c r="D656" s="37" t="inlineStr">
        <is>
          <t>2026-07-11</t>
        </is>
      </c>
      <c r="E656" s="37" t="inlineStr">
        <is>
          <t>Process Check</t>
        </is>
      </c>
      <c r="F656" s="37" t="inlineStr">
        <is>
          <t>Check planning for the next batch-start announcement.</t>
        </is>
      </c>
      <c r="G656" s="37" t="inlineStr">
        <is>
          <t>Need Improvement</t>
        </is>
      </c>
    </row>
    <row r="657">
      <c r="A657" s="37" t="inlineStr">
        <is>
          <t>Bhargav Challa</t>
        </is>
      </c>
      <c r="B657" s="37" t="inlineStr">
        <is>
          <t>Gachibowli</t>
        </is>
      </c>
      <c r="C657" s="37" t="inlineStr">
        <is>
          <t>Grow Youth</t>
        </is>
      </c>
      <c r="D657" s="37" t="inlineStr">
        <is>
          <t>2026-07-11</t>
        </is>
      </c>
      <c r="E657" s="37" t="inlineStr">
        <is>
          <t>Process Check</t>
        </is>
      </c>
      <c r="F657" s="37" t="inlineStr">
        <is>
          <t>Check if any hiring is delayed and plan a resolution.</t>
        </is>
      </c>
      <c r="G657" s="37" t="inlineStr">
        <is>
          <t>All is Well</t>
        </is>
      </c>
    </row>
    <row r="658">
      <c r="A658" s="37" t="inlineStr">
        <is>
          <t>Bhargav Challa</t>
        </is>
      </c>
      <c r="B658" s="37" t="inlineStr">
        <is>
          <t>Gachibowli</t>
        </is>
      </c>
      <c r="C658" s="37" t="inlineStr">
        <is>
          <t>Grow Youth</t>
        </is>
      </c>
      <c r="D658" s="37" t="inlineStr">
        <is>
          <t>2026-07-11</t>
        </is>
      </c>
      <c r="E658" s="37" t="inlineStr">
        <is>
          <t>Process Check</t>
        </is>
      </c>
      <c r="F658" s="37" t="inlineStr">
        <is>
          <t>Check the CA’s diary — is CA guided daily by the AH during planning days?</t>
        </is>
      </c>
      <c r="G658" s="37" t="inlineStr">
        <is>
          <t>Need Improvement</t>
        </is>
      </c>
    </row>
    <row r="659">
      <c r="A659" s="37" t="inlineStr">
        <is>
          <t>Bhargav Challa</t>
        </is>
      </c>
      <c r="B659" s="37" t="inlineStr">
        <is>
          <t>Gachibowli</t>
        </is>
      </c>
      <c r="C659" s="37" t="inlineStr">
        <is>
          <t>Grow Youth</t>
        </is>
      </c>
      <c r="D659" s="37" t="inlineStr">
        <is>
          <t>2026-07-11</t>
        </is>
      </c>
      <c r="E659" s="37" t="inlineStr">
        <is>
          <t>Process Check</t>
        </is>
      </c>
      <c r="F659" s="37" t="inlineStr">
        <is>
          <t>Check the AH is regularly meeting employers (in person and online) and updating the centre’s Top 20 Employer format.</t>
        </is>
      </c>
      <c r="G659" s="37" t="inlineStr">
        <is>
          <t>Need Improvement</t>
        </is>
      </c>
    </row>
    <row r="660">
      <c r="A660" s="37" t="inlineStr">
        <is>
          <t>Bhargav Challa</t>
        </is>
      </c>
      <c r="B660" s="37" t="inlineStr">
        <is>
          <t>Gachibowli</t>
        </is>
      </c>
      <c r="C660" s="37" t="inlineStr">
        <is>
          <t>Grow Youth</t>
        </is>
      </c>
      <c r="D660" s="37" t="inlineStr">
        <is>
          <t>2026-07-11</t>
        </is>
      </c>
      <c r="E660" s="37" t="inlineStr">
        <is>
          <t>Process Check</t>
        </is>
      </c>
      <c r="F660" s="37" t="inlineStr">
        <is>
          <t>Confirm all new employers are registered on portal as per new process.</t>
        </is>
      </c>
      <c r="G660" s="37" t="inlineStr">
        <is>
          <t>Need Improvement</t>
        </is>
      </c>
    </row>
    <row r="661">
      <c r="A661" s="37" t="inlineStr">
        <is>
          <t>Bhargav Challa</t>
        </is>
      </c>
      <c r="B661" s="37" t="inlineStr">
        <is>
          <t>Gachibowli</t>
        </is>
      </c>
      <c r="C661" s="37" t="inlineStr">
        <is>
          <t>Grow Youth</t>
        </is>
      </c>
      <c r="D661" s="37" t="inlineStr">
        <is>
          <t>2026-07-11</t>
        </is>
      </c>
      <c r="E661" s="37" t="inlineStr">
        <is>
          <t>Process Check</t>
        </is>
      </c>
      <c r="F661" s="37" t="inlineStr">
        <is>
          <t>Confirm 100% of enrolled students undergone screening (for technical courses).</t>
        </is>
      </c>
      <c r="G661" s="37" t="inlineStr">
        <is>
          <t>Not Applicable</t>
        </is>
      </c>
    </row>
    <row r="662">
      <c r="A662" s="37" t="inlineStr">
        <is>
          <t>Bhargav Challa</t>
        </is>
      </c>
      <c r="B662" s="37" t="inlineStr">
        <is>
          <t>Gachibowli</t>
        </is>
      </c>
      <c r="C662" s="37" t="inlineStr">
        <is>
          <t>Grow Youth</t>
        </is>
      </c>
      <c r="D662" s="37" t="inlineStr">
        <is>
          <t>2026-07-11</t>
        </is>
      </c>
      <c r="E662" s="37" t="inlineStr">
        <is>
          <t>Process Check</t>
        </is>
      </c>
      <c r="F662" s="37" t="inlineStr">
        <is>
          <t>Confirm ESA is done (in GROW full ESA and in Technical courses relevant sections of Core Employability Part).</t>
        </is>
      </c>
      <c r="G662" s="37" t="inlineStr">
        <is>
          <t>Not Applicable</t>
        </is>
      </c>
    </row>
    <row r="663">
      <c r="A663" s="37" t="inlineStr">
        <is>
          <t>Bhargav Challa</t>
        </is>
      </c>
      <c r="B663" s="37" t="inlineStr">
        <is>
          <t>Gachibowli</t>
        </is>
      </c>
      <c r="C663" s="37" t="inlineStr">
        <is>
          <t>Grow Youth</t>
        </is>
      </c>
      <c r="D663" s="37" t="inlineStr">
        <is>
          <t>2026-07-11</t>
        </is>
      </c>
      <c r="E663" s="37" t="inlineStr">
        <is>
          <t>Process Check</t>
        </is>
      </c>
      <c r="F663" s="37" t="inlineStr">
        <is>
          <t>Check is AH giving capstone project in GROW Tech.</t>
        </is>
      </c>
      <c r="G663" s="37" t="inlineStr">
        <is>
          <t>Not Applicable</t>
        </is>
      </c>
    </row>
    <row r="664">
      <c r="A664" s="37" t="inlineStr">
        <is>
          <t>Bhargav Challa</t>
        </is>
      </c>
      <c r="B664" s="37" t="inlineStr">
        <is>
          <t>Gachibowli</t>
        </is>
      </c>
      <c r="C664" s="37" t="inlineStr">
        <is>
          <t>Grow Youth</t>
        </is>
      </c>
      <c r="D664" s="37" t="inlineStr">
        <is>
          <t>2026-07-11</t>
        </is>
      </c>
      <c r="E664" s="37" t="inlineStr">
        <is>
          <t>Process Check</t>
        </is>
      </c>
      <c r="F664" s="37" t="inlineStr">
        <is>
          <t>Check is AH planning OJT as per guidelines and proofs are collected for technical courses.</t>
        </is>
      </c>
      <c r="G664" s="37" t="inlineStr">
        <is>
          <t>Not Applicable</t>
        </is>
      </c>
    </row>
    <row r="665">
      <c r="A665" s="37" t="inlineStr">
        <is>
          <t>Bhargav Challa</t>
        </is>
      </c>
      <c r="B665" s="37" t="inlineStr">
        <is>
          <t>Gachibowli</t>
        </is>
      </c>
      <c r="C665" s="37" t="inlineStr">
        <is>
          <t>Grow Youth</t>
        </is>
      </c>
      <c r="D665" s="37" t="inlineStr">
        <is>
          <t>2026-07-11</t>
        </is>
      </c>
      <c r="E665" s="37" t="inlineStr">
        <is>
          <t>Process Check</t>
        </is>
      </c>
      <c r="F665" s="37" t="inlineStr">
        <is>
          <t>Check are trainers contacting aspirants to find reason for their absenteeism of more than 1 day.</t>
        </is>
      </c>
      <c r="G665" s="37" t="inlineStr">
        <is>
          <t>All is Well</t>
        </is>
      </c>
    </row>
    <row r="666">
      <c r="A666" s="37" t="inlineStr">
        <is>
          <t>Bhargav Challa</t>
        </is>
      </c>
      <c r="B666" s="37" t="inlineStr">
        <is>
          <t>Gachibowli</t>
        </is>
      </c>
      <c r="C666" s="37" t="inlineStr">
        <is>
          <t>Grow Youth</t>
        </is>
      </c>
      <c r="D666" s="37" t="inlineStr">
        <is>
          <t>2026-07-11</t>
        </is>
      </c>
      <c r="E666" s="37" t="inlineStr">
        <is>
          <t>Process Check</t>
        </is>
      </c>
      <c r="F666" s="37" t="inlineStr">
        <is>
          <t>Check the AH plans monthly enrolment and placement numbers by the 3rd of each month and shares them with second level managers.</t>
        </is>
      </c>
      <c r="G666" s="37" t="inlineStr">
        <is>
          <t>Need Improvement</t>
        </is>
      </c>
    </row>
    <row r="667">
      <c r="A667" s="37" t="inlineStr">
        <is>
          <t>Bhargav Challa</t>
        </is>
      </c>
      <c r="B667" s="37" t="inlineStr">
        <is>
          <t>Gachibowli</t>
        </is>
      </c>
      <c r="C667" s="37" t="inlineStr">
        <is>
          <t>Grow Youth</t>
        </is>
      </c>
      <c r="D667" s="37" t="inlineStr">
        <is>
          <t>2026-07-11</t>
        </is>
      </c>
      <c r="E667" s="37" t="inlineStr">
        <is>
          <t>Process Check</t>
        </is>
      </c>
      <c r="F667" s="37" t="inlineStr">
        <is>
          <t>Check trainers submit aspirants’ placement interest areas to the AH by the batch’s 25th day (in GROW).</t>
        </is>
      </c>
      <c r="G667" s="37" t="inlineStr">
        <is>
          <t>Need Improvement</t>
        </is>
      </c>
    </row>
    <row r="668">
      <c r="A668" s="37" t="inlineStr">
        <is>
          <t>Bhargav Challa</t>
        </is>
      </c>
      <c r="B668" s="37" t="inlineStr">
        <is>
          <t>Gachibowli</t>
        </is>
      </c>
      <c r="C668" s="37" t="inlineStr">
        <is>
          <t>Grow Youth</t>
        </is>
      </c>
      <c r="D668" s="37" t="inlineStr">
        <is>
          <t>2026-07-11</t>
        </is>
      </c>
      <c r="E668" s="37" t="inlineStr">
        <is>
          <t>Process Check</t>
        </is>
      </c>
      <c r="F668" s="37" t="inlineStr">
        <is>
          <t>Ckeck For technical programs, placement is done only in technical jobs,on which aspirants are trained and relevant emplyers are identified by 45th day.</t>
        </is>
      </c>
      <c r="G668" s="37" t="inlineStr">
        <is>
          <t>Not Applicable</t>
        </is>
      </c>
    </row>
    <row r="669">
      <c r="A669" s="37" t="inlineStr">
        <is>
          <t>Bhargav Challa</t>
        </is>
      </c>
      <c r="B669" s="37" t="inlineStr">
        <is>
          <t>Gachibowli</t>
        </is>
      </c>
      <c r="C669" s="37" t="inlineStr">
        <is>
          <t>Grow Youth</t>
        </is>
      </c>
      <c r="D669" s="37" t="inlineStr">
        <is>
          <t>2026-07-11</t>
        </is>
      </c>
      <c r="E669" s="37" t="inlineStr">
        <is>
          <t>Process Check</t>
        </is>
      </c>
      <c r="F669" s="37" t="inlineStr">
        <is>
          <t>Check the AH follows EP guidelines and minimum benchmark salary guidelines.</t>
        </is>
      </c>
      <c r="G669" s="37" t="inlineStr">
        <is>
          <t>Need Improvement</t>
        </is>
      </c>
    </row>
    <row r="670">
      <c r="A670" s="37" t="inlineStr">
        <is>
          <t>Bhargav Challa</t>
        </is>
      </c>
      <c r="B670" s="37" t="inlineStr">
        <is>
          <t>Gachibowli</t>
        </is>
      </c>
      <c r="C670" s="37" t="inlineStr">
        <is>
          <t>Grow Youth</t>
        </is>
      </c>
      <c r="D670" s="37" t="inlineStr">
        <is>
          <t>2026-07-11</t>
        </is>
      </c>
      <c r="E670" s="37" t="inlineStr">
        <is>
          <t>Process Check</t>
        </is>
      </c>
      <c r="F670" s="37" t="inlineStr">
        <is>
          <t>Check that AH is enrolling only the right traget group in the program -as per the defined target.</t>
        </is>
      </c>
      <c r="G670" s="37" t="inlineStr">
        <is>
          <t>Need Improvement</t>
        </is>
      </c>
    </row>
    <row r="671">
      <c r="A671" s="37" t="inlineStr">
        <is>
          <t>Bhargav Challa</t>
        </is>
      </c>
      <c r="B671" s="37" t="inlineStr">
        <is>
          <t>Gachibowli</t>
        </is>
      </c>
      <c r="C671" s="37" t="inlineStr">
        <is>
          <t>Grow Youth</t>
        </is>
      </c>
      <c r="D671" s="37" t="inlineStr">
        <is>
          <t>2026-07-11</t>
        </is>
      </c>
      <c r="E671" s="37" t="inlineStr">
        <is>
          <t>Process Check</t>
        </is>
      </c>
      <c r="F671" s="37" t="inlineStr">
        <is>
          <t>Check the AH announces the next batch-start date by the 3rd of the month on all notice boards — focus on Zero-Day start.</t>
        </is>
      </c>
      <c r="G671" s="37" t="inlineStr">
        <is>
          <t>All is Well</t>
        </is>
      </c>
    </row>
    <row r="672">
      <c r="A672" s="37" t="inlineStr">
        <is>
          <t>Bhargav Challa</t>
        </is>
      </c>
      <c r="B672" s="37" t="inlineStr">
        <is>
          <t>Gachibowli</t>
        </is>
      </c>
      <c r="C672" s="37" t="inlineStr">
        <is>
          <t>Grow Youth</t>
        </is>
      </c>
      <c r="D672" s="37" t="inlineStr">
        <is>
          <t>2026-07-11</t>
        </is>
      </c>
      <c r="E672" s="37" t="inlineStr">
        <is>
          <t>Process Check</t>
        </is>
      </c>
      <c r="F672" s="37" t="inlineStr">
        <is>
          <t>Check the Aspirant Mock Interview Score Tracker is updated after every mock interview in the L&amp;D Google Sheet.</t>
        </is>
      </c>
      <c r="G672" s="37" t="inlineStr">
        <is>
          <t>Need Improvement</t>
        </is>
      </c>
    </row>
    <row r="673">
      <c r="A673" s="37" t="inlineStr">
        <is>
          <t>Bhargav Challa</t>
        </is>
      </c>
      <c r="B673" s="37" t="inlineStr">
        <is>
          <t>Gachibowli</t>
        </is>
      </c>
      <c r="C673" s="37" t="inlineStr">
        <is>
          <t>Grow Youth</t>
        </is>
      </c>
      <c r="D673" s="37" t="inlineStr">
        <is>
          <t>2026-07-11</t>
        </is>
      </c>
      <c r="E673" s="37" t="inlineStr">
        <is>
          <t>Process Check</t>
        </is>
      </c>
      <c r="F673" s="37" t="inlineStr">
        <is>
          <t>Confirm NPS (Net Promoter Score) is collected at MSDF centres.</t>
        </is>
      </c>
      <c r="G673" s="37" t="inlineStr">
        <is>
          <t>Not Applicable</t>
        </is>
      </c>
    </row>
    <row r="674">
      <c r="A674" s="37" t="inlineStr">
        <is>
          <t>Bhargav Challa</t>
        </is>
      </c>
      <c r="B674" s="37" t="inlineStr">
        <is>
          <t>Gachibowli</t>
        </is>
      </c>
      <c r="C674" s="37" t="inlineStr">
        <is>
          <t>Grow Youth</t>
        </is>
      </c>
      <c r="D674" s="37" t="inlineStr">
        <is>
          <t>2026-07-11</t>
        </is>
      </c>
      <c r="E674" s="37" t="inlineStr">
        <is>
          <t>Process Check</t>
        </is>
      </c>
      <c r="F674" s="37" t="inlineStr">
        <is>
          <t>Confirm that QAE is collecting student feedback for every batch.</t>
        </is>
      </c>
      <c r="G674" s="37" t="inlineStr">
        <is>
          <t>All is Well</t>
        </is>
      </c>
    </row>
    <row r="675">
      <c r="A675" s="37" t="inlineStr">
        <is>
          <t>Bhargav Challa</t>
        </is>
      </c>
      <c r="B675" s="37" t="inlineStr">
        <is>
          <t>Gachibowli</t>
        </is>
      </c>
      <c r="C675" s="37" t="inlineStr">
        <is>
          <t>Grow Youth</t>
        </is>
      </c>
      <c r="D675" s="37" t="inlineStr">
        <is>
          <t>2026-07-11</t>
        </is>
      </c>
      <c r="E675" s="37" t="inlineStr">
        <is>
          <t>Process Check</t>
        </is>
      </c>
      <c r="F675" s="37" t="inlineStr">
        <is>
          <t>Confirm all centre teams have completed the GROW Manual Course on Skillfy — ask for achievement certificates.</t>
        </is>
      </c>
      <c r="G675" s="37" t="inlineStr">
        <is>
          <t>Need Improvement</t>
        </is>
      </c>
    </row>
    <row r="676">
      <c r="A676" s="37" t="inlineStr">
        <is>
          <t>Bhargav Challa</t>
        </is>
      </c>
      <c r="B676" s="37" t="inlineStr">
        <is>
          <t>Gachibowli</t>
        </is>
      </c>
      <c r="C676" s="37" t="inlineStr">
        <is>
          <t>Grow Youth</t>
        </is>
      </c>
      <c r="D676" s="37" t="inlineStr">
        <is>
          <t>2026-07-11</t>
        </is>
      </c>
      <c r="E676" s="37" t="inlineStr">
        <is>
          <t>Process Check</t>
        </is>
      </c>
      <c r="F676" s="37" t="inlineStr">
        <is>
          <t>Check AH holds a quality weekly team meeting, documents action points in the weekly meeting format, and sends you a photo on WhatsApp.</t>
        </is>
      </c>
      <c r="G676" s="37" t="inlineStr">
        <is>
          <t>Need Improvement</t>
        </is>
      </c>
    </row>
    <row r="677">
      <c r="A677" s="37" t="inlineStr">
        <is>
          <t>Bhargav Challa</t>
        </is>
      </c>
      <c r="B677" s="37" t="inlineStr">
        <is>
          <t>Gachibowli</t>
        </is>
      </c>
      <c r="C677" s="37" t="inlineStr">
        <is>
          <t>Grow Youth</t>
        </is>
      </c>
      <c r="D677" s="37" t="inlineStr">
        <is>
          <t>2026-07-11</t>
        </is>
      </c>
      <c r="E677" s="37" t="inlineStr">
        <is>
          <t>Aspirant Interaction</t>
        </is>
      </c>
      <c r="F677" s="37" t="inlineStr">
        <is>
          <t>Ask aspirants about the session plan — confirm training is happening as planned?</t>
        </is>
      </c>
      <c r="G677" s="37" t="inlineStr">
        <is>
          <t>Need Improvement</t>
        </is>
      </c>
    </row>
    <row r="678">
      <c r="A678" s="37" t="inlineStr">
        <is>
          <t>Bhargav Challa</t>
        </is>
      </c>
      <c r="B678" s="37" t="inlineStr">
        <is>
          <t>Gachibowli</t>
        </is>
      </c>
      <c r="C678" s="37" t="inlineStr">
        <is>
          <t>Grow Youth</t>
        </is>
      </c>
      <c r="D678" s="37" t="inlineStr">
        <is>
          <t>2026-07-11</t>
        </is>
      </c>
      <c r="E678" s="37" t="inlineStr">
        <is>
          <t>Aspirant Interaction</t>
        </is>
      </c>
      <c r="F678" s="37" t="inlineStr">
        <is>
          <t>Ask about the quality of Core Employability component delivery (technical centres) and who delivers it.</t>
        </is>
      </c>
      <c r="G678" s="37" t="inlineStr">
        <is>
          <t>Not Applicable</t>
        </is>
      </c>
    </row>
    <row r="679">
      <c r="A679" s="37" t="inlineStr">
        <is>
          <t>Bhargav Challa</t>
        </is>
      </c>
      <c r="B679" s="37" t="inlineStr">
        <is>
          <t>Gachibowli</t>
        </is>
      </c>
      <c r="C679" s="37" t="inlineStr">
        <is>
          <t>Grow Youth</t>
        </is>
      </c>
      <c r="D679" s="37" t="inlineStr">
        <is>
          <t>2026-07-11</t>
        </is>
      </c>
      <c r="E679" s="37" t="inlineStr">
        <is>
          <t>Aspirant Interaction</t>
        </is>
      </c>
      <c r="F679" s="37" t="inlineStr">
        <is>
          <t>Ask whether they are aware of the referral scheme?</t>
        </is>
      </c>
      <c r="G679" s="37" t="inlineStr">
        <is>
          <t>Need Improvement</t>
        </is>
      </c>
    </row>
    <row r="680">
      <c r="A680" s="37" t="inlineStr">
        <is>
          <t>Bhargav Challa</t>
        </is>
      </c>
      <c r="B680" s="37" t="inlineStr">
        <is>
          <t>Gachibowli</t>
        </is>
      </c>
      <c r="C680" s="37" t="inlineStr">
        <is>
          <t>Grow Youth</t>
        </is>
      </c>
      <c r="D680" s="37" t="inlineStr">
        <is>
          <t>2026-07-11</t>
        </is>
      </c>
      <c r="E680" s="37" t="inlineStr">
        <is>
          <t>Aspirant Interaction</t>
        </is>
      </c>
      <c r="F680" s="37" t="inlineStr">
        <is>
          <t>Ask whether the AH explained the importance of the offer letter and sharing it with us once received for reporting purposes?</t>
        </is>
      </c>
      <c r="G680" s="37" t="inlineStr">
        <is>
          <t>All is Well</t>
        </is>
      </c>
    </row>
    <row r="681">
      <c r="A681" s="37" t="inlineStr">
        <is>
          <t>Bhargav Challa</t>
        </is>
      </c>
      <c r="B681" s="37" t="inlineStr">
        <is>
          <t>Gachibowli</t>
        </is>
      </c>
      <c r="C681" s="37" t="inlineStr">
        <is>
          <t>Grow Youth</t>
        </is>
      </c>
      <c r="D681" s="37" t="inlineStr">
        <is>
          <t>2026-07-11</t>
        </is>
      </c>
      <c r="E681" s="37" t="inlineStr">
        <is>
          <t>Aspirant Interaction</t>
        </is>
      </c>
      <c r="F681" s="37" t="inlineStr">
        <is>
          <t>Ask how many are not interested in jobs — and if so, why they enrolled in the programme?</t>
        </is>
      </c>
      <c r="G681" s="37" t="inlineStr">
        <is>
          <t>All is Well</t>
        </is>
      </c>
    </row>
    <row r="682">
      <c r="A682" s="37" t="inlineStr">
        <is>
          <t>Bhargav Challa</t>
        </is>
      </c>
      <c r="B682" s="37" t="inlineStr">
        <is>
          <t>Gachibowli</t>
        </is>
      </c>
      <c r="C682" s="37" t="inlineStr">
        <is>
          <t>Grow Youth</t>
        </is>
      </c>
      <c r="D682" s="37" t="inlineStr">
        <is>
          <t>2026-07-11</t>
        </is>
      </c>
      <c r="E682" s="37" t="inlineStr">
        <is>
          <t>Aspirant Interaction</t>
        </is>
      </c>
      <c r="F682" s="37" t="inlineStr">
        <is>
          <t>Ask whether they were told the kind of job they would get during counselling?</t>
        </is>
      </c>
      <c r="G682" s="37" t="inlineStr">
        <is>
          <t>All is Well</t>
        </is>
      </c>
    </row>
    <row r="683">
      <c r="A683" s="37" t="inlineStr">
        <is>
          <t>Bhargav Challa</t>
        </is>
      </c>
      <c r="B683" s="37" t="inlineStr">
        <is>
          <t>Gachibowli</t>
        </is>
      </c>
      <c r="C683" s="37" t="inlineStr">
        <is>
          <t>Grow Youth</t>
        </is>
      </c>
      <c r="D683" s="37" t="inlineStr">
        <is>
          <t>2026-07-11</t>
        </is>
      </c>
      <c r="E683" s="37" t="inlineStr">
        <is>
          <t>Aspirant Interaction</t>
        </is>
      </c>
      <c r="F683" s="37" t="inlineStr">
        <is>
          <t>Ask whether they have been given LMS access?</t>
        </is>
      </c>
      <c r="G683" s="37" t="inlineStr">
        <is>
          <t>All is Well</t>
        </is>
      </c>
    </row>
    <row r="684">
      <c r="A684" s="37" t="inlineStr">
        <is>
          <t>Bhargav Challa</t>
        </is>
      </c>
      <c r="B684" s="37" t="inlineStr">
        <is>
          <t>Gachibowli</t>
        </is>
      </c>
      <c r="C684" s="37" t="inlineStr">
        <is>
          <t>Grow Youth</t>
        </is>
      </c>
      <c r="D684" s="37" t="inlineStr">
        <is>
          <t>2026-07-11</t>
        </is>
      </c>
      <c r="E684" s="37" t="inlineStr">
        <is>
          <t>Aspirant Interaction</t>
        </is>
      </c>
      <c r="F684" s="37" t="inlineStr">
        <is>
          <t>Ask whether anyone asked them for money for training or placement?</t>
        </is>
      </c>
      <c r="G684" s="37" t="inlineStr">
        <is>
          <t>All is Well</t>
        </is>
      </c>
    </row>
    <row r="685">
      <c r="A685" s="37" t="inlineStr">
        <is>
          <t>Bhargav Challa</t>
        </is>
      </c>
      <c r="B685" s="37" t="inlineStr">
        <is>
          <t>Gachibowli</t>
        </is>
      </c>
      <c r="C685" s="37" t="inlineStr">
        <is>
          <t>Grow Youth</t>
        </is>
      </c>
      <c r="D685" s="37" t="inlineStr">
        <is>
          <t>2026-07-11</t>
        </is>
      </c>
      <c r="E685" s="37" t="inlineStr">
        <is>
          <t>Aspirant Interaction</t>
        </is>
      </c>
      <c r="F685" s="37" t="inlineStr">
        <is>
          <t>Ask to show their mobile phones — are they enrolled on Skillfy? If not, get them enrolled and give written feedback to trainers and the AH in your presence.</t>
        </is>
      </c>
      <c r="G685" s="37" t="inlineStr">
        <is>
          <t>Need Improvement</t>
        </is>
      </c>
    </row>
    <row r="686">
      <c r="A686" s="37" t="inlineStr">
        <is>
          <t>Bhargav Challa</t>
        </is>
      </c>
      <c r="B686" s="37" t="inlineStr">
        <is>
          <t>Gachibowli</t>
        </is>
      </c>
      <c r="C686" s="37" t="inlineStr">
        <is>
          <t>Grow Youth</t>
        </is>
      </c>
      <c r="D686" s="37" t="inlineStr">
        <is>
          <t>2026-07-11</t>
        </is>
      </c>
      <c r="E686" s="37" t="inlineStr">
        <is>
          <t>Aspirant Interaction</t>
        </is>
      </c>
      <c r="F686" s="37" t="inlineStr">
        <is>
          <t>Ask about the quality of the hostel and any issues they face.</t>
        </is>
      </c>
      <c r="G686" s="37" t="inlineStr">
        <is>
          <t>Not Applicable</t>
        </is>
      </c>
    </row>
    <row r="687">
      <c r="A687" s="37" t="inlineStr">
        <is>
          <t>Bhargav Challa</t>
        </is>
      </c>
      <c r="B687" s="37" t="inlineStr">
        <is>
          <t>Gachibowli</t>
        </is>
      </c>
      <c r="C687" s="37" t="inlineStr">
        <is>
          <t>Grow Youth</t>
        </is>
      </c>
      <c r="D687" s="37" t="inlineStr">
        <is>
          <t>2026-07-11</t>
        </is>
      </c>
      <c r="E687" s="37" t="inlineStr">
        <is>
          <t>Aspirant Interaction</t>
        </is>
      </c>
      <c r="F687" s="37" t="inlineStr">
        <is>
          <t>Ask a few relevant screening questions to support the 10th-day report and remove non-serious candidates, explaining to them the reasons.</t>
        </is>
      </c>
      <c r="G687" s="37" t="inlineStr">
        <is>
          <t>All is Well</t>
        </is>
      </c>
    </row>
    <row r="688">
      <c r="A688" s="37" t="inlineStr">
        <is>
          <t>Gagandeep Singh Sachar</t>
        </is>
      </c>
      <c r="B688" s="37" t="inlineStr">
        <is>
          <t>Vadodara Citi</t>
        </is>
      </c>
      <c r="C688" s="37" t="inlineStr">
        <is>
          <t>GROW youth</t>
        </is>
      </c>
      <c r="D688" s="37" t="inlineStr">
        <is>
          <t>2026-07-01</t>
        </is>
      </c>
      <c r="E688" s="37" t="inlineStr">
        <is>
          <t>Data Check</t>
        </is>
      </c>
      <c r="F688" s="37" t="inlineStr">
        <is>
          <t>Reach the centre on time (unannounced) — confirm the centre opened on time.</t>
        </is>
      </c>
      <c r="G688" s="37" t="inlineStr">
        <is>
          <t>All is Well</t>
        </is>
      </c>
    </row>
    <row r="689">
      <c r="A689" s="37" t="inlineStr">
        <is>
          <t>Gagandeep Singh Sachar</t>
        </is>
      </c>
      <c r="B689" s="37" t="inlineStr">
        <is>
          <t>Vadodara Citi</t>
        </is>
      </c>
      <c r="C689" s="37" t="inlineStr">
        <is>
          <t>GROW youth</t>
        </is>
      </c>
      <c r="D689" s="37" t="inlineStr">
        <is>
          <t>2026-07-01</t>
        </is>
      </c>
      <c r="E689" s="37" t="inlineStr">
        <is>
          <t>Data Check</t>
        </is>
      </c>
      <c r="F689" s="37" t="inlineStr">
        <is>
          <t>Check the staff attendance register, the Google Sheet, and geo-tagged photos for aspirants.</t>
        </is>
      </c>
      <c r="G689" s="37" t="inlineStr">
        <is>
          <t>Need Improvement</t>
        </is>
      </c>
    </row>
    <row r="690">
      <c r="A690" s="37" t="inlineStr">
        <is>
          <t>Gagandeep Singh Sachar</t>
        </is>
      </c>
      <c r="B690" s="37" t="inlineStr">
        <is>
          <t>Vadodara Citi</t>
        </is>
      </c>
      <c r="C690" s="37" t="inlineStr">
        <is>
          <t>GROW youth</t>
        </is>
      </c>
      <c r="D690" s="37" t="inlineStr">
        <is>
          <t>2026-07-01</t>
        </is>
      </c>
      <c r="E690" s="37" t="inlineStr">
        <is>
          <t>Data Check</t>
        </is>
      </c>
      <c r="F690" s="37" t="inlineStr">
        <is>
          <t>Check Counselling and Screening Forms of recently started batches.</t>
        </is>
      </c>
      <c r="G690" s="37" t="inlineStr">
        <is>
          <t>All is Well</t>
        </is>
      </c>
    </row>
    <row r="691">
      <c r="A691" s="37" t="inlineStr">
        <is>
          <t>Gagandeep Singh Sachar</t>
        </is>
      </c>
      <c r="B691" s="37" t="inlineStr">
        <is>
          <t>Vadodara Citi</t>
        </is>
      </c>
      <c r="C691" s="37" t="inlineStr">
        <is>
          <t>GROW youth</t>
        </is>
      </c>
      <c r="D691" s="37" t="inlineStr">
        <is>
          <t>2026-07-01</t>
        </is>
      </c>
      <c r="E691" s="37" t="inlineStr">
        <is>
          <t>Data Check</t>
        </is>
      </c>
      <c r="F691" s="37" t="inlineStr">
        <is>
          <t>Check Aspirant Registration Forms and related documents.</t>
        </is>
      </c>
      <c r="G691" s="37" t="inlineStr">
        <is>
          <t>Need Improvement</t>
        </is>
      </c>
    </row>
    <row r="692">
      <c r="A692" s="37" t="inlineStr">
        <is>
          <t>Gagandeep Singh Sachar</t>
        </is>
      </c>
      <c r="B692" s="37" t="inlineStr">
        <is>
          <t>Vadodara Citi</t>
        </is>
      </c>
      <c r="C692" s="37" t="inlineStr">
        <is>
          <t>GROW youth</t>
        </is>
      </c>
      <c r="D692" s="37" t="inlineStr">
        <is>
          <t>2026-07-01</t>
        </is>
      </c>
      <c r="E692" s="37" t="inlineStr">
        <is>
          <t>Data Check</t>
        </is>
      </c>
      <c r="F692" s="37" t="inlineStr">
        <is>
          <t>On the GROW portal, confirm all student profile details and batch updates are currect.</t>
        </is>
      </c>
      <c r="G692" s="37" t="inlineStr">
        <is>
          <t>All is Well</t>
        </is>
      </c>
    </row>
    <row r="693">
      <c r="A693" s="37" t="inlineStr">
        <is>
          <t>Gagandeep Singh Sachar</t>
        </is>
      </c>
      <c r="B693" s="37" t="inlineStr">
        <is>
          <t>Vadodara Citi</t>
        </is>
      </c>
      <c r="C693" s="37" t="inlineStr">
        <is>
          <t>GROW youth</t>
        </is>
      </c>
      <c r="D693" s="37" t="inlineStr">
        <is>
          <t>2026-07-01</t>
        </is>
      </c>
      <c r="E693" s="37" t="inlineStr">
        <is>
          <t>Data Check</t>
        </is>
      </c>
      <c r="F693" s="37" t="inlineStr">
        <is>
          <t>Verify placement data — randomly call 3–4 alumni placed in the last 3 months to confirm veracity (random selection is essential).</t>
        </is>
      </c>
      <c r="G693" s="37" t="inlineStr">
        <is>
          <t>All is Well</t>
        </is>
      </c>
    </row>
    <row r="694">
      <c r="A694" s="37" t="inlineStr">
        <is>
          <t>Gagandeep Singh Sachar</t>
        </is>
      </c>
      <c r="B694" s="37" t="inlineStr">
        <is>
          <t>Vadodara Citi</t>
        </is>
      </c>
      <c r="C694" s="37" t="inlineStr">
        <is>
          <t>GROW youth</t>
        </is>
      </c>
      <c r="D694" s="37" t="inlineStr">
        <is>
          <t>2026-07-01</t>
        </is>
      </c>
      <c r="E694" s="37" t="inlineStr">
        <is>
          <t>Data Check</t>
        </is>
      </c>
      <c r="F694" s="37" t="inlineStr">
        <is>
          <t>Verify retention — check the Alumni Hand-holding Format is being updated as designed.</t>
        </is>
      </c>
      <c r="G694" s="37" t="inlineStr">
        <is>
          <t>All is Well</t>
        </is>
      </c>
    </row>
    <row r="695">
      <c r="A695" s="37" t="inlineStr">
        <is>
          <t>Gagandeep Singh Sachar</t>
        </is>
      </c>
      <c r="B695" s="37" t="inlineStr">
        <is>
          <t>Vadodara Citi</t>
        </is>
      </c>
      <c r="C695" s="37" t="inlineStr">
        <is>
          <t>GROW youth</t>
        </is>
      </c>
      <c r="D695" s="37" t="inlineStr">
        <is>
          <t>2026-07-01</t>
        </is>
      </c>
      <c r="E695" s="37" t="inlineStr">
        <is>
          <t>Data Check</t>
        </is>
      </c>
      <c r="F695" s="37" t="inlineStr">
        <is>
          <t>Check aspirant Hostel Forms are properly filled or not.</t>
        </is>
      </c>
      <c r="G695" s="37" t="inlineStr">
        <is>
          <t>Not Applicable</t>
        </is>
      </c>
    </row>
    <row r="696">
      <c r="A696" s="37" t="inlineStr">
        <is>
          <t>Gagandeep Singh Sachar</t>
        </is>
      </c>
      <c r="B696" s="37" t="inlineStr">
        <is>
          <t>Vadodara Citi</t>
        </is>
      </c>
      <c r="C696" s="37" t="inlineStr">
        <is>
          <t>GROW youth</t>
        </is>
      </c>
      <c r="D696" s="37" t="inlineStr">
        <is>
          <t>2026-07-01</t>
        </is>
      </c>
      <c r="E696" s="37" t="inlineStr">
        <is>
          <t>Infra Check</t>
        </is>
      </c>
      <c r="F696" s="37" t="inlineStr">
        <is>
          <t>Check all CCTV cameras; if any are not working, ask the AH to troubleshoot or call the vendor.</t>
        </is>
      </c>
      <c r="G696" s="37" t="inlineStr">
        <is>
          <t>All is Well</t>
        </is>
      </c>
    </row>
    <row r="697">
      <c r="A697" s="37" t="inlineStr">
        <is>
          <t>Gagandeep Singh Sachar</t>
        </is>
      </c>
      <c r="B697" s="37" t="inlineStr">
        <is>
          <t>Vadodara Citi</t>
        </is>
      </c>
      <c r="C697" s="37" t="inlineStr">
        <is>
          <t>GROW youth</t>
        </is>
      </c>
      <c r="D697" s="37" t="inlineStr">
        <is>
          <t>2026-07-01</t>
        </is>
      </c>
      <c r="E697" s="37" t="inlineStr">
        <is>
          <t>Infra Check</t>
        </is>
      </c>
      <c r="F697" s="37" t="inlineStr">
        <is>
          <t>Check for any scrap material and get it cleared, with support of Admin</t>
        </is>
      </c>
      <c r="G697" s="37" t="inlineStr">
        <is>
          <t>All is Well</t>
        </is>
      </c>
    </row>
    <row r="698">
      <c r="A698" s="37" t="inlineStr">
        <is>
          <t>Gagandeep Singh Sachar</t>
        </is>
      </c>
      <c r="B698" s="37" t="inlineStr">
        <is>
          <t>Vadodara Citi</t>
        </is>
      </c>
      <c r="C698" s="37" t="inlineStr">
        <is>
          <t>GROW youth</t>
        </is>
      </c>
      <c r="D698" s="37" t="inlineStr">
        <is>
          <t>2026-07-01</t>
        </is>
      </c>
      <c r="E698" s="37" t="inlineStr">
        <is>
          <t>Infra Check</t>
        </is>
      </c>
      <c r="F698" s="37" t="inlineStr">
        <is>
          <t>Check for any pending infra repairs.</t>
        </is>
      </c>
      <c r="G698" s="37" t="inlineStr">
        <is>
          <t>Need Improvement</t>
        </is>
      </c>
    </row>
    <row r="699">
      <c r="A699" s="37" t="inlineStr">
        <is>
          <t>Gagandeep Singh Sachar</t>
        </is>
      </c>
      <c r="B699" s="37" t="inlineStr">
        <is>
          <t>Vadodara Citi</t>
        </is>
      </c>
      <c r="C699" s="37" t="inlineStr">
        <is>
          <t>GROW youth</t>
        </is>
      </c>
      <c r="D699" s="37" t="inlineStr">
        <is>
          <t>2026-07-01</t>
        </is>
      </c>
      <c r="E699" s="37" t="inlineStr">
        <is>
          <t>Infra Check</t>
        </is>
      </c>
      <c r="F699" s="37" t="inlineStr">
        <is>
          <t>Check whether any fire extinguishers have expired (check the needle and expiry date both).</t>
        </is>
      </c>
      <c r="G699" s="37" t="inlineStr">
        <is>
          <t>All is Well</t>
        </is>
      </c>
    </row>
    <row r="700">
      <c r="A700" s="37" t="inlineStr">
        <is>
          <t>Gagandeep Singh Sachar</t>
        </is>
      </c>
      <c r="B700" s="37" t="inlineStr">
        <is>
          <t>Vadodara Citi</t>
        </is>
      </c>
      <c r="C700" s="37" t="inlineStr">
        <is>
          <t>GROW youth</t>
        </is>
      </c>
      <c r="D700" s="37" t="inlineStr">
        <is>
          <t>2026-07-01</t>
        </is>
      </c>
      <c r="E700" s="37" t="inlineStr">
        <is>
          <t>Infra Check</t>
        </is>
      </c>
      <c r="F700" s="37" t="inlineStr">
        <is>
          <t>Check basic cleanliness of the washrooms and the centre.</t>
        </is>
      </c>
      <c r="G700" s="37" t="inlineStr">
        <is>
          <t>All is Well</t>
        </is>
      </c>
    </row>
    <row r="701">
      <c r="A701" s="37" t="inlineStr">
        <is>
          <t>Gagandeep Singh Sachar</t>
        </is>
      </c>
      <c r="B701" s="37" t="inlineStr">
        <is>
          <t>Vadodara Citi</t>
        </is>
      </c>
      <c r="C701" s="37" t="inlineStr">
        <is>
          <t>GROW youth</t>
        </is>
      </c>
      <c r="D701" s="37" t="inlineStr">
        <is>
          <t>2026-07-01</t>
        </is>
      </c>
      <c r="E701" s="37" t="inlineStr">
        <is>
          <t>Infra Check</t>
        </is>
      </c>
      <c r="F701" s="37" t="inlineStr">
        <is>
          <t>Confirm the correct program and partner logos are displayed.</t>
        </is>
      </c>
      <c r="G701" s="37" t="inlineStr">
        <is>
          <t>All is Well</t>
        </is>
      </c>
    </row>
    <row r="702">
      <c r="A702" s="37" t="inlineStr">
        <is>
          <t>Gagandeep Singh Sachar</t>
        </is>
      </c>
      <c r="B702" s="37" t="inlineStr">
        <is>
          <t>Vadodara Citi</t>
        </is>
      </c>
      <c r="C702" s="37" t="inlineStr">
        <is>
          <t>GROW youth</t>
        </is>
      </c>
      <c r="D702" s="37" t="inlineStr">
        <is>
          <t>2026-07-01</t>
        </is>
      </c>
      <c r="E702" s="37" t="inlineStr">
        <is>
          <t>Infra Check</t>
        </is>
      </c>
      <c r="F702" s="37" t="inlineStr">
        <is>
          <t>Check the status of digital infra — PCs, smartboards, tablets, laptops, etc.</t>
        </is>
      </c>
      <c r="G702" s="37" t="inlineStr">
        <is>
          <t>Need Improvement</t>
        </is>
      </c>
    </row>
    <row r="703">
      <c r="A703" s="37" t="inlineStr">
        <is>
          <t>Gagandeep Singh Sachar</t>
        </is>
      </c>
      <c r="B703" s="37" t="inlineStr">
        <is>
          <t>Vadodara Citi</t>
        </is>
      </c>
      <c r="C703" s="37" t="inlineStr">
        <is>
          <t>GROW youth</t>
        </is>
      </c>
      <c r="D703" s="37" t="inlineStr">
        <is>
          <t>2026-07-01</t>
        </is>
      </c>
      <c r="E703" s="37" t="inlineStr">
        <is>
          <t>Infra Check</t>
        </is>
      </c>
      <c r="F703" s="37" t="inlineStr">
        <is>
          <t>Make a quick hostel visit; have lunch there if possible to test the food quality.</t>
        </is>
      </c>
      <c r="G703" s="37" t="inlineStr">
        <is>
          <t>Not Applicable</t>
        </is>
      </c>
    </row>
    <row r="704">
      <c r="A704" s="37" t="inlineStr">
        <is>
          <t>Gagandeep Singh Sachar</t>
        </is>
      </c>
      <c r="B704" s="37" t="inlineStr">
        <is>
          <t>Vadodara Citi</t>
        </is>
      </c>
      <c r="C704" s="37" t="inlineStr">
        <is>
          <t>GROW youth</t>
        </is>
      </c>
      <c r="D704" s="37" t="inlineStr">
        <is>
          <t>2026-07-01</t>
        </is>
      </c>
      <c r="E704" s="37" t="inlineStr">
        <is>
          <t>Process Check</t>
        </is>
      </c>
      <c r="F704" s="37" t="inlineStr">
        <is>
          <t>Refer to the activity planner — check if any activities are delayed.</t>
        </is>
      </c>
      <c r="G704" s="37" t="inlineStr">
        <is>
          <t>All is Well</t>
        </is>
      </c>
    </row>
    <row r="705">
      <c r="A705" s="37" t="inlineStr">
        <is>
          <t>Gagandeep Singh Sachar</t>
        </is>
      </c>
      <c r="B705" s="37" t="inlineStr">
        <is>
          <t>Vadodara Citi</t>
        </is>
      </c>
      <c r="C705" s="37" t="inlineStr">
        <is>
          <t>GROW youth</t>
        </is>
      </c>
      <c r="D705" s="37" t="inlineStr">
        <is>
          <t>2026-07-01</t>
        </is>
      </c>
      <c r="E705" s="37" t="inlineStr">
        <is>
          <t>Process Check</t>
        </is>
      </c>
      <c r="F705" s="37" t="inlineStr">
        <is>
          <t>Check planning for the next batch-start announcement.</t>
        </is>
      </c>
      <c r="G705" s="37" t="inlineStr">
        <is>
          <t>All is Well</t>
        </is>
      </c>
    </row>
    <row r="706">
      <c r="A706" s="37" t="inlineStr">
        <is>
          <t>Gagandeep Singh Sachar</t>
        </is>
      </c>
      <c r="B706" s="37" t="inlineStr">
        <is>
          <t>Vadodara Citi</t>
        </is>
      </c>
      <c r="C706" s="37" t="inlineStr">
        <is>
          <t>GROW youth</t>
        </is>
      </c>
      <c r="D706" s="37" t="inlineStr">
        <is>
          <t>2026-07-01</t>
        </is>
      </c>
      <c r="E706" s="37" t="inlineStr">
        <is>
          <t>Process Check</t>
        </is>
      </c>
      <c r="F706" s="37" t="inlineStr">
        <is>
          <t>Check if any hiring is delayed and plan a resolution.</t>
        </is>
      </c>
      <c r="G706" s="37" t="inlineStr">
        <is>
          <t>All is Well</t>
        </is>
      </c>
    </row>
    <row r="707">
      <c r="A707" s="37" t="inlineStr">
        <is>
          <t>Gagandeep Singh Sachar</t>
        </is>
      </c>
      <c r="B707" s="37" t="inlineStr">
        <is>
          <t>Vadodara Citi</t>
        </is>
      </c>
      <c r="C707" s="37" t="inlineStr">
        <is>
          <t>GROW youth</t>
        </is>
      </c>
      <c r="D707" s="37" t="inlineStr">
        <is>
          <t>2026-07-01</t>
        </is>
      </c>
      <c r="E707" s="37" t="inlineStr">
        <is>
          <t>Process Check</t>
        </is>
      </c>
      <c r="F707" s="37" t="inlineStr">
        <is>
          <t>Check the CA’s diary — is CA guided daily by the AH during planning days?</t>
        </is>
      </c>
      <c r="G707" s="37" t="inlineStr">
        <is>
          <t>All is Well</t>
        </is>
      </c>
    </row>
    <row r="708">
      <c r="A708" s="37" t="inlineStr">
        <is>
          <t>Gagandeep Singh Sachar</t>
        </is>
      </c>
      <c r="B708" s="37" t="inlineStr">
        <is>
          <t>Vadodara Citi</t>
        </is>
      </c>
      <c r="C708" s="37" t="inlineStr">
        <is>
          <t>GROW youth</t>
        </is>
      </c>
      <c r="D708" s="37" t="inlineStr">
        <is>
          <t>2026-07-01</t>
        </is>
      </c>
      <c r="E708" s="37" t="inlineStr">
        <is>
          <t>Process Check</t>
        </is>
      </c>
      <c r="F708" s="37" t="inlineStr">
        <is>
          <t>Check the AH is regularly meeting employers (in person and online) and updating the centre’s Top 20 Employer format.</t>
        </is>
      </c>
      <c r="G708" s="37" t="inlineStr">
        <is>
          <t>All is Well</t>
        </is>
      </c>
    </row>
    <row r="709">
      <c r="A709" s="37" t="inlineStr">
        <is>
          <t>Gagandeep Singh Sachar</t>
        </is>
      </c>
      <c r="B709" s="37" t="inlineStr">
        <is>
          <t>Vadodara Citi</t>
        </is>
      </c>
      <c r="C709" s="37" t="inlineStr">
        <is>
          <t>GROW youth</t>
        </is>
      </c>
      <c r="D709" s="37" t="inlineStr">
        <is>
          <t>2026-07-01</t>
        </is>
      </c>
      <c r="E709" s="37" t="inlineStr">
        <is>
          <t>Process Check</t>
        </is>
      </c>
      <c r="F709" s="37" t="inlineStr">
        <is>
          <t>Confirm all new employers are registered on portal as per new process.</t>
        </is>
      </c>
      <c r="G709" s="37" t="inlineStr">
        <is>
          <t>All is Well</t>
        </is>
      </c>
    </row>
    <row r="710">
      <c r="A710" s="37" t="inlineStr">
        <is>
          <t>Gagandeep Singh Sachar</t>
        </is>
      </c>
      <c r="B710" s="37" t="inlineStr">
        <is>
          <t>Vadodara Citi</t>
        </is>
      </c>
      <c r="C710" s="37" t="inlineStr">
        <is>
          <t>GROW youth</t>
        </is>
      </c>
      <c r="D710" s="37" t="inlineStr">
        <is>
          <t>2026-07-01</t>
        </is>
      </c>
      <c r="E710" s="37" t="inlineStr">
        <is>
          <t>Process Check</t>
        </is>
      </c>
      <c r="F710" s="37" t="inlineStr">
        <is>
          <t>Confirm 100% of enrolled students undergone screening (for technical courses).</t>
        </is>
      </c>
      <c r="G710" s="37" t="inlineStr">
        <is>
          <t>Not Applicable</t>
        </is>
      </c>
    </row>
    <row r="711">
      <c r="A711" s="37" t="inlineStr">
        <is>
          <t>Gagandeep Singh Sachar</t>
        </is>
      </c>
      <c r="B711" s="37" t="inlineStr">
        <is>
          <t>Vadodara Citi</t>
        </is>
      </c>
      <c r="C711" s="37" t="inlineStr">
        <is>
          <t>GROW youth</t>
        </is>
      </c>
      <c r="D711" s="37" t="inlineStr">
        <is>
          <t>2026-07-01</t>
        </is>
      </c>
      <c r="E711" s="37" t="inlineStr">
        <is>
          <t>Process Check</t>
        </is>
      </c>
      <c r="F711" s="37" t="inlineStr">
        <is>
          <t>Confirm ESA is done (in GROW full ESA and in Technical courses relevant sections of Core Employability Part).</t>
        </is>
      </c>
      <c r="G711" s="37" t="inlineStr">
        <is>
          <t>All is Well</t>
        </is>
      </c>
    </row>
    <row r="712">
      <c r="A712" s="37" t="inlineStr">
        <is>
          <t>Gagandeep Singh Sachar</t>
        </is>
      </c>
      <c r="B712" s="37" t="inlineStr">
        <is>
          <t>Vadodara Citi</t>
        </is>
      </c>
      <c r="C712" s="37" t="inlineStr">
        <is>
          <t>GROW youth</t>
        </is>
      </c>
      <c r="D712" s="37" t="inlineStr">
        <is>
          <t>2026-07-01</t>
        </is>
      </c>
      <c r="E712" s="37" t="inlineStr">
        <is>
          <t>Process Check</t>
        </is>
      </c>
      <c r="F712" s="37" t="inlineStr">
        <is>
          <t>Check is AH giving capstone project in GROW Tech.</t>
        </is>
      </c>
      <c r="G712" s="37" t="inlineStr">
        <is>
          <t>Not Applicable</t>
        </is>
      </c>
    </row>
    <row r="713">
      <c r="A713" s="37" t="inlineStr">
        <is>
          <t>Gagandeep Singh Sachar</t>
        </is>
      </c>
      <c r="B713" s="37" t="inlineStr">
        <is>
          <t>Vadodara Citi</t>
        </is>
      </c>
      <c r="C713" s="37" t="inlineStr">
        <is>
          <t>GROW youth</t>
        </is>
      </c>
      <c r="D713" s="37" t="inlineStr">
        <is>
          <t>2026-07-01</t>
        </is>
      </c>
      <c r="E713" s="37" t="inlineStr">
        <is>
          <t>Process Check</t>
        </is>
      </c>
      <c r="F713" s="37" t="inlineStr">
        <is>
          <t>Check is AH planning OJT as per guidelines and proofs are collected for technical courses.</t>
        </is>
      </c>
      <c r="G713" s="37" t="inlineStr">
        <is>
          <t>Not Applicable</t>
        </is>
      </c>
    </row>
    <row r="714">
      <c r="A714" s="37" t="inlineStr">
        <is>
          <t>Gagandeep Singh Sachar</t>
        </is>
      </c>
      <c r="B714" s="37" t="inlineStr">
        <is>
          <t>Vadodara Citi</t>
        </is>
      </c>
      <c r="C714" s="37" t="inlineStr">
        <is>
          <t>GROW youth</t>
        </is>
      </c>
      <c r="D714" s="37" t="inlineStr">
        <is>
          <t>2026-07-01</t>
        </is>
      </c>
      <c r="E714" s="37" t="inlineStr">
        <is>
          <t>Process Check</t>
        </is>
      </c>
      <c r="F714" s="37" t="inlineStr">
        <is>
          <t>Check are trainers contacting aspirants to find reason for their absenteeism of more than 1 day.</t>
        </is>
      </c>
      <c r="G714" s="37" t="inlineStr">
        <is>
          <t>All is Well</t>
        </is>
      </c>
    </row>
    <row r="715">
      <c r="A715" s="37" t="inlineStr">
        <is>
          <t>Gagandeep Singh Sachar</t>
        </is>
      </c>
      <c r="B715" s="37" t="inlineStr">
        <is>
          <t>Vadodara Citi</t>
        </is>
      </c>
      <c r="C715" s="37" t="inlineStr">
        <is>
          <t>GROW youth</t>
        </is>
      </c>
      <c r="D715" s="37" t="inlineStr">
        <is>
          <t>2026-07-01</t>
        </is>
      </c>
      <c r="E715" s="37" t="inlineStr">
        <is>
          <t>Process Check</t>
        </is>
      </c>
      <c r="F715" s="37" t="inlineStr">
        <is>
          <t>Check the AH plans monthly enrolment and placement numbers by the 3rd of each month and shares them with second level managers.</t>
        </is>
      </c>
      <c r="G715" s="37" t="inlineStr">
        <is>
          <t>All is Well</t>
        </is>
      </c>
    </row>
    <row r="716">
      <c r="A716" s="37" t="inlineStr">
        <is>
          <t>Gagandeep Singh Sachar</t>
        </is>
      </c>
      <c r="B716" s="37" t="inlineStr">
        <is>
          <t>Vadodara Citi</t>
        </is>
      </c>
      <c r="C716" s="37" t="inlineStr">
        <is>
          <t>GROW youth</t>
        </is>
      </c>
      <c r="D716" s="37" t="inlineStr">
        <is>
          <t>2026-07-01</t>
        </is>
      </c>
      <c r="E716" s="37" t="inlineStr">
        <is>
          <t>Process Check</t>
        </is>
      </c>
      <c r="F716" s="37" t="inlineStr">
        <is>
          <t>Check trainers submit aspirants’ placement interest areas to the AH by the batch’s 25th day (in GROW).</t>
        </is>
      </c>
      <c r="G716" s="37" t="inlineStr">
        <is>
          <t>Need Improvement</t>
        </is>
      </c>
    </row>
    <row r="717">
      <c r="A717" s="37" t="inlineStr">
        <is>
          <t>Gagandeep Singh Sachar</t>
        </is>
      </c>
      <c r="B717" s="37" t="inlineStr">
        <is>
          <t>Vadodara Citi</t>
        </is>
      </c>
      <c r="C717" s="37" t="inlineStr">
        <is>
          <t>GROW youth</t>
        </is>
      </c>
      <c r="D717" s="37" t="inlineStr">
        <is>
          <t>2026-07-01</t>
        </is>
      </c>
      <c r="E717" s="37" t="inlineStr">
        <is>
          <t>Process Check</t>
        </is>
      </c>
      <c r="F717" s="37" t="inlineStr">
        <is>
          <t>Ckeck For technical programs, placement is done only in technical jobs,on which aspirants are trained and relevant emplyers are identified by 45th day.</t>
        </is>
      </c>
      <c r="G717" s="37" t="inlineStr">
        <is>
          <t>Not Applicable</t>
        </is>
      </c>
    </row>
    <row r="718">
      <c r="A718" s="37" t="inlineStr">
        <is>
          <t>Gagandeep Singh Sachar</t>
        </is>
      </c>
      <c r="B718" s="37" t="inlineStr">
        <is>
          <t>Vadodara Citi</t>
        </is>
      </c>
      <c r="C718" s="37" t="inlineStr">
        <is>
          <t>GROW youth</t>
        </is>
      </c>
      <c r="D718" s="37" t="inlineStr">
        <is>
          <t>2026-07-01</t>
        </is>
      </c>
      <c r="E718" s="37" t="inlineStr">
        <is>
          <t>Process Check</t>
        </is>
      </c>
      <c r="F718" s="37" t="inlineStr">
        <is>
          <t>Check the AH follows EP guidelines and minimum benchmark salary guidelines.</t>
        </is>
      </c>
      <c r="G718" s="37" t="inlineStr">
        <is>
          <t>All is Well</t>
        </is>
      </c>
    </row>
    <row r="719">
      <c r="A719" s="37" t="inlineStr">
        <is>
          <t>Gagandeep Singh Sachar</t>
        </is>
      </c>
      <c r="B719" s="37" t="inlineStr">
        <is>
          <t>Vadodara Citi</t>
        </is>
      </c>
      <c r="C719" s="37" t="inlineStr">
        <is>
          <t>GROW youth</t>
        </is>
      </c>
      <c r="D719" s="37" t="inlineStr">
        <is>
          <t>2026-07-01</t>
        </is>
      </c>
      <c r="E719" s="37" t="inlineStr">
        <is>
          <t>Process Check</t>
        </is>
      </c>
      <c r="F719" s="37" t="inlineStr">
        <is>
          <t>Check that AH is enrolling only the right traget group in the program -as per the defined target.</t>
        </is>
      </c>
      <c r="G719" s="37" t="inlineStr">
        <is>
          <t>All is Well</t>
        </is>
      </c>
    </row>
    <row r="720">
      <c r="A720" s="37" t="inlineStr">
        <is>
          <t>Gagandeep Singh Sachar</t>
        </is>
      </c>
      <c r="B720" s="37" t="inlineStr">
        <is>
          <t>Vadodara Citi</t>
        </is>
      </c>
      <c r="C720" s="37" t="inlineStr">
        <is>
          <t>GROW youth</t>
        </is>
      </c>
      <c r="D720" s="37" t="inlineStr">
        <is>
          <t>2026-07-01</t>
        </is>
      </c>
      <c r="E720" s="37" t="inlineStr">
        <is>
          <t>Process Check</t>
        </is>
      </c>
      <c r="F720" s="37" t="inlineStr">
        <is>
          <t>Check the AH announces the next batch-start date by the 3rd of the month on all notice boards — focus on Zero-Day start.</t>
        </is>
      </c>
      <c r="G720" s="37" t="inlineStr">
        <is>
          <t>All is Well</t>
        </is>
      </c>
    </row>
    <row r="721">
      <c r="A721" s="37" t="inlineStr">
        <is>
          <t>Gagandeep Singh Sachar</t>
        </is>
      </c>
      <c r="B721" s="37" t="inlineStr">
        <is>
          <t>Vadodara Citi</t>
        </is>
      </c>
      <c r="C721" s="37" t="inlineStr">
        <is>
          <t>GROW youth</t>
        </is>
      </c>
      <c r="D721" s="37" t="inlineStr">
        <is>
          <t>2026-07-01</t>
        </is>
      </c>
      <c r="E721" s="37" t="inlineStr">
        <is>
          <t>Process Check</t>
        </is>
      </c>
      <c r="F721" s="37" t="inlineStr">
        <is>
          <t>Check the Aspirant Mock Interview Score Tracker is updated after every mock interview in the L&amp;D Google Sheet.</t>
        </is>
      </c>
      <c r="G721" s="37" t="inlineStr">
        <is>
          <t>All is Well</t>
        </is>
      </c>
    </row>
    <row r="722">
      <c r="A722" s="37" t="inlineStr">
        <is>
          <t>Gagandeep Singh Sachar</t>
        </is>
      </c>
      <c r="B722" s="37" t="inlineStr">
        <is>
          <t>Vadodara Citi</t>
        </is>
      </c>
      <c r="C722" s="37" t="inlineStr">
        <is>
          <t>GROW youth</t>
        </is>
      </c>
      <c r="D722" s="37" t="inlineStr">
        <is>
          <t>2026-07-01</t>
        </is>
      </c>
      <c r="E722" s="37" t="inlineStr">
        <is>
          <t>Process Check</t>
        </is>
      </c>
      <c r="F722" s="37" t="inlineStr">
        <is>
          <t>Confirm NPS (Net Promoter Score) is collected at MSDF centres.</t>
        </is>
      </c>
      <c r="G722" s="37" t="inlineStr">
        <is>
          <t>Not Applicable</t>
        </is>
      </c>
    </row>
    <row r="723">
      <c r="A723" s="37" t="inlineStr">
        <is>
          <t>Gagandeep Singh Sachar</t>
        </is>
      </c>
      <c r="B723" s="37" t="inlineStr">
        <is>
          <t>Vadodara Citi</t>
        </is>
      </c>
      <c r="C723" s="37" t="inlineStr">
        <is>
          <t>GROW youth</t>
        </is>
      </c>
      <c r="D723" s="37" t="inlineStr">
        <is>
          <t>2026-07-01</t>
        </is>
      </c>
      <c r="E723" s="37" t="inlineStr">
        <is>
          <t>Process Check</t>
        </is>
      </c>
      <c r="F723" s="37" t="inlineStr">
        <is>
          <t>Confirm that QAE is collecting student feedback for every batch.</t>
        </is>
      </c>
      <c r="G723" s="37" t="inlineStr">
        <is>
          <t>All is Well</t>
        </is>
      </c>
    </row>
    <row r="724">
      <c r="A724" s="37" t="inlineStr">
        <is>
          <t>Gagandeep Singh Sachar</t>
        </is>
      </c>
      <c r="B724" s="37" t="inlineStr">
        <is>
          <t>Vadodara Citi</t>
        </is>
      </c>
      <c r="C724" s="37" t="inlineStr">
        <is>
          <t>GROW youth</t>
        </is>
      </c>
      <c r="D724" s="37" t="inlineStr">
        <is>
          <t>2026-07-01</t>
        </is>
      </c>
      <c r="E724" s="37" t="inlineStr">
        <is>
          <t>Process Check</t>
        </is>
      </c>
      <c r="F724" s="37" t="inlineStr">
        <is>
          <t>Confirm all centre teams have completed the GROW Manual Course on Skillfy — ask for achievement certificates.</t>
        </is>
      </c>
      <c r="G724" s="37" t="inlineStr">
        <is>
          <t>All is Well</t>
        </is>
      </c>
    </row>
    <row r="725">
      <c r="A725" s="37" t="inlineStr">
        <is>
          <t>Gagandeep Singh Sachar</t>
        </is>
      </c>
      <c r="B725" s="37" t="inlineStr">
        <is>
          <t>Vadodara Citi</t>
        </is>
      </c>
      <c r="C725" s="37" t="inlineStr">
        <is>
          <t>GROW youth</t>
        </is>
      </c>
      <c r="D725" s="37" t="inlineStr">
        <is>
          <t>2026-07-01</t>
        </is>
      </c>
      <c r="E725" s="37" t="inlineStr">
        <is>
          <t>Process Check</t>
        </is>
      </c>
      <c r="F725" s="37" t="inlineStr">
        <is>
          <t>Check AH holds a quality weekly team meeting, documents action points in the weekly meeting format, and sends you a photo on WhatsApp.</t>
        </is>
      </c>
      <c r="G725" s="37" t="inlineStr">
        <is>
          <t>Not Applicable</t>
        </is>
      </c>
    </row>
    <row r="726">
      <c r="A726" s="37" t="inlineStr">
        <is>
          <t>Gagandeep Singh Sachar</t>
        </is>
      </c>
      <c r="B726" s="37" t="inlineStr">
        <is>
          <t>Vadodara Citi</t>
        </is>
      </c>
      <c r="C726" s="37" t="inlineStr">
        <is>
          <t>GROW youth</t>
        </is>
      </c>
      <c r="D726" s="37" t="inlineStr">
        <is>
          <t>2026-07-01</t>
        </is>
      </c>
      <c r="E726" s="37" t="inlineStr">
        <is>
          <t>Aspirant Interaction</t>
        </is>
      </c>
      <c r="F726" s="37" t="inlineStr">
        <is>
          <t>Ask aspirants about the session plan — confirm training is happening as planned?</t>
        </is>
      </c>
      <c r="G726" s="37" t="inlineStr">
        <is>
          <t>All is Well</t>
        </is>
      </c>
    </row>
    <row r="727">
      <c r="A727" s="37" t="inlineStr">
        <is>
          <t>Gagandeep Singh Sachar</t>
        </is>
      </c>
      <c r="B727" s="37" t="inlineStr">
        <is>
          <t>Vadodara Citi</t>
        </is>
      </c>
      <c r="C727" s="37" t="inlineStr">
        <is>
          <t>GROW youth</t>
        </is>
      </c>
      <c r="D727" s="37" t="inlineStr">
        <is>
          <t>2026-07-01</t>
        </is>
      </c>
      <c r="E727" s="37" t="inlineStr">
        <is>
          <t>Aspirant Interaction</t>
        </is>
      </c>
      <c r="F727" s="37" t="inlineStr">
        <is>
          <t>Ask about the quality of Core Employability component delivery (technical centres) and who delivers it.</t>
        </is>
      </c>
      <c r="G727" s="37" t="inlineStr">
        <is>
          <t>All is Well</t>
        </is>
      </c>
    </row>
    <row r="728">
      <c r="A728" s="37" t="inlineStr">
        <is>
          <t>Gagandeep Singh Sachar</t>
        </is>
      </c>
      <c r="B728" s="37" t="inlineStr">
        <is>
          <t>Vadodara Citi</t>
        </is>
      </c>
      <c r="C728" s="37" t="inlineStr">
        <is>
          <t>GROW youth</t>
        </is>
      </c>
      <c r="D728" s="37" t="inlineStr">
        <is>
          <t>2026-07-01</t>
        </is>
      </c>
      <c r="E728" s="37" t="inlineStr">
        <is>
          <t>Aspirant Interaction</t>
        </is>
      </c>
      <c r="F728" s="37" t="inlineStr">
        <is>
          <t>Ask whether they are aware of the referral scheme?</t>
        </is>
      </c>
      <c r="G728" s="37" t="inlineStr">
        <is>
          <t>All is Well</t>
        </is>
      </c>
    </row>
    <row r="729">
      <c r="A729" s="37" t="inlineStr">
        <is>
          <t>Gagandeep Singh Sachar</t>
        </is>
      </c>
      <c r="B729" s="37" t="inlineStr">
        <is>
          <t>Vadodara Citi</t>
        </is>
      </c>
      <c r="C729" s="37" t="inlineStr">
        <is>
          <t>GROW youth</t>
        </is>
      </c>
      <c r="D729" s="37" t="inlineStr">
        <is>
          <t>2026-07-01</t>
        </is>
      </c>
      <c r="E729" s="37" t="inlineStr">
        <is>
          <t>Aspirant Interaction</t>
        </is>
      </c>
      <c r="F729" s="37" t="inlineStr">
        <is>
          <t>Ask whether the AH explained the importance of the offer letter and sharing it with us once received for reporting purposes?</t>
        </is>
      </c>
      <c r="G729" s="37" t="inlineStr">
        <is>
          <t>All is Well</t>
        </is>
      </c>
    </row>
    <row r="730">
      <c r="A730" s="37" t="inlineStr">
        <is>
          <t>Gagandeep Singh Sachar</t>
        </is>
      </c>
      <c r="B730" s="37" t="inlineStr">
        <is>
          <t>Vadodara Citi</t>
        </is>
      </c>
      <c r="C730" s="37" t="inlineStr">
        <is>
          <t>GROW youth</t>
        </is>
      </c>
      <c r="D730" s="37" t="inlineStr">
        <is>
          <t>2026-07-01</t>
        </is>
      </c>
      <c r="E730" s="37" t="inlineStr">
        <is>
          <t>Aspirant Interaction</t>
        </is>
      </c>
      <c r="F730" s="37" t="inlineStr">
        <is>
          <t>Ask how many are not interested in jobs — and if so, why they enrolled in the programme?</t>
        </is>
      </c>
      <c r="G730" s="37" t="inlineStr">
        <is>
          <t>All is Well</t>
        </is>
      </c>
    </row>
    <row r="731">
      <c r="A731" s="37" t="inlineStr">
        <is>
          <t>Gagandeep Singh Sachar</t>
        </is>
      </c>
      <c r="B731" s="37" t="inlineStr">
        <is>
          <t>Vadodara Citi</t>
        </is>
      </c>
      <c r="C731" s="37" t="inlineStr">
        <is>
          <t>GROW youth</t>
        </is>
      </c>
      <c r="D731" s="37" t="inlineStr">
        <is>
          <t>2026-07-01</t>
        </is>
      </c>
      <c r="E731" s="37" t="inlineStr">
        <is>
          <t>Aspirant Interaction</t>
        </is>
      </c>
      <c r="F731" s="37" t="inlineStr">
        <is>
          <t>Ask whether they were told the kind of job they would get during counselling?</t>
        </is>
      </c>
      <c r="G731" s="37" t="inlineStr">
        <is>
          <t>All is Well</t>
        </is>
      </c>
    </row>
    <row r="732">
      <c r="A732" s="37" t="inlineStr">
        <is>
          <t>Gagandeep Singh Sachar</t>
        </is>
      </c>
      <c r="B732" s="37" t="inlineStr">
        <is>
          <t>Vadodara Citi</t>
        </is>
      </c>
      <c r="C732" s="37" t="inlineStr">
        <is>
          <t>GROW youth</t>
        </is>
      </c>
      <c r="D732" s="37" t="inlineStr">
        <is>
          <t>2026-07-01</t>
        </is>
      </c>
      <c r="E732" s="37" t="inlineStr">
        <is>
          <t>Aspirant Interaction</t>
        </is>
      </c>
      <c r="F732" s="37" t="inlineStr">
        <is>
          <t>Ask whether they have been given LMS access?</t>
        </is>
      </c>
      <c r="G732" s="37" t="inlineStr">
        <is>
          <t>All is Well</t>
        </is>
      </c>
    </row>
    <row r="733">
      <c r="A733" s="37" t="inlineStr">
        <is>
          <t>Gagandeep Singh Sachar</t>
        </is>
      </c>
      <c r="B733" s="37" t="inlineStr">
        <is>
          <t>Vadodara Citi</t>
        </is>
      </c>
      <c r="C733" s="37" t="inlineStr">
        <is>
          <t>GROW youth</t>
        </is>
      </c>
      <c r="D733" s="37" t="inlineStr">
        <is>
          <t>2026-07-01</t>
        </is>
      </c>
      <c r="E733" s="37" t="inlineStr">
        <is>
          <t>Aspirant Interaction</t>
        </is>
      </c>
      <c r="F733" s="37" t="inlineStr">
        <is>
          <t>Ask whether anyone asked them for money for training or placement?</t>
        </is>
      </c>
      <c r="G733" s="37" t="inlineStr">
        <is>
          <t>All is Well</t>
        </is>
      </c>
    </row>
    <row r="734">
      <c r="A734" s="37" t="inlineStr">
        <is>
          <t>Gagandeep Singh Sachar</t>
        </is>
      </c>
      <c r="B734" s="37" t="inlineStr">
        <is>
          <t>Vadodara Citi</t>
        </is>
      </c>
      <c r="C734" s="37" t="inlineStr">
        <is>
          <t>GROW youth</t>
        </is>
      </c>
      <c r="D734" s="37" t="inlineStr">
        <is>
          <t>2026-07-01</t>
        </is>
      </c>
      <c r="E734" s="37" t="inlineStr">
        <is>
          <t>Aspirant Interaction</t>
        </is>
      </c>
      <c r="F734" s="37" t="inlineStr">
        <is>
          <t>Ask to show their mobile phones — are they enrolled on Skillfy? If not, get them enrolled and give written feedback to trainers and the AH in your presence.</t>
        </is>
      </c>
      <c r="G734" s="37" t="inlineStr">
        <is>
          <t>All is Well</t>
        </is>
      </c>
    </row>
    <row r="735">
      <c r="A735" s="37" t="inlineStr">
        <is>
          <t>Gagandeep Singh Sachar</t>
        </is>
      </c>
      <c r="B735" s="37" t="inlineStr">
        <is>
          <t>Vadodara Citi</t>
        </is>
      </c>
      <c r="C735" s="37" t="inlineStr">
        <is>
          <t>GROW youth</t>
        </is>
      </c>
      <c r="D735" s="37" t="inlineStr">
        <is>
          <t>2026-07-01</t>
        </is>
      </c>
      <c r="E735" s="37" t="inlineStr">
        <is>
          <t>Aspirant Interaction</t>
        </is>
      </c>
      <c r="F735" s="37" t="inlineStr">
        <is>
          <t>Ask about the quality of the hostel and any issues they face.</t>
        </is>
      </c>
      <c r="G735" s="37" t="inlineStr">
        <is>
          <t>Not Applicable</t>
        </is>
      </c>
    </row>
    <row r="736">
      <c r="A736" s="37" t="inlineStr">
        <is>
          <t>Gagandeep Singh Sachar</t>
        </is>
      </c>
      <c r="B736" s="37" t="inlineStr">
        <is>
          <t>Vadodara Citi</t>
        </is>
      </c>
      <c r="C736" s="37" t="inlineStr">
        <is>
          <t>GROW youth</t>
        </is>
      </c>
      <c r="D736" s="37" t="inlineStr">
        <is>
          <t>2026-07-01</t>
        </is>
      </c>
      <c r="E736" s="37" t="inlineStr">
        <is>
          <t>Aspirant Interaction</t>
        </is>
      </c>
      <c r="F736" s="37" t="inlineStr">
        <is>
          <t>Ask a few relevant screening questions to support the 10th-day report and remove non-serious candidates, explaining to them the reasons.</t>
        </is>
      </c>
      <c r="G736" s="37" t="inlineStr">
        <is>
          <t>Not Applicable</t>
        </is>
      </c>
    </row>
    <row r="737">
      <c r="A737" s="37" t="inlineStr">
        <is>
          <t>Gagandeep Singh Sachar</t>
        </is>
      </c>
      <c r="B737" s="37" t="inlineStr">
        <is>
          <t>Vadodara HQHCS</t>
        </is>
      </c>
      <c r="C737" s="37" t="inlineStr">
        <is>
          <t>HQHCS</t>
        </is>
      </c>
      <c r="D737" s="37" t="inlineStr">
        <is>
          <t>2026-07-02</t>
        </is>
      </c>
      <c r="E737" s="37" t="inlineStr">
        <is>
          <t>Data Check</t>
        </is>
      </c>
      <c r="F737" s="37" t="inlineStr">
        <is>
          <t>Reach the centre on time (unannounced) — confirm the centre opened on time.</t>
        </is>
      </c>
      <c r="G737" s="37" t="inlineStr">
        <is>
          <t>All is Well</t>
        </is>
      </c>
    </row>
    <row r="738">
      <c r="A738" s="37" t="inlineStr">
        <is>
          <t>Gagandeep Singh Sachar</t>
        </is>
      </c>
      <c r="B738" s="37" t="inlineStr">
        <is>
          <t>Vadodara HQHCS</t>
        </is>
      </c>
      <c r="C738" s="37" t="inlineStr">
        <is>
          <t>HQHCS</t>
        </is>
      </c>
      <c r="D738" s="37" t="inlineStr">
        <is>
          <t>2026-07-02</t>
        </is>
      </c>
      <c r="E738" s="37" t="inlineStr">
        <is>
          <t>Data Check</t>
        </is>
      </c>
      <c r="F738" s="37" t="inlineStr">
        <is>
          <t>Check the staff attendance register, the Google Sheet, and geo-tagged photos for aspirants.</t>
        </is>
      </c>
      <c r="G738" s="37" t="inlineStr">
        <is>
          <t>Need Improvement</t>
        </is>
      </c>
    </row>
    <row r="739">
      <c r="A739" s="37" t="inlineStr">
        <is>
          <t>Gagandeep Singh Sachar</t>
        </is>
      </c>
      <c r="B739" s="37" t="inlineStr">
        <is>
          <t>Vadodara HQHCS</t>
        </is>
      </c>
      <c r="C739" s="37" t="inlineStr">
        <is>
          <t>HQHCS</t>
        </is>
      </c>
      <c r="D739" s="37" t="inlineStr">
        <is>
          <t>2026-07-02</t>
        </is>
      </c>
      <c r="E739" s="37" t="inlineStr">
        <is>
          <t>Data Check</t>
        </is>
      </c>
      <c r="F739" s="37" t="inlineStr">
        <is>
          <t>Check Counselling and Screening Forms of recently started batches.</t>
        </is>
      </c>
      <c r="G739" s="37" t="inlineStr">
        <is>
          <t>All is Well</t>
        </is>
      </c>
    </row>
    <row r="740">
      <c r="A740" s="37" t="inlineStr">
        <is>
          <t>Gagandeep Singh Sachar</t>
        </is>
      </c>
      <c r="B740" s="37" t="inlineStr">
        <is>
          <t>Vadodara HQHCS</t>
        </is>
      </c>
      <c r="C740" s="37" t="inlineStr">
        <is>
          <t>HQHCS</t>
        </is>
      </c>
      <c r="D740" s="37" t="inlineStr">
        <is>
          <t>2026-07-02</t>
        </is>
      </c>
      <c r="E740" s="37" t="inlineStr">
        <is>
          <t>Data Check</t>
        </is>
      </c>
      <c r="F740" s="37" t="inlineStr">
        <is>
          <t>Check Aspirant Registration Forms and related documents.</t>
        </is>
      </c>
      <c r="G740" s="37" t="inlineStr">
        <is>
          <t>All is Well</t>
        </is>
      </c>
    </row>
    <row r="741">
      <c r="A741" s="37" t="inlineStr">
        <is>
          <t>Gagandeep Singh Sachar</t>
        </is>
      </c>
      <c r="B741" s="37" t="inlineStr">
        <is>
          <t>Vadodara HQHCS</t>
        </is>
      </c>
      <c r="C741" s="37" t="inlineStr">
        <is>
          <t>HQHCS</t>
        </is>
      </c>
      <c r="D741" s="37" t="inlineStr">
        <is>
          <t>2026-07-02</t>
        </is>
      </c>
      <c r="E741" s="37" t="inlineStr">
        <is>
          <t>Data Check</t>
        </is>
      </c>
      <c r="F741" s="37" t="inlineStr">
        <is>
          <t>On the GROW portal, confirm all student profile details and batch updates are currect.</t>
        </is>
      </c>
      <c r="G741" s="37" t="inlineStr">
        <is>
          <t>All is Well</t>
        </is>
      </c>
    </row>
    <row r="742">
      <c r="A742" s="37" t="inlineStr">
        <is>
          <t>Gagandeep Singh Sachar</t>
        </is>
      </c>
      <c r="B742" s="37" t="inlineStr">
        <is>
          <t>Vadodara HQHCS</t>
        </is>
      </c>
      <c r="C742" s="37" t="inlineStr">
        <is>
          <t>HQHCS</t>
        </is>
      </c>
      <c r="D742" s="37" t="inlineStr">
        <is>
          <t>2026-07-02</t>
        </is>
      </c>
      <c r="E742" s="37" t="inlineStr">
        <is>
          <t>Data Check</t>
        </is>
      </c>
      <c r="F742" s="37" t="inlineStr">
        <is>
          <t>Verify placement data — randomly call 3–4 alumni placed in the last 3 months to confirm veracity (random selection is essential).</t>
        </is>
      </c>
      <c r="G742" s="37" t="inlineStr">
        <is>
          <t>All is Well</t>
        </is>
      </c>
    </row>
    <row r="743">
      <c r="A743" s="37" t="inlineStr">
        <is>
          <t>Gagandeep Singh Sachar</t>
        </is>
      </c>
      <c r="B743" s="37" t="inlineStr">
        <is>
          <t>Vadodara HQHCS</t>
        </is>
      </c>
      <c r="C743" s="37" t="inlineStr">
        <is>
          <t>HQHCS</t>
        </is>
      </c>
      <c r="D743" s="37" t="inlineStr">
        <is>
          <t>2026-07-02</t>
        </is>
      </c>
      <c r="E743" s="37" t="inlineStr">
        <is>
          <t>Data Check</t>
        </is>
      </c>
      <c r="F743" s="37" t="inlineStr">
        <is>
          <t>Verify retention — check the Alumni Hand-holding Format is being updated as designed.</t>
        </is>
      </c>
      <c r="G743" s="37" t="inlineStr">
        <is>
          <t>Need Improvement</t>
        </is>
      </c>
    </row>
    <row r="744">
      <c r="A744" s="37" t="inlineStr">
        <is>
          <t>Gagandeep Singh Sachar</t>
        </is>
      </c>
      <c r="B744" s="37" t="inlineStr">
        <is>
          <t>Vadodara HQHCS</t>
        </is>
      </c>
      <c r="C744" s="37" t="inlineStr">
        <is>
          <t>HQHCS</t>
        </is>
      </c>
      <c r="D744" s="37" t="inlineStr">
        <is>
          <t>2026-07-02</t>
        </is>
      </c>
      <c r="E744" s="37" t="inlineStr">
        <is>
          <t>Data Check</t>
        </is>
      </c>
      <c r="F744" s="37" t="inlineStr">
        <is>
          <t>Check aspirant Hostel Forms are properly filled or not.</t>
        </is>
      </c>
      <c r="G744" s="37" t="inlineStr">
        <is>
          <t>Need Improvement</t>
        </is>
      </c>
    </row>
    <row r="745">
      <c r="A745" s="37" t="inlineStr">
        <is>
          <t>Gagandeep Singh Sachar</t>
        </is>
      </c>
      <c r="B745" s="37" t="inlineStr">
        <is>
          <t>Vadodara HQHCS</t>
        </is>
      </c>
      <c r="C745" s="37" t="inlineStr">
        <is>
          <t>HQHCS</t>
        </is>
      </c>
      <c r="D745" s="37" t="inlineStr">
        <is>
          <t>2026-07-02</t>
        </is>
      </c>
      <c r="E745" s="37" t="inlineStr">
        <is>
          <t>Infra Check</t>
        </is>
      </c>
      <c r="F745" s="37" t="inlineStr">
        <is>
          <t>Check all CCTV cameras; if any are not working, ask the AH to troubleshoot or call the vendor.</t>
        </is>
      </c>
      <c r="G745" s="37" t="inlineStr">
        <is>
          <t>All is Well</t>
        </is>
      </c>
    </row>
    <row r="746">
      <c r="A746" s="37" t="inlineStr">
        <is>
          <t>Gagandeep Singh Sachar</t>
        </is>
      </c>
      <c r="B746" s="37" t="inlineStr">
        <is>
          <t>Vadodara HQHCS</t>
        </is>
      </c>
      <c r="C746" s="37" t="inlineStr">
        <is>
          <t>HQHCS</t>
        </is>
      </c>
      <c r="D746" s="37" t="inlineStr">
        <is>
          <t>2026-07-02</t>
        </is>
      </c>
      <c r="E746" s="37" t="inlineStr">
        <is>
          <t>Infra Check</t>
        </is>
      </c>
      <c r="F746" s="37" t="inlineStr">
        <is>
          <t>Check for any scrap material and get it cleared, with support of Admin</t>
        </is>
      </c>
      <c r="G746" s="37" t="inlineStr">
        <is>
          <t>All is Well</t>
        </is>
      </c>
    </row>
    <row r="747">
      <c r="A747" s="37" t="inlineStr">
        <is>
          <t>Gagandeep Singh Sachar</t>
        </is>
      </c>
      <c r="B747" s="37" t="inlineStr">
        <is>
          <t>Vadodara HQHCS</t>
        </is>
      </c>
      <c r="C747" s="37" t="inlineStr">
        <is>
          <t>HQHCS</t>
        </is>
      </c>
      <c r="D747" s="37" t="inlineStr">
        <is>
          <t>2026-07-02</t>
        </is>
      </c>
      <c r="E747" s="37" t="inlineStr">
        <is>
          <t>Infra Check</t>
        </is>
      </c>
      <c r="F747" s="37" t="inlineStr">
        <is>
          <t>Check for any pending infra repairs.</t>
        </is>
      </c>
      <c r="G747" s="37" t="inlineStr">
        <is>
          <t>All is Well</t>
        </is>
      </c>
    </row>
    <row r="748">
      <c r="A748" s="37" t="inlineStr">
        <is>
          <t>Gagandeep Singh Sachar</t>
        </is>
      </c>
      <c r="B748" s="37" t="inlineStr">
        <is>
          <t>Vadodara HQHCS</t>
        </is>
      </c>
      <c r="C748" s="37" t="inlineStr">
        <is>
          <t>HQHCS</t>
        </is>
      </c>
      <c r="D748" s="37" t="inlineStr">
        <is>
          <t>2026-07-02</t>
        </is>
      </c>
      <c r="E748" s="37" t="inlineStr">
        <is>
          <t>Infra Check</t>
        </is>
      </c>
      <c r="F748" s="37" t="inlineStr">
        <is>
          <t>Check whether any fire extinguishers have expired (check the needle and expiry date both).</t>
        </is>
      </c>
      <c r="G748" s="37" t="inlineStr">
        <is>
          <t>All is Well</t>
        </is>
      </c>
    </row>
    <row r="749">
      <c r="A749" s="37" t="inlineStr">
        <is>
          <t>Gagandeep Singh Sachar</t>
        </is>
      </c>
      <c r="B749" s="37" t="inlineStr">
        <is>
          <t>Vadodara HQHCS</t>
        </is>
      </c>
      <c r="C749" s="37" t="inlineStr">
        <is>
          <t>HQHCS</t>
        </is>
      </c>
      <c r="D749" s="37" t="inlineStr">
        <is>
          <t>2026-07-02</t>
        </is>
      </c>
      <c r="E749" s="37" t="inlineStr">
        <is>
          <t>Infra Check</t>
        </is>
      </c>
      <c r="F749" s="37" t="inlineStr">
        <is>
          <t>Check basic cleanliness of the washrooms and the centre.</t>
        </is>
      </c>
      <c r="G749" s="37" t="inlineStr">
        <is>
          <t>All is Well</t>
        </is>
      </c>
    </row>
    <row r="750">
      <c r="A750" s="37" t="inlineStr">
        <is>
          <t>Gagandeep Singh Sachar</t>
        </is>
      </c>
      <c r="B750" s="37" t="inlineStr">
        <is>
          <t>Vadodara HQHCS</t>
        </is>
      </c>
      <c r="C750" s="37" t="inlineStr">
        <is>
          <t>HQHCS</t>
        </is>
      </c>
      <c r="D750" s="37" t="inlineStr">
        <is>
          <t>2026-07-02</t>
        </is>
      </c>
      <c r="E750" s="37" t="inlineStr">
        <is>
          <t>Infra Check</t>
        </is>
      </c>
      <c r="F750" s="37" t="inlineStr">
        <is>
          <t>Confirm the correct program and partner logos are displayed.</t>
        </is>
      </c>
      <c r="G750" s="37" t="inlineStr">
        <is>
          <t>Not Applicable</t>
        </is>
      </c>
    </row>
    <row r="751">
      <c r="A751" s="37" t="inlineStr">
        <is>
          <t>Gagandeep Singh Sachar</t>
        </is>
      </c>
      <c r="B751" s="37" t="inlineStr">
        <is>
          <t>Vadodara HQHCS</t>
        </is>
      </c>
      <c r="C751" s="37" t="inlineStr">
        <is>
          <t>HQHCS</t>
        </is>
      </c>
      <c r="D751" s="37" t="inlineStr">
        <is>
          <t>2026-07-02</t>
        </is>
      </c>
      <c r="E751" s="37" t="inlineStr">
        <is>
          <t>Infra Check</t>
        </is>
      </c>
      <c r="F751" s="37" t="inlineStr">
        <is>
          <t>Check the status of digital infra — PCs, smartboards, tablets, laptops, etc.</t>
        </is>
      </c>
      <c r="G751" s="37" t="inlineStr">
        <is>
          <t>Need Improvement</t>
        </is>
      </c>
    </row>
    <row r="752">
      <c r="A752" s="37" t="inlineStr">
        <is>
          <t>Gagandeep Singh Sachar</t>
        </is>
      </c>
      <c r="B752" s="37" t="inlineStr">
        <is>
          <t>Vadodara HQHCS</t>
        </is>
      </c>
      <c r="C752" s="37" t="inlineStr">
        <is>
          <t>HQHCS</t>
        </is>
      </c>
      <c r="D752" s="37" t="inlineStr">
        <is>
          <t>2026-07-02</t>
        </is>
      </c>
      <c r="E752" s="37" t="inlineStr">
        <is>
          <t>Infra Check</t>
        </is>
      </c>
      <c r="F752" s="37" t="inlineStr">
        <is>
          <t>Make a quick hostel visit; have lunch there if possible to test the food quality.</t>
        </is>
      </c>
      <c r="G752" s="37" t="inlineStr">
        <is>
          <t>All is Well</t>
        </is>
      </c>
    </row>
    <row r="753">
      <c r="A753" s="37" t="inlineStr">
        <is>
          <t>Gagandeep Singh Sachar</t>
        </is>
      </c>
      <c r="B753" s="37" t="inlineStr">
        <is>
          <t>Vadodara HQHCS</t>
        </is>
      </c>
      <c r="C753" s="37" t="inlineStr">
        <is>
          <t>HQHCS</t>
        </is>
      </c>
      <c r="D753" s="37" t="inlineStr">
        <is>
          <t>2026-07-02</t>
        </is>
      </c>
      <c r="E753" s="37" t="inlineStr">
        <is>
          <t>Process Check</t>
        </is>
      </c>
      <c r="F753" s="37" t="inlineStr">
        <is>
          <t>Refer to the activity planner — check if any activities are delayed.</t>
        </is>
      </c>
      <c r="G753" s="37" t="inlineStr">
        <is>
          <t>Not Applicable</t>
        </is>
      </c>
    </row>
    <row r="754">
      <c r="A754" s="37" t="inlineStr">
        <is>
          <t>Gagandeep Singh Sachar</t>
        </is>
      </c>
      <c r="B754" s="37" t="inlineStr">
        <is>
          <t>Vadodara HQHCS</t>
        </is>
      </c>
      <c r="C754" s="37" t="inlineStr">
        <is>
          <t>HQHCS</t>
        </is>
      </c>
      <c r="D754" s="37" t="inlineStr">
        <is>
          <t>2026-07-02</t>
        </is>
      </c>
      <c r="E754" s="37" t="inlineStr">
        <is>
          <t>Process Check</t>
        </is>
      </c>
      <c r="F754" s="37" t="inlineStr">
        <is>
          <t>Check planning for the next batch-start announcement.</t>
        </is>
      </c>
      <c r="G754" s="37" t="inlineStr">
        <is>
          <t>All is Well</t>
        </is>
      </c>
    </row>
    <row r="755">
      <c r="A755" s="37" t="inlineStr">
        <is>
          <t>Gagandeep Singh Sachar</t>
        </is>
      </c>
      <c r="B755" s="37" t="inlineStr">
        <is>
          <t>Vadodara HQHCS</t>
        </is>
      </c>
      <c r="C755" s="37" t="inlineStr">
        <is>
          <t>HQHCS</t>
        </is>
      </c>
      <c r="D755" s="37" t="inlineStr">
        <is>
          <t>2026-07-02</t>
        </is>
      </c>
      <c r="E755" s="37" t="inlineStr">
        <is>
          <t>Process Check</t>
        </is>
      </c>
      <c r="F755" s="37" t="inlineStr">
        <is>
          <t>Check if any hiring is delayed and plan a resolution.</t>
        </is>
      </c>
      <c r="G755" s="37" t="inlineStr">
        <is>
          <t>All is Well</t>
        </is>
      </c>
    </row>
    <row r="756">
      <c r="A756" s="37" t="inlineStr">
        <is>
          <t>Gagandeep Singh Sachar</t>
        </is>
      </c>
      <c r="B756" s="37" t="inlineStr">
        <is>
          <t>Vadodara HQHCS</t>
        </is>
      </c>
      <c r="C756" s="37" t="inlineStr">
        <is>
          <t>HQHCS</t>
        </is>
      </c>
      <c r="D756" s="37" t="inlineStr">
        <is>
          <t>2026-07-02</t>
        </is>
      </c>
      <c r="E756" s="37" t="inlineStr">
        <is>
          <t>Process Check</t>
        </is>
      </c>
      <c r="F756" s="37" t="inlineStr">
        <is>
          <t>Check the CA’s diary — is CA guided daily by the AH during planning days?</t>
        </is>
      </c>
      <c r="G756" s="37" t="inlineStr">
        <is>
          <t>Need Improvement</t>
        </is>
      </c>
    </row>
    <row r="757">
      <c r="A757" s="37" t="inlineStr">
        <is>
          <t>Gagandeep Singh Sachar</t>
        </is>
      </c>
      <c r="B757" s="37" t="inlineStr">
        <is>
          <t>Vadodara HQHCS</t>
        </is>
      </c>
      <c r="C757" s="37" t="inlineStr">
        <is>
          <t>HQHCS</t>
        </is>
      </c>
      <c r="D757" s="37" t="inlineStr">
        <is>
          <t>2026-07-02</t>
        </is>
      </c>
      <c r="E757" s="37" t="inlineStr">
        <is>
          <t>Process Check</t>
        </is>
      </c>
      <c r="F757" s="37" t="inlineStr">
        <is>
          <t>Check the AH is regularly meeting employers (in person and online) and updating the centre’s Top 20 Employer format.</t>
        </is>
      </c>
      <c r="G757" s="37" t="inlineStr">
        <is>
          <t>Need Improvement</t>
        </is>
      </c>
    </row>
    <row r="758">
      <c r="A758" s="37" t="inlineStr">
        <is>
          <t>Gagandeep Singh Sachar</t>
        </is>
      </c>
      <c r="B758" s="37" t="inlineStr">
        <is>
          <t>Vadodara HQHCS</t>
        </is>
      </c>
      <c r="C758" s="37" t="inlineStr">
        <is>
          <t>HQHCS</t>
        </is>
      </c>
      <c r="D758" s="37" t="inlineStr">
        <is>
          <t>2026-07-02</t>
        </is>
      </c>
      <c r="E758" s="37" t="inlineStr">
        <is>
          <t>Process Check</t>
        </is>
      </c>
      <c r="F758" s="37" t="inlineStr">
        <is>
          <t>Confirm all new employers are registered on portal as per new process.</t>
        </is>
      </c>
      <c r="G758" s="37" t="inlineStr">
        <is>
          <t>All is Well</t>
        </is>
      </c>
    </row>
    <row r="759">
      <c r="A759" s="37" t="inlineStr">
        <is>
          <t>Gagandeep Singh Sachar</t>
        </is>
      </c>
      <c r="B759" s="37" t="inlineStr">
        <is>
          <t>Vadodara HQHCS</t>
        </is>
      </c>
      <c r="C759" s="37" t="inlineStr">
        <is>
          <t>HQHCS</t>
        </is>
      </c>
      <c r="D759" s="37" t="inlineStr">
        <is>
          <t>2026-07-02</t>
        </is>
      </c>
      <c r="E759" s="37" t="inlineStr">
        <is>
          <t>Process Check</t>
        </is>
      </c>
      <c r="F759" s="37" t="inlineStr">
        <is>
          <t>Confirm 100% of enrolled students undergone screening (for technical courses).</t>
        </is>
      </c>
      <c r="G759" s="37" t="inlineStr">
        <is>
          <t>All is Well</t>
        </is>
      </c>
    </row>
    <row r="760">
      <c r="A760" s="37" t="inlineStr">
        <is>
          <t>Gagandeep Singh Sachar</t>
        </is>
      </c>
      <c r="B760" s="37" t="inlineStr">
        <is>
          <t>Vadodara HQHCS</t>
        </is>
      </c>
      <c r="C760" s="37" t="inlineStr">
        <is>
          <t>HQHCS</t>
        </is>
      </c>
      <c r="D760" s="37" t="inlineStr">
        <is>
          <t>2026-07-02</t>
        </is>
      </c>
      <c r="E760" s="37" t="inlineStr">
        <is>
          <t>Process Check</t>
        </is>
      </c>
      <c r="F760" s="37" t="inlineStr">
        <is>
          <t>Confirm ESA is done (in GROW full ESA and in Technical courses relevant sections of Core Employability Part).</t>
        </is>
      </c>
      <c r="G760" s="37" t="inlineStr">
        <is>
          <t>Need Improvement</t>
        </is>
      </c>
    </row>
    <row r="761">
      <c r="A761" s="37" t="inlineStr">
        <is>
          <t>Gagandeep Singh Sachar</t>
        </is>
      </c>
      <c r="B761" s="37" t="inlineStr">
        <is>
          <t>Vadodara HQHCS</t>
        </is>
      </c>
      <c r="C761" s="37" t="inlineStr">
        <is>
          <t>HQHCS</t>
        </is>
      </c>
      <c r="D761" s="37" t="inlineStr">
        <is>
          <t>2026-07-02</t>
        </is>
      </c>
      <c r="E761" s="37" t="inlineStr">
        <is>
          <t>Process Check</t>
        </is>
      </c>
      <c r="F761" s="37" t="inlineStr">
        <is>
          <t>Check is AH giving capstone project in GROW Tech.</t>
        </is>
      </c>
      <c r="G761" s="37" t="inlineStr">
        <is>
          <t>Not Applicable</t>
        </is>
      </c>
    </row>
    <row r="762">
      <c r="A762" s="37" t="inlineStr">
        <is>
          <t>Gagandeep Singh Sachar</t>
        </is>
      </c>
      <c r="B762" s="37" t="inlineStr">
        <is>
          <t>Vadodara HQHCS</t>
        </is>
      </c>
      <c r="C762" s="37" t="inlineStr">
        <is>
          <t>HQHCS</t>
        </is>
      </c>
      <c r="D762" s="37" t="inlineStr">
        <is>
          <t>2026-07-02</t>
        </is>
      </c>
      <c r="E762" s="37" t="inlineStr">
        <is>
          <t>Process Check</t>
        </is>
      </c>
      <c r="F762" s="37" t="inlineStr">
        <is>
          <t>Check is AH planning OJT as per guidelines and proofs are collected for technical courses.</t>
        </is>
      </c>
      <c r="G762" s="37" t="inlineStr">
        <is>
          <t>Need Improvement</t>
        </is>
      </c>
    </row>
    <row r="763">
      <c r="A763" s="37" t="inlineStr">
        <is>
          <t>Gagandeep Singh Sachar</t>
        </is>
      </c>
      <c r="B763" s="37" t="inlineStr">
        <is>
          <t>Vadodara HQHCS</t>
        </is>
      </c>
      <c r="C763" s="37" t="inlineStr">
        <is>
          <t>HQHCS</t>
        </is>
      </c>
      <c r="D763" s="37" t="inlineStr">
        <is>
          <t>2026-07-02</t>
        </is>
      </c>
      <c r="E763" s="37" t="inlineStr">
        <is>
          <t>Process Check</t>
        </is>
      </c>
      <c r="F763" s="37" t="inlineStr">
        <is>
          <t>Check are trainers contacting aspirants to find reason for their absenteeism of more than 1 day.</t>
        </is>
      </c>
      <c r="G763" s="37" t="inlineStr">
        <is>
          <t>All is Well</t>
        </is>
      </c>
    </row>
    <row r="764">
      <c r="A764" s="37" t="inlineStr">
        <is>
          <t>Gagandeep Singh Sachar</t>
        </is>
      </c>
      <c r="B764" s="37" t="inlineStr">
        <is>
          <t>Vadodara HQHCS</t>
        </is>
      </c>
      <c r="C764" s="37" t="inlineStr">
        <is>
          <t>HQHCS</t>
        </is>
      </c>
      <c r="D764" s="37" t="inlineStr">
        <is>
          <t>2026-07-02</t>
        </is>
      </c>
      <c r="E764" s="37" t="inlineStr">
        <is>
          <t>Process Check</t>
        </is>
      </c>
      <c r="F764" s="37" t="inlineStr">
        <is>
          <t>Check the AH plans monthly enrolment and placement numbers by the 3rd of each month and shares them with second level managers.</t>
        </is>
      </c>
      <c r="G764" s="37" t="inlineStr">
        <is>
          <t>All is Well</t>
        </is>
      </c>
    </row>
    <row r="765">
      <c r="A765" s="37" t="inlineStr">
        <is>
          <t>Gagandeep Singh Sachar</t>
        </is>
      </c>
      <c r="B765" s="37" t="inlineStr">
        <is>
          <t>Vadodara HQHCS</t>
        </is>
      </c>
      <c r="C765" s="37" t="inlineStr">
        <is>
          <t>HQHCS</t>
        </is>
      </c>
      <c r="D765" s="37" t="inlineStr">
        <is>
          <t>2026-07-02</t>
        </is>
      </c>
      <c r="E765" s="37" t="inlineStr">
        <is>
          <t>Process Check</t>
        </is>
      </c>
      <c r="F765" s="37" t="inlineStr">
        <is>
          <t>Check trainers submit aspirants’ placement interest areas to the AH by the batch’s 25th day (in GROW).</t>
        </is>
      </c>
      <c r="G765" s="37" t="inlineStr">
        <is>
          <t>Not Applicable</t>
        </is>
      </c>
    </row>
    <row r="766">
      <c r="A766" s="37" t="inlineStr">
        <is>
          <t>Gagandeep Singh Sachar</t>
        </is>
      </c>
      <c r="B766" s="37" t="inlineStr">
        <is>
          <t>Vadodara HQHCS</t>
        </is>
      </c>
      <c r="C766" s="37" t="inlineStr">
        <is>
          <t>HQHCS</t>
        </is>
      </c>
      <c r="D766" s="37" t="inlineStr">
        <is>
          <t>2026-07-02</t>
        </is>
      </c>
      <c r="E766" s="37" t="inlineStr">
        <is>
          <t>Process Check</t>
        </is>
      </c>
      <c r="F766" s="37" t="inlineStr">
        <is>
          <t>Ckeck For technical programs, placement is done only in technical jobs,on which aspirants are trained and relevant emplyers are identified by 45th day.</t>
        </is>
      </c>
      <c r="G766" s="37" t="inlineStr">
        <is>
          <t>All is Well</t>
        </is>
      </c>
    </row>
    <row r="767">
      <c r="A767" s="37" t="inlineStr">
        <is>
          <t>Gagandeep Singh Sachar</t>
        </is>
      </c>
      <c r="B767" s="37" t="inlineStr">
        <is>
          <t>Vadodara HQHCS</t>
        </is>
      </c>
      <c r="C767" s="37" t="inlineStr">
        <is>
          <t>HQHCS</t>
        </is>
      </c>
      <c r="D767" s="37" t="inlineStr">
        <is>
          <t>2026-07-02</t>
        </is>
      </c>
      <c r="E767" s="37" t="inlineStr">
        <is>
          <t>Process Check</t>
        </is>
      </c>
      <c r="F767" s="37" t="inlineStr">
        <is>
          <t>Check the AH follows EP guidelines and minimum benchmark salary guidelines.</t>
        </is>
      </c>
      <c r="G767" s="37" t="inlineStr">
        <is>
          <t>All is Well</t>
        </is>
      </c>
    </row>
    <row r="768">
      <c r="A768" s="37" t="inlineStr">
        <is>
          <t>Gagandeep Singh Sachar</t>
        </is>
      </c>
      <c r="B768" s="37" t="inlineStr">
        <is>
          <t>Vadodara HQHCS</t>
        </is>
      </c>
      <c r="C768" s="37" t="inlineStr">
        <is>
          <t>HQHCS</t>
        </is>
      </c>
      <c r="D768" s="37" t="inlineStr">
        <is>
          <t>2026-07-02</t>
        </is>
      </c>
      <c r="E768" s="37" t="inlineStr">
        <is>
          <t>Process Check</t>
        </is>
      </c>
      <c r="F768" s="37" t="inlineStr">
        <is>
          <t>Check that AH is enrolling only the right traget group in the program -as per the defined target.</t>
        </is>
      </c>
      <c r="G768" s="37" t="inlineStr">
        <is>
          <t>All is Well</t>
        </is>
      </c>
    </row>
    <row r="769">
      <c r="A769" s="37" t="inlineStr">
        <is>
          <t>Gagandeep Singh Sachar</t>
        </is>
      </c>
      <c r="B769" s="37" t="inlineStr">
        <is>
          <t>Vadodara HQHCS</t>
        </is>
      </c>
      <c r="C769" s="37" t="inlineStr">
        <is>
          <t>HQHCS</t>
        </is>
      </c>
      <c r="D769" s="37" t="inlineStr">
        <is>
          <t>2026-07-02</t>
        </is>
      </c>
      <c r="E769" s="37" t="inlineStr">
        <is>
          <t>Process Check</t>
        </is>
      </c>
      <c r="F769" s="37" t="inlineStr">
        <is>
          <t>Check the AH announces the next batch-start date by the 3rd of the month on all notice boards — focus on Zero-Day start.</t>
        </is>
      </c>
      <c r="G769" s="37" t="inlineStr">
        <is>
          <t>All is Well</t>
        </is>
      </c>
    </row>
    <row r="770">
      <c r="A770" s="37" t="inlineStr">
        <is>
          <t>Gagandeep Singh Sachar</t>
        </is>
      </c>
      <c r="B770" s="37" t="inlineStr">
        <is>
          <t>Vadodara HQHCS</t>
        </is>
      </c>
      <c r="C770" s="37" t="inlineStr">
        <is>
          <t>HQHCS</t>
        </is>
      </c>
      <c r="D770" s="37" t="inlineStr">
        <is>
          <t>2026-07-02</t>
        </is>
      </c>
      <c r="E770" s="37" t="inlineStr">
        <is>
          <t>Process Check</t>
        </is>
      </c>
      <c r="F770" s="37" t="inlineStr">
        <is>
          <t>Check the Aspirant Mock Interview Score Tracker is updated after every mock interview in the L&amp;D Google Sheet.</t>
        </is>
      </c>
      <c r="G770" s="37" t="inlineStr">
        <is>
          <t>Need Improvement</t>
        </is>
      </c>
    </row>
    <row r="771">
      <c r="A771" s="37" t="inlineStr">
        <is>
          <t>Gagandeep Singh Sachar</t>
        </is>
      </c>
      <c r="B771" s="37" t="inlineStr">
        <is>
          <t>Vadodara HQHCS</t>
        </is>
      </c>
      <c r="C771" s="37" t="inlineStr">
        <is>
          <t>HQHCS</t>
        </is>
      </c>
      <c r="D771" s="37" t="inlineStr">
        <is>
          <t>2026-07-02</t>
        </is>
      </c>
      <c r="E771" s="37" t="inlineStr">
        <is>
          <t>Process Check</t>
        </is>
      </c>
      <c r="F771" s="37" t="inlineStr">
        <is>
          <t>Confirm NPS (Net Promoter Score) is collected at MSDF centres.</t>
        </is>
      </c>
      <c r="G771" s="37" t="inlineStr">
        <is>
          <t>Not Applicable</t>
        </is>
      </c>
    </row>
    <row r="772">
      <c r="A772" s="37" t="inlineStr">
        <is>
          <t>Gagandeep Singh Sachar</t>
        </is>
      </c>
      <c r="B772" s="37" t="inlineStr">
        <is>
          <t>Vadodara HQHCS</t>
        </is>
      </c>
      <c r="C772" s="37" t="inlineStr">
        <is>
          <t>HQHCS</t>
        </is>
      </c>
      <c r="D772" s="37" t="inlineStr">
        <is>
          <t>2026-07-02</t>
        </is>
      </c>
      <c r="E772" s="37" t="inlineStr">
        <is>
          <t>Process Check</t>
        </is>
      </c>
      <c r="F772" s="37" t="inlineStr">
        <is>
          <t>Confirm that QAE is collecting student feedback for every batch.</t>
        </is>
      </c>
      <c r="G772" s="37" t="inlineStr">
        <is>
          <t>Not Applicable</t>
        </is>
      </c>
    </row>
    <row r="773">
      <c r="A773" s="37" t="inlineStr">
        <is>
          <t>Gagandeep Singh Sachar</t>
        </is>
      </c>
      <c r="B773" s="37" t="inlineStr">
        <is>
          <t>Vadodara HQHCS</t>
        </is>
      </c>
      <c r="C773" s="37" t="inlineStr">
        <is>
          <t>HQHCS</t>
        </is>
      </c>
      <c r="D773" s="37" t="inlineStr">
        <is>
          <t>2026-07-02</t>
        </is>
      </c>
      <c r="E773" s="37" t="inlineStr">
        <is>
          <t>Process Check</t>
        </is>
      </c>
      <c r="F773" s="37" t="inlineStr">
        <is>
          <t>Confirm all centre teams have completed the GROW Manual Course on Skillfy — ask for achievement certificates.</t>
        </is>
      </c>
      <c r="G773" s="37" t="inlineStr">
        <is>
          <t>All is Well</t>
        </is>
      </c>
    </row>
    <row r="774">
      <c r="A774" s="37" t="inlineStr">
        <is>
          <t>Gagandeep Singh Sachar</t>
        </is>
      </c>
      <c r="B774" s="37" t="inlineStr">
        <is>
          <t>Vadodara HQHCS</t>
        </is>
      </c>
      <c r="C774" s="37" t="inlineStr">
        <is>
          <t>HQHCS</t>
        </is>
      </c>
      <c r="D774" s="37" t="inlineStr">
        <is>
          <t>2026-07-02</t>
        </is>
      </c>
      <c r="E774" s="37" t="inlineStr">
        <is>
          <t>Process Check</t>
        </is>
      </c>
      <c r="F774" s="37" t="inlineStr">
        <is>
          <t>Check AH holds a quality weekly team meeting, documents action points in the weekly meeting format, and sends you a photo on WhatsApp.</t>
        </is>
      </c>
      <c r="G774" s="37" t="inlineStr">
        <is>
          <t>Need Improvement</t>
        </is>
      </c>
    </row>
    <row r="775">
      <c r="A775" s="37" t="inlineStr">
        <is>
          <t>Gagandeep Singh Sachar</t>
        </is>
      </c>
      <c r="B775" s="37" t="inlineStr">
        <is>
          <t>Vadodara HQHCS</t>
        </is>
      </c>
      <c r="C775" s="37" t="inlineStr">
        <is>
          <t>HQHCS</t>
        </is>
      </c>
      <c r="D775" s="37" t="inlineStr">
        <is>
          <t>2026-07-02</t>
        </is>
      </c>
      <c r="E775" s="37" t="inlineStr">
        <is>
          <t>Aspirant Interaction</t>
        </is>
      </c>
      <c r="F775" s="37" t="inlineStr">
        <is>
          <t>Ask aspirants about the session plan — confirm training is happening as planned?</t>
        </is>
      </c>
      <c r="G775" s="37" t="inlineStr">
        <is>
          <t>Need Improvement</t>
        </is>
      </c>
    </row>
    <row r="776">
      <c r="A776" s="37" t="inlineStr">
        <is>
          <t>Gagandeep Singh Sachar</t>
        </is>
      </c>
      <c r="B776" s="37" t="inlineStr">
        <is>
          <t>Vadodara HQHCS</t>
        </is>
      </c>
      <c r="C776" s="37" t="inlineStr">
        <is>
          <t>HQHCS</t>
        </is>
      </c>
      <c r="D776" s="37" t="inlineStr">
        <is>
          <t>2026-07-02</t>
        </is>
      </c>
      <c r="E776" s="37" t="inlineStr">
        <is>
          <t>Aspirant Interaction</t>
        </is>
      </c>
      <c r="F776" s="37" t="inlineStr">
        <is>
          <t>Ask about the quality of Core Employability component delivery (technical centres) and who delivers it.</t>
        </is>
      </c>
      <c r="G776" s="37" t="inlineStr">
        <is>
          <t>All is Well</t>
        </is>
      </c>
    </row>
    <row r="777">
      <c r="A777" s="37" t="inlineStr">
        <is>
          <t>Gagandeep Singh Sachar</t>
        </is>
      </c>
      <c r="B777" s="37" t="inlineStr">
        <is>
          <t>Vadodara HQHCS</t>
        </is>
      </c>
      <c r="C777" s="37" t="inlineStr">
        <is>
          <t>HQHCS</t>
        </is>
      </c>
      <c r="D777" s="37" t="inlineStr">
        <is>
          <t>2026-07-02</t>
        </is>
      </c>
      <c r="E777" s="37" t="inlineStr">
        <is>
          <t>Aspirant Interaction</t>
        </is>
      </c>
      <c r="F777" s="37" t="inlineStr">
        <is>
          <t>Ask whether they are aware of the referral scheme?</t>
        </is>
      </c>
      <c r="G777" s="37" t="inlineStr">
        <is>
          <t>All is Well</t>
        </is>
      </c>
    </row>
    <row r="778">
      <c r="A778" s="37" t="inlineStr">
        <is>
          <t>Gagandeep Singh Sachar</t>
        </is>
      </c>
      <c r="B778" s="37" t="inlineStr">
        <is>
          <t>Vadodara HQHCS</t>
        </is>
      </c>
      <c r="C778" s="37" t="inlineStr">
        <is>
          <t>HQHCS</t>
        </is>
      </c>
      <c r="D778" s="37" t="inlineStr">
        <is>
          <t>2026-07-02</t>
        </is>
      </c>
      <c r="E778" s="37" t="inlineStr">
        <is>
          <t>Aspirant Interaction</t>
        </is>
      </c>
      <c r="F778" s="37" t="inlineStr">
        <is>
          <t>Ask whether the AH explained the importance of the offer letter and sharing it with us once received for reporting purposes?</t>
        </is>
      </c>
      <c r="G778" s="37" t="inlineStr">
        <is>
          <t>All is Well</t>
        </is>
      </c>
    </row>
    <row r="779">
      <c r="A779" s="37" t="inlineStr">
        <is>
          <t>Gagandeep Singh Sachar</t>
        </is>
      </c>
      <c r="B779" s="37" t="inlineStr">
        <is>
          <t>Vadodara HQHCS</t>
        </is>
      </c>
      <c r="C779" s="37" t="inlineStr">
        <is>
          <t>HQHCS</t>
        </is>
      </c>
      <c r="D779" s="37" t="inlineStr">
        <is>
          <t>2026-07-02</t>
        </is>
      </c>
      <c r="E779" s="37" t="inlineStr">
        <is>
          <t>Aspirant Interaction</t>
        </is>
      </c>
      <c r="F779" s="37" t="inlineStr">
        <is>
          <t>Ask how many are not interested in jobs — and if so, why they enrolled in the programme?</t>
        </is>
      </c>
      <c r="G779" s="37" t="inlineStr">
        <is>
          <t>All is Well</t>
        </is>
      </c>
    </row>
    <row r="780">
      <c r="A780" s="37" t="inlineStr">
        <is>
          <t>Gagandeep Singh Sachar</t>
        </is>
      </c>
      <c r="B780" s="37" t="inlineStr">
        <is>
          <t>Vadodara HQHCS</t>
        </is>
      </c>
      <c r="C780" s="37" t="inlineStr">
        <is>
          <t>HQHCS</t>
        </is>
      </c>
      <c r="D780" s="37" t="inlineStr">
        <is>
          <t>2026-07-02</t>
        </is>
      </c>
      <c r="E780" s="37" t="inlineStr">
        <is>
          <t>Aspirant Interaction</t>
        </is>
      </c>
      <c r="F780" s="37" t="inlineStr">
        <is>
          <t>Ask whether they were told the kind of job they would get during counselling?</t>
        </is>
      </c>
      <c r="G780" s="37" t="inlineStr">
        <is>
          <t>All is Well</t>
        </is>
      </c>
    </row>
    <row r="781">
      <c r="A781" s="37" t="inlineStr">
        <is>
          <t>Gagandeep Singh Sachar</t>
        </is>
      </c>
      <c r="B781" s="37" t="inlineStr">
        <is>
          <t>Vadodara HQHCS</t>
        </is>
      </c>
      <c r="C781" s="37" t="inlineStr">
        <is>
          <t>HQHCS</t>
        </is>
      </c>
      <c r="D781" s="37" t="inlineStr">
        <is>
          <t>2026-07-02</t>
        </is>
      </c>
      <c r="E781" s="37" t="inlineStr">
        <is>
          <t>Aspirant Interaction</t>
        </is>
      </c>
      <c r="F781" s="37" t="inlineStr">
        <is>
          <t>Ask whether they have been given LMS access?</t>
        </is>
      </c>
      <c r="G781" s="37" t="inlineStr">
        <is>
          <t>All is Well</t>
        </is>
      </c>
    </row>
    <row r="782">
      <c r="A782" s="37" t="inlineStr">
        <is>
          <t>Gagandeep Singh Sachar</t>
        </is>
      </c>
      <c r="B782" s="37" t="inlineStr">
        <is>
          <t>Vadodara HQHCS</t>
        </is>
      </c>
      <c r="C782" s="37" t="inlineStr">
        <is>
          <t>HQHCS</t>
        </is>
      </c>
      <c r="D782" s="37" t="inlineStr">
        <is>
          <t>2026-07-02</t>
        </is>
      </c>
      <c r="E782" s="37" t="inlineStr">
        <is>
          <t>Aspirant Interaction</t>
        </is>
      </c>
      <c r="F782" s="37" t="inlineStr">
        <is>
          <t>Ask whether anyone asked them for money for training or placement?</t>
        </is>
      </c>
      <c r="G782" s="37" t="inlineStr">
        <is>
          <t>All is Well</t>
        </is>
      </c>
    </row>
    <row r="783">
      <c r="A783" s="37" t="inlineStr">
        <is>
          <t>Gagandeep Singh Sachar</t>
        </is>
      </c>
      <c r="B783" s="37" t="inlineStr">
        <is>
          <t>Vadodara HQHCS</t>
        </is>
      </c>
      <c r="C783" s="37" t="inlineStr">
        <is>
          <t>HQHCS</t>
        </is>
      </c>
      <c r="D783" s="37" t="inlineStr">
        <is>
          <t>2026-07-02</t>
        </is>
      </c>
      <c r="E783" s="37" t="inlineStr">
        <is>
          <t>Aspirant Interaction</t>
        </is>
      </c>
      <c r="F783" s="37" t="inlineStr">
        <is>
          <t>Ask to show their mobile phones — are they enrolled on Skillfy? If not, get them enrolled and give written feedback to trainers and the AH in your presence.</t>
        </is>
      </c>
      <c r="G783" s="37" t="inlineStr">
        <is>
          <t>Need Improvement</t>
        </is>
      </c>
    </row>
    <row r="784">
      <c r="A784" s="37" t="inlineStr">
        <is>
          <t>Gagandeep Singh Sachar</t>
        </is>
      </c>
      <c r="B784" s="37" t="inlineStr">
        <is>
          <t>Vadodara HQHCS</t>
        </is>
      </c>
      <c r="C784" s="37" t="inlineStr">
        <is>
          <t>HQHCS</t>
        </is>
      </c>
      <c r="D784" s="37" t="inlineStr">
        <is>
          <t>2026-07-02</t>
        </is>
      </c>
      <c r="E784" s="37" t="inlineStr">
        <is>
          <t>Aspirant Interaction</t>
        </is>
      </c>
      <c r="F784" s="37" t="inlineStr">
        <is>
          <t>Ask about the quality of the hostel and any issues they face.</t>
        </is>
      </c>
      <c r="G784" s="37" t="inlineStr">
        <is>
          <t>All is Well</t>
        </is>
      </c>
    </row>
    <row r="785">
      <c r="A785" s="37" t="inlineStr">
        <is>
          <t>Gagandeep Singh Sachar</t>
        </is>
      </c>
      <c r="B785" s="37" t="inlineStr">
        <is>
          <t>Vadodara HQHCS</t>
        </is>
      </c>
      <c r="C785" s="37" t="inlineStr">
        <is>
          <t>HQHCS</t>
        </is>
      </c>
      <c r="D785" s="37" t="inlineStr">
        <is>
          <t>2026-07-02</t>
        </is>
      </c>
      <c r="E785" s="37" t="inlineStr">
        <is>
          <t>Aspirant Interaction</t>
        </is>
      </c>
      <c r="F785" s="37" t="inlineStr">
        <is>
          <t>Ask a few relevant screening questions to support the 10th-day report and remove non-serious candidates, explaining to them the reasons.</t>
        </is>
      </c>
      <c r="G785" s="37" t="inlineStr">
        <is>
          <t>Not Applicable</t>
        </is>
      </c>
    </row>
    <row r="786">
      <c r="A786" s="37" t="inlineStr">
        <is>
          <t>Gagandeep Singh Sachar</t>
        </is>
      </c>
      <c r="B786" s="37" t="inlineStr">
        <is>
          <t>Vasai</t>
        </is>
      </c>
      <c r="C786" s="37" t="inlineStr">
        <is>
          <t>Grow youth</t>
        </is>
      </c>
      <c r="D786" s="37" t="inlineStr">
        <is>
          <t>2026-07-13</t>
        </is>
      </c>
      <c r="E786" s="37" t="inlineStr">
        <is>
          <t>Data Check</t>
        </is>
      </c>
      <c r="F786" s="37" t="inlineStr">
        <is>
          <t>Reach the centre on time (unannounced) — confirm the centre opened on time.</t>
        </is>
      </c>
      <c r="G786" s="37" t="inlineStr">
        <is>
          <t>Need Improvement</t>
        </is>
      </c>
    </row>
    <row r="787">
      <c r="A787" s="37" t="inlineStr">
        <is>
          <t>Gagandeep Singh Sachar</t>
        </is>
      </c>
      <c r="B787" s="37" t="inlineStr">
        <is>
          <t>Vasai</t>
        </is>
      </c>
      <c r="C787" s="37" t="inlineStr">
        <is>
          <t>Grow youth</t>
        </is>
      </c>
      <c r="D787" s="37" t="inlineStr">
        <is>
          <t>2026-07-13</t>
        </is>
      </c>
      <c r="E787" s="37" t="inlineStr">
        <is>
          <t>Data Check</t>
        </is>
      </c>
      <c r="F787" s="37" t="inlineStr">
        <is>
          <t>Check the staff attendance register, the Google Sheet, and geo-tagged photos for aspirants.</t>
        </is>
      </c>
      <c r="G787" s="37" t="inlineStr">
        <is>
          <t>All is Well</t>
        </is>
      </c>
    </row>
    <row r="788">
      <c r="A788" s="37" t="inlineStr">
        <is>
          <t>Gagandeep Singh Sachar</t>
        </is>
      </c>
      <c r="B788" s="37" t="inlineStr">
        <is>
          <t>Vasai</t>
        </is>
      </c>
      <c r="C788" s="37" t="inlineStr">
        <is>
          <t>Grow youth</t>
        </is>
      </c>
      <c r="D788" s="37" t="inlineStr">
        <is>
          <t>2026-07-13</t>
        </is>
      </c>
      <c r="E788" s="37" t="inlineStr">
        <is>
          <t>Data Check</t>
        </is>
      </c>
      <c r="F788" s="37" t="inlineStr">
        <is>
          <t>Check Counselling and Screening Forms of recently started batches.</t>
        </is>
      </c>
      <c r="G788" s="37" t="inlineStr">
        <is>
          <t>All is Well</t>
        </is>
      </c>
    </row>
    <row r="789">
      <c r="A789" s="37" t="inlineStr">
        <is>
          <t>Gagandeep Singh Sachar</t>
        </is>
      </c>
      <c r="B789" s="37" t="inlineStr">
        <is>
          <t>Vasai</t>
        </is>
      </c>
      <c r="C789" s="37" t="inlineStr">
        <is>
          <t>Grow youth</t>
        </is>
      </c>
      <c r="D789" s="37" t="inlineStr">
        <is>
          <t>2026-07-13</t>
        </is>
      </c>
      <c r="E789" s="37" t="inlineStr">
        <is>
          <t>Data Check</t>
        </is>
      </c>
      <c r="F789" s="37" t="inlineStr">
        <is>
          <t>Check Aspirant Registration Forms and related documents.</t>
        </is>
      </c>
      <c r="G789" s="37" t="inlineStr">
        <is>
          <t>All is Well</t>
        </is>
      </c>
    </row>
    <row r="790">
      <c r="A790" s="37" t="inlineStr">
        <is>
          <t>Gagandeep Singh Sachar</t>
        </is>
      </c>
      <c r="B790" s="37" t="inlineStr">
        <is>
          <t>Vasai</t>
        </is>
      </c>
      <c r="C790" s="37" t="inlineStr">
        <is>
          <t>Grow youth</t>
        </is>
      </c>
      <c r="D790" s="37" t="inlineStr">
        <is>
          <t>2026-07-13</t>
        </is>
      </c>
      <c r="E790" s="37" t="inlineStr">
        <is>
          <t>Data Check</t>
        </is>
      </c>
      <c r="F790" s="37" t="inlineStr">
        <is>
          <t>On the GROW portal, confirm all student profile details and batch updates are currect.</t>
        </is>
      </c>
      <c r="G790" s="37" t="inlineStr">
        <is>
          <t>All is Well</t>
        </is>
      </c>
    </row>
    <row r="791">
      <c r="A791" s="37" t="inlineStr">
        <is>
          <t>Gagandeep Singh Sachar</t>
        </is>
      </c>
      <c r="B791" s="37" t="inlineStr">
        <is>
          <t>Vasai</t>
        </is>
      </c>
      <c r="C791" s="37" t="inlineStr">
        <is>
          <t>Grow youth</t>
        </is>
      </c>
      <c r="D791" s="37" t="inlineStr">
        <is>
          <t>2026-07-13</t>
        </is>
      </c>
      <c r="E791" s="37" t="inlineStr">
        <is>
          <t>Data Check</t>
        </is>
      </c>
      <c r="F791" s="37" t="inlineStr">
        <is>
          <t>Verify placement data — randomly call 3–4 alumni placed in the last 3 months to confirm veracity (random selection is essential).</t>
        </is>
      </c>
      <c r="G791" s="37" t="inlineStr">
        <is>
          <t>All is Well</t>
        </is>
      </c>
    </row>
    <row r="792">
      <c r="A792" s="37" t="inlineStr">
        <is>
          <t>Gagandeep Singh Sachar</t>
        </is>
      </c>
      <c r="B792" s="37" t="inlineStr">
        <is>
          <t>Vasai</t>
        </is>
      </c>
      <c r="C792" s="37" t="inlineStr">
        <is>
          <t>Grow youth</t>
        </is>
      </c>
      <c r="D792" s="37" t="inlineStr">
        <is>
          <t>2026-07-13</t>
        </is>
      </c>
      <c r="E792" s="37" t="inlineStr">
        <is>
          <t>Data Check</t>
        </is>
      </c>
      <c r="F792" s="37" t="inlineStr">
        <is>
          <t>Verify retention — check the Alumni Hand-holding Format is being updated as designed.</t>
        </is>
      </c>
      <c r="G792" s="37" t="inlineStr">
        <is>
          <t>Need Improvement</t>
        </is>
      </c>
    </row>
    <row r="793">
      <c r="A793" s="37" t="inlineStr">
        <is>
          <t>Gagandeep Singh Sachar</t>
        </is>
      </c>
      <c r="B793" s="37" t="inlineStr">
        <is>
          <t>Vasai</t>
        </is>
      </c>
      <c r="C793" s="37" t="inlineStr">
        <is>
          <t>Grow youth</t>
        </is>
      </c>
      <c r="D793" s="37" t="inlineStr">
        <is>
          <t>2026-07-13</t>
        </is>
      </c>
      <c r="E793" s="37" t="inlineStr">
        <is>
          <t>Data Check</t>
        </is>
      </c>
      <c r="F793" s="37" t="inlineStr">
        <is>
          <t>Check aspirant Hostel Forms are properly filled or not.</t>
        </is>
      </c>
      <c r="G793" s="37" t="inlineStr">
        <is>
          <t>Not Applicable</t>
        </is>
      </c>
    </row>
    <row r="794">
      <c r="A794" s="37" t="inlineStr">
        <is>
          <t>Gagandeep Singh Sachar</t>
        </is>
      </c>
      <c r="B794" s="37" t="inlineStr">
        <is>
          <t>Vasai</t>
        </is>
      </c>
      <c r="C794" s="37" t="inlineStr">
        <is>
          <t>Grow youth</t>
        </is>
      </c>
      <c r="D794" s="37" t="inlineStr">
        <is>
          <t>2026-07-13</t>
        </is>
      </c>
      <c r="E794" s="37" t="inlineStr">
        <is>
          <t>Infra Check</t>
        </is>
      </c>
      <c r="F794" s="37" t="inlineStr">
        <is>
          <t>Check all CCTV cameras; if any are not working, ask the AH to troubleshoot or call the vendor.</t>
        </is>
      </c>
      <c r="G794" s="37" t="inlineStr">
        <is>
          <t>All is Well</t>
        </is>
      </c>
    </row>
    <row r="795">
      <c r="A795" s="37" t="inlineStr">
        <is>
          <t>Gagandeep Singh Sachar</t>
        </is>
      </c>
      <c r="B795" s="37" t="inlineStr">
        <is>
          <t>Vasai</t>
        </is>
      </c>
      <c r="C795" s="37" t="inlineStr">
        <is>
          <t>Grow youth</t>
        </is>
      </c>
      <c r="D795" s="37" t="inlineStr">
        <is>
          <t>2026-07-13</t>
        </is>
      </c>
      <c r="E795" s="37" t="inlineStr">
        <is>
          <t>Infra Check</t>
        </is>
      </c>
      <c r="F795" s="37" t="inlineStr">
        <is>
          <t>Check for any scrap material and get it cleared, with support of Admin</t>
        </is>
      </c>
      <c r="G795" s="37" t="inlineStr">
        <is>
          <t>All is Well</t>
        </is>
      </c>
    </row>
    <row r="796">
      <c r="A796" s="37" t="inlineStr">
        <is>
          <t>Gagandeep Singh Sachar</t>
        </is>
      </c>
      <c r="B796" s="37" t="inlineStr">
        <is>
          <t>Vasai</t>
        </is>
      </c>
      <c r="C796" s="37" t="inlineStr">
        <is>
          <t>Grow youth</t>
        </is>
      </c>
      <c r="D796" s="37" t="inlineStr">
        <is>
          <t>2026-07-13</t>
        </is>
      </c>
      <c r="E796" s="37" t="inlineStr">
        <is>
          <t>Infra Check</t>
        </is>
      </c>
      <c r="F796" s="37" t="inlineStr">
        <is>
          <t>Check for any pending infra repairs.</t>
        </is>
      </c>
      <c r="G796" s="37" t="inlineStr">
        <is>
          <t>All is Well</t>
        </is>
      </c>
    </row>
    <row r="797">
      <c r="A797" s="37" t="inlineStr">
        <is>
          <t>Gagandeep Singh Sachar</t>
        </is>
      </c>
      <c r="B797" s="37" t="inlineStr">
        <is>
          <t>Vasai</t>
        </is>
      </c>
      <c r="C797" s="37" t="inlineStr">
        <is>
          <t>Grow youth</t>
        </is>
      </c>
      <c r="D797" s="37" t="inlineStr">
        <is>
          <t>2026-07-13</t>
        </is>
      </c>
      <c r="E797" s="37" t="inlineStr">
        <is>
          <t>Infra Check</t>
        </is>
      </c>
      <c r="F797" s="37" t="inlineStr">
        <is>
          <t>Check whether any fire extinguishers have expired (check the needle and expiry date both).</t>
        </is>
      </c>
      <c r="G797" s="37" t="inlineStr">
        <is>
          <t>All is Well</t>
        </is>
      </c>
    </row>
    <row r="798">
      <c r="A798" s="37" t="inlineStr">
        <is>
          <t>Gagandeep Singh Sachar</t>
        </is>
      </c>
      <c r="B798" s="37" t="inlineStr">
        <is>
          <t>Vasai</t>
        </is>
      </c>
      <c r="C798" s="37" t="inlineStr">
        <is>
          <t>Grow youth</t>
        </is>
      </c>
      <c r="D798" s="37" t="inlineStr">
        <is>
          <t>2026-07-13</t>
        </is>
      </c>
      <c r="E798" s="37" t="inlineStr">
        <is>
          <t>Infra Check</t>
        </is>
      </c>
      <c r="F798" s="37" t="inlineStr">
        <is>
          <t>Check basic cleanliness of the washrooms and the centre.</t>
        </is>
      </c>
      <c r="G798" s="37" t="inlineStr">
        <is>
          <t>All is Well</t>
        </is>
      </c>
    </row>
    <row r="799">
      <c r="A799" s="37" t="inlineStr">
        <is>
          <t>Gagandeep Singh Sachar</t>
        </is>
      </c>
      <c r="B799" s="37" t="inlineStr">
        <is>
          <t>Vasai</t>
        </is>
      </c>
      <c r="C799" s="37" t="inlineStr">
        <is>
          <t>Grow youth</t>
        </is>
      </c>
      <c r="D799" s="37" t="inlineStr">
        <is>
          <t>2026-07-13</t>
        </is>
      </c>
      <c r="E799" s="37" t="inlineStr">
        <is>
          <t>Infra Check</t>
        </is>
      </c>
      <c r="F799" s="37" t="inlineStr">
        <is>
          <t>Confirm the correct program and partner logos are displayed.</t>
        </is>
      </c>
      <c r="G799" s="37" t="inlineStr">
        <is>
          <t>All is Well</t>
        </is>
      </c>
    </row>
    <row r="800">
      <c r="A800" s="37" t="inlineStr">
        <is>
          <t>Gagandeep Singh Sachar</t>
        </is>
      </c>
      <c r="B800" s="37" t="inlineStr">
        <is>
          <t>Vasai</t>
        </is>
      </c>
      <c r="C800" s="37" t="inlineStr">
        <is>
          <t>Grow youth</t>
        </is>
      </c>
      <c r="D800" s="37" t="inlineStr">
        <is>
          <t>2026-07-13</t>
        </is>
      </c>
      <c r="E800" s="37" t="inlineStr">
        <is>
          <t>Infra Check</t>
        </is>
      </c>
      <c r="F800" s="37" t="inlineStr">
        <is>
          <t>Check the status of digital infra — PCs, smartboards, tablets, laptops, etc.</t>
        </is>
      </c>
      <c r="G800" s="37" t="inlineStr">
        <is>
          <t>All is Well</t>
        </is>
      </c>
    </row>
    <row r="801">
      <c r="A801" s="37" t="inlineStr">
        <is>
          <t>Gagandeep Singh Sachar</t>
        </is>
      </c>
      <c r="B801" s="37" t="inlineStr">
        <is>
          <t>Vasai</t>
        </is>
      </c>
      <c r="C801" s="37" t="inlineStr">
        <is>
          <t>Grow youth</t>
        </is>
      </c>
      <c r="D801" s="37" t="inlineStr">
        <is>
          <t>2026-07-13</t>
        </is>
      </c>
      <c r="E801" s="37" t="inlineStr">
        <is>
          <t>Infra Check</t>
        </is>
      </c>
      <c r="F801" s="37" t="inlineStr">
        <is>
          <t>Make a quick hostel visit; have lunch there if possible to test the food quality.</t>
        </is>
      </c>
      <c r="G801" s="37" t="inlineStr">
        <is>
          <t>Not Applicable</t>
        </is>
      </c>
    </row>
    <row r="802">
      <c r="A802" s="37" t="inlineStr">
        <is>
          <t>Gagandeep Singh Sachar</t>
        </is>
      </c>
      <c r="B802" s="37" t="inlineStr">
        <is>
          <t>Vasai</t>
        </is>
      </c>
      <c r="C802" s="37" t="inlineStr">
        <is>
          <t>Grow youth</t>
        </is>
      </c>
      <c r="D802" s="37" t="inlineStr">
        <is>
          <t>2026-07-13</t>
        </is>
      </c>
      <c r="E802" s="37" t="inlineStr">
        <is>
          <t>Process Check</t>
        </is>
      </c>
      <c r="F802" s="37" t="inlineStr">
        <is>
          <t>Refer to the activity planner — check if any activities are delayed.</t>
        </is>
      </c>
      <c r="G802" s="37" t="inlineStr">
        <is>
          <t>Not Applicable</t>
        </is>
      </c>
    </row>
    <row r="803">
      <c r="A803" s="37" t="inlineStr">
        <is>
          <t>Gagandeep Singh Sachar</t>
        </is>
      </c>
      <c r="B803" s="37" t="inlineStr">
        <is>
          <t>Vasai</t>
        </is>
      </c>
      <c r="C803" s="37" t="inlineStr">
        <is>
          <t>Grow youth</t>
        </is>
      </c>
      <c r="D803" s="37" t="inlineStr">
        <is>
          <t>2026-07-13</t>
        </is>
      </c>
      <c r="E803" s="37" t="inlineStr">
        <is>
          <t>Process Check</t>
        </is>
      </c>
      <c r="F803" s="37" t="inlineStr">
        <is>
          <t>Check planning for the next batch-start announcement.</t>
        </is>
      </c>
      <c r="G803" s="37" t="inlineStr">
        <is>
          <t>Need Improvement</t>
        </is>
      </c>
    </row>
    <row r="804">
      <c r="A804" s="37" t="inlineStr">
        <is>
          <t>Gagandeep Singh Sachar</t>
        </is>
      </c>
      <c r="B804" s="37" t="inlineStr">
        <is>
          <t>Vasai</t>
        </is>
      </c>
      <c r="C804" s="37" t="inlineStr">
        <is>
          <t>Grow youth</t>
        </is>
      </c>
      <c r="D804" s="37" t="inlineStr">
        <is>
          <t>2026-07-13</t>
        </is>
      </c>
      <c r="E804" s="37" t="inlineStr">
        <is>
          <t>Process Check</t>
        </is>
      </c>
      <c r="F804" s="37" t="inlineStr">
        <is>
          <t>Check if any hiring is delayed and plan a resolution.</t>
        </is>
      </c>
      <c r="G804" s="37" t="inlineStr">
        <is>
          <t>All is Well</t>
        </is>
      </c>
    </row>
    <row r="805">
      <c r="A805" s="37" t="inlineStr">
        <is>
          <t>Gagandeep Singh Sachar</t>
        </is>
      </c>
      <c r="B805" s="37" t="inlineStr">
        <is>
          <t>Vasai</t>
        </is>
      </c>
      <c r="C805" s="37" t="inlineStr">
        <is>
          <t>Grow youth</t>
        </is>
      </c>
      <c r="D805" s="37" t="inlineStr">
        <is>
          <t>2026-07-13</t>
        </is>
      </c>
      <c r="E805" s="37" t="inlineStr">
        <is>
          <t>Process Check</t>
        </is>
      </c>
      <c r="F805" s="37" t="inlineStr">
        <is>
          <t>Check the CA’s diary — is CA guided daily by the AH during planning days?</t>
        </is>
      </c>
      <c r="G805" s="37" t="inlineStr">
        <is>
          <t>All is Well</t>
        </is>
      </c>
    </row>
    <row r="806">
      <c r="A806" s="37" t="inlineStr">
        <is>
          <t>Gagandeep Singh Sachar</t>
        </is>
      </c>
      <c r="B806" s="37" t="inlineStr">
        <is>
          <t>Vasai</t>
        </is>
      </c>
      <c r="C806" s="37" t="inlineStr">
        <is>
          <t>Grow youth</t>
        </is>
      </c>
      <c r="D806" s="37" t="inlineStr">
        <is>
          <t>2026-07-13</t>
        </is>
      </c>
      <c r="E806" s="37" t="inlineStr">
        <is>
          <t>Process Check</t>
        </is>
      </c>
      <c r="F806" s="37" t="inlineStr">
        <is>
          <t>Check the AH is regularly meeting employers (in person and online) and updating the centre’s Top 20 Employer format.</t>
        </is>
      </c>
      <c r="G806" s="37" t="inlineStr">
        <is>
          <t>Need Improvement</t>
        </is>
      </c>
    </row>
    <row r="807">
      <c r="A807" s="37" t="inlineStr">
        <is>
          <t>Gagandeep Singh Sachar</t>
        </is>
      </c>
      <c r="B807" s="37" t="inlineStr">
        <is>
          <t>Vasai</t>
        </is>
      </c>
      <c r="C807" s="37" t="inlineStr">
        <is>
          <t>Grow youth</t>
        </is>
      </c>
      <c r="D807" s="37" t="inlineStr">
        <is>
          <t>2026-07-13</t>
        </is>
      </c>
      <c r="E807" s="37" t="inlineStr">
        <is>
          <t>Process Check</t>
        </is>
      </c>
      <c r="F807" s="37" t="inlineStr">
        <is>
          <t>Confirm all new employers are registered on portal as per new process.</t>
        </is>
      </c>
      <c r="G807" s="37" t="inlineStr">
        <is>
          <t>All is Well</t>
        </is>
      </c>
    </row>
    <row r="808">
      <c r="A808" s="37" t="inlineStr">
        <is>
          <t>Gagandeep Singh Sachar</t>
        </is>
      </c>
      <c r="B808" s="37" t="inlineStr">
        <is>
          <t>Vasai</t>
        </is>
      </c>
      <c r="C808" s="37" t="inlineStr">
        <is>
          <t>Grow youth</t>
        </is>
      </c>
      <c r="D808" s="37" t="inlineStr">
        <is>
          <t>2026-07-13</t>
        </is>
      </c>
      <c r="E808" s="37" t="inlineStr">
        <is>
          <t>Process Check</t>
        </is>
      </c>
      <c r="F808" s="37" t="inlineStr">
        <is>
          <t>Confirm 100% of enrolled students undergone screening (for technical courses).</t>
        </is>
      </c>
      <c r="G808" s="37" t="inlineStr">
        <is>
          <t>Not Applicable</t>
        </is>
      </c>
    </row>
    <row r="809">
      <c r="A809" s="37" t="inlineStr">
        <is>
          <t>Gagandeep Singh Sachar</t>
        </is>
      </c>
      <c r="B809" s="37" t="inlineStr">
        <is>
          <t>Vasai</t>
        </is>
      </c>
      <c r="C809" s="37" t="inlineStr">
        <is>
          <t>Grow youth</t>
        </is>
      </c>
      <c r="D809" s="37" t="inlineStr">
        <is>
          <t>2026-07-13</t>
        </is>
      </c>
      <c r="E809" s="37" t="inlineStr">
        <is>
          <t>Process Check</t>
        </is>
      </c>
      <c r="F809" s="37" t="inlineStr">
        <is>
          <t>Confirm ESA is done (in GROW full ESA and in Technical courses relevant sections of Core Employability Part).</t>
        </is>
      </c>
      <c r="G809" s="37" t="inlineStr">
        <is>
          <t>All is Well</t>
        </is>
      </c>
    </row>
    <row r="810">
      <c r="A810" s="37" t="inlineStr">
        <is>
          <t>Gagandeep Singh Sachar</t>
        </is>
      </c>
      <c r="B810" s="37" t="inlineStr">
        <is>
          <t>Vasai</t>
        </is>
      </c>
      <c r="C810" s="37" t="inlineStr">
        <is>
          <t>Grow youth</t>
        </is>
      </c>
      <c r="D810" s="37" t="inlineStr">
        <is>
          <t>2026-07-13</t>
        </is>
      </c>
      <c r="E810" s="37" t="inlineStr">
        <is>
          <t>Process Check</t>
        </is>
      </c>
      <c r="F810" s="37" t="inlineStr">
        <is>
          <t>Check is AH giving capstone project in GROW Tech.</t>
        </is>
      </c>
      <c r="G810" s="37" t="inlineStr">
        <is>
          <t>Not Applicable</t>
        </is>
      </c>
    </row>
    <row r="811">
      <c r="A811" s="37" t="inlineStr">
        <is>
          <t>Gagandeep Singh Sachar</t>
        </is>
      </c>
      <c r="B811" s="37" t="inlineStr">
        <is>
          <t>Vasai</t>
        </is>
      </c>
      <c r="C811" s="37" t="inlineStr">
        <is>
          <t>Grow youth</t>
        </is>
      </c>
      <c r="D811" s="37" t="inlineStr">
        <is>
          <t>2026-07-13</t>
        </is>
      </c>
      <c r="E811" s="37" t="inlineStr">
        <is>
          <t>Process Check</t>
        </is>
      </c>
      <c r="F811" s="37" t="inlineStr">
        <is>
          <t>Check is AH planning OJT as per guidelines and proofs are collected for technical courses.</t>
        </is>
      </c>
      <c r="G811" s="37" t="inlineStr">
        <is>
          <t>Not Applicable</t>
        </is>
      </c>
    </row>
    <row r="812">
      <c r="A812" s="37" t="inlineStr">
        <is>
          <t>Gagandeep Singh Sachar</t>
        </is>
      </c>
      <c r="B812" s="37" t="inlineStr">
        <is>
          <t>Vasai</t>
        </is>
      </c>
      <c r="C812" s="37" t="inlineStr">
        <is>
          <t>Grow youth</t>
        </is>
      </c>
      <c r="D812" s="37" t="inlineStr">
        <is>
          <t>2026-07-13</t>
        </is>
      </c>
      <c r="E812" s="37" t="inlineStr">
        <is>
          <t>Process Check</t>
        </is>
      </c>
      <c r="F812" s="37" t="inlineStr">
        <is>
          <t>Check are trainers contacting aspirants to find reason for their absenteeism of more than 1 day.</t>
        </is>
      </c>
      <c r="G812" s="37" t="inlineStr">
        <is>
          <t>All is Well</t>
        </is>
      </c>
    </row>
    <row r="813">
      <c r="A813" s="37" t="inlineStr">
        <is>
          <t>Gagandeep Singh Sachar</t>
        </is>
      </c>
      <c r="B813" s="37" t="inlineStr">
        <is>
          <t>Vasai</t>
        </is>
      </c>
      <c r="C813" s="37" t="inlineStr">
        <is>
          <t>Grow youth</t>
        </is>
      </c>
      <c r="D813" s="37" t="inlineStr">
        <is>
          <t>2026-07-13</t>
        </is>
      </c>
      <c r="E813" s="37" t="inlineStr">
        <is>
          <t>Process Check</t>
        </is>
      </c>
      <c r="F813" s="37" t="inlineStr">
        <is>
          <t>Check the AH plans monthly enrolment and placement numbers by the 3rd of each month and shares them with second level managers.</t>
        </is>
      </c>
      <c r="G813" s="37" t="inlineStr">
        <is>
          <t>All is Well</t>
        </is>
      </c>
    </row>
    <row r="814">
      <c r="A814" s="37" t="inlineStr">
        <is>
          <t>Gagandeep Singh Sachar</t>
        </is>
      </c>
      <c r="B814" s="37" t="inlineStr">
        <is>
          <t>Vasai</t>
        </is>
      </c>
      <c r="C814" s="37" t="inlineStr">
        <is>
          <t>Grow youth</t>
        </is>
      </c>
      <c r="D814" s="37" t="inlineStr">
        <is>
          <t>2026-07-13</t>
        </is>
      </c>
      <c r="E814" s="37" t="inlineStr">
        <is>
          <t>Process Check</t>
        </is>
      </c>
      <c r="F814" s="37" t="inlineStr">
        <is>
          <t>Check trainers submit aspirants’ placement interest areas to the AH by the batch’s 25th day (in GROW).</t>
        </is>
      </c>
      <c r="G814" s="37" t="inlineStr">
        <is>
          <t>All is Well</t>
        </is>
      </c>
    </row>
    <row r="815">
      <c r="A815" s="37" t="inlineStr">
        <is>
          <t>Gagandeep Singh Sachar</t>
        </is>
      </c>
      <c r="B815" s="37" t="inlineStr">
        <is>
          <t>Vasai</t>
        </is>
      </c>
      <c r="C815" s="37" t="inlineStr">
        <is>
          <t>Grow youth</t>
        </is>
      </c>
      <c r="D815" s="37" t="inlineStr">
        <is>
          <t>2026-07-13</t>
        </is>
      </c>
      <c r="E815" s="37" t="inlineStr">
        <is>
          <t>Process Check</t>
        </is>
      </c>
      <c r="F815" s="37" t="inlineStr">
        <is>
          <t>Ckeck For technical programs, placement is done only in technical jobs,on which aspirants are trained and relevant emplyers are identified by 45th day.</t>
        </is>
      </c>
      <c r="G815" s="37" t="inlineStr">
        <is>
          <t>Not Applicable</t>
        </is>
      </c>
    </row>
    <row r="816">
      <c r="A816" s="37" t="inlineStr">
        <is>
          <t>Gagandeep Singh Sachar</t>
        </is>
      </c>
      <c r="B816" s="37" t="inlineStr">
        <is>
          <t>Vasai</t>
        </is>
      </c>
      <c r="C816" s="37" t="inlineStr">
        <is>
          <t>Grow youth</t>
        </is>
      </c>
      <c r="D816" s="37" t="inlineStr">
        <is>
          <t>2026-07-13</t>
        </is>
      </c>
      <c r="E816" s="37" t="inlineStr">
        <is>
          <t>Process Check</t>
        </is>
      </c>
      <c r="F816" s="37" t="inlineStr">
        <is>
          <t>Check the AH follows EP guidelines and minimum benchmark salary guidelines.</t>
        </is>
      </c>
      <c r="G816" s="37" t="inlineStr">
        <is>
          <t>All is Well</t>
        </is>
      </c>
    </row>
    <row r="817">
      <c r="A817" s="37" t="inlineStr">
        <is>
          <t>Gagandeep Singh Sachar</t>
        </is>
      </c>
      <c r="B817" s="37" t="inlineStr">
        <is>
          <t>Vasai</t>
        </is>
      </c>
      <c r="C817" s="37" t="inlineStr">
        <is>
          <t>Grow youth</t>
        </is>
      </c>
      <c r="D817" s="37" t="inlineStr">
        <is>
          <t>2026-07-13</t>
        </is>
      </c>
      <c r="E817" s="37" t="inlineStr">
        <is>
          <t>Process Check</t>
        </is>
      </c>
      <c r="F817" s="37" t="inlineStr">
        <is>
          <t>Check that AH is enrolling only the right traget group in the program -as per the defined target.</t>
        </is>
      </c>
      <c r="G817" s="37" t="inlineStr">
        <is>
          <t>All is Well</t>
        </is>
      </c>
    </row>
    <row r="818">
      <c r="A818" s="37" t="inlineStr">
        <is>
          <t>Gagandeep Singh Sachar</t>
        </is>
      </c>
      <c r="B818" s="37" t="inlineStr">
        <is>
          <t>Vasai</t>
        </is>
      </c>
      <c r="C818" s="37" t="inlineStr">
        <is>
          <t>Grow youth</t>
        </is>
      </c>
      <c r="D818" s="37" t="inlineStr">
        <is>
          <t>2026-07-13</t>
        </is>
      </c>
      <c r="E818" s="37" t="inlineStr">
        <is>
          <t>Process Check</t>
        </is>
      </c>
      <c r="F818" s="37" t="inlineStr">
        <is>
          <t>Check the AH announces the next batch-start date by the 3rd of the month on all notice boards — focus on Zero-Day start.</t>
        </is>
      </c>
      <c r="G818" s="37" t="inlineStr">
        <is>
          <t>Need Improvement</t>
        </is>
      </c>
    </row>
    <row r="819">
      <c r="A819" s="37" t="inlineStr">
        <is>
          <t>Gagandeep Singh Sachar</t>
        </is>
      </c>
      <c r="B819" s="37" t="inlineStr">
        <is>
          <t>Vasai</t>
        </is>
      </c>
      <c r="C819" s="37" t="inlineStr">
        <is>
          <t>Grow youth</t>
        </is>
      </c>
      <c r="D819" s="37" t="inlineStr">
        <is>
          <t>2026-07-13</t>
        </is>
      </c>
      <c r="E819" s="37" t="inlineStr">
        <is>
          <t>Process Check</t>
        </is>
      </c>
      <c r="F819" s="37" t="inlineStr">
        <is>
          <t>Check the Aspirant Mock Interview Score Tracker is updated after every mock interview in the L&amp;D Google Sheet.</t>
        </is>
      </c>
      <c r="G819" s="37" t="inlineStr">
        <is>
          <t>All is Well</t>
        </is>
      </c>
    </row>
    <row r="820">
      <c r="A820" s="37" t="inlineStr">
        <is>
          <t>Gagandeep Singh Sachar</t>
        </is>
      </c>
      <c r="B820" s="37" t="inlineStr">
        <is>
          <t>Vasai</t>
        </is>
      </c>
      <c r="C820" s="37" t="inlineStr">
        <is>
          <t>Grow youth</t>
        </is>
      </c>
      <c r="D820" s="37" t="inlineStr">
        <is>
          <t>2026-07-13</t>
        </is>
      </c>
      <c r="E820" s="37" t="inlineStr">
        <is>
          <t>Process Check</t>
        </is>
      </c>
      <c r="F820" s="37" t="inlineStr">
        <is>
          <t>Confirm NPS (Net Promoter Score) is collected at MSDF centres.</t>
        </is>
      </c>
      <c r="G820" s="37" t="inlineStr">
        <is>
          <t>Not Applicable</t>
        </is>
      </c>
    </row>
    <row r="821">
      <c r="A821" s="37" t="inlineStr">
        <is>
          <t>Gagandeep Singh Sachar</t>
        </is>
      </c>
      <c r="B821" s="37" t="inlineStr">
        <is>
          <t>Vasai</t>
        </is>
      </c>
      <c r="C821" s="37" t="inlineStr">
        <is>
          <t>Grow youth</t>
        </is>
      </c>
      <c r="D821" s="37" t="inlineStr">
        <is>
          <t>2026-07-13</t>
        </is>
      </c>
      <c r="E821" s="37" t="inlineStr">
        <is>
          <t>Process Check</t>
        </is>
      </c>
      <c r="F821" s="37" t="inlineStr">
        <is>
          <t>Confirm that QAE is collecting student feedback for every batch.</t>
        </is>
      </c>
      <c r="G821" s="37" t="inlineStr">
        <is>
          <t>Not Applicable</t>
        </is>
      </c>
    </row>
    <row r="822">
      <c r="A822" s="37" t="inlineStr">
        <is>
          <t>Gagandeep Singh Sachar</t>
        </is>
      </c>
      <c r="B822" s="37" t="inlineStr">
        <is>
          <t>Vasai</t>
        </is>
      </c>
      <c r="C822" s="37" t="inlineStr">
        <is>
          <t>Grow youth</t>
        </is>
      </c>
      <c r="D822" s="37" t="inlineStr">
        <is>
          <t>2026-07-13</t>
        </is>
      </c>
      <c r="E822" s="37" t="inlineStr">
        <is>
          <t>Process Check</t>
        </is>
      </c>
      <c r="F822" s="37" t="inlineStr">
        <is>
          <t>Confirm all centre teams have completed the GROW Manual Course on Skillfy — ask for achievement certificates.</t>
        </is>
      </c>
      <c r="G822" s="37" t="inlineStr">
        <is>
          <t>Need Improvement</t>
        </is>
      </c>
    </row>
    <row r="823">
      <c r="A823" s="37" t="inlineStr">
        <is>
          <t>Gagandeep Singh Sachar</t>
        </is>
      </c>
      <c r="B823" s="37" t="inlineStr">
        <is>
          <t>Vasai</t>
        </is>
      </c>
      <c r="C823" s="37" t="inlineStr">
        <is>
          <t>Grow youth</t>
        </is>
      </c>
      <c r="D823" s="37" t="inlineStr">
        <is>
          <t>2026-07-13</t>
        </is>
      </c>
      <c r="E823" s="37" t="inlineStr">
        <is>
          <t>Process Check</t>
        </is>
      </c>
      <c r="F823" s="37" t="inlineStr">
        <is>
          <t>Check AH holds a quality weekly team meeting, documents action points in the weekly meeting format, and sends you a photo on WhatsApp.</t>
        </is>
      </c>
      <c r="G823" s="37" t="inlineStr">
        <is>
          <t>Need Improvement</t>
        </is>
      </c>
    </row>
    <row r="824">
      <c r="A824" s="37" t="inlineStr">
        <is>
          <t>Gagandeep Singh Sachar</t>
        </is>
      </c>
      <c r="B824" s="37" t="inlineStr">
        <is>
          <t>Vasai</t>
        </is>
      </c>
      <c r="C824" s="37" t="inlineStr">
        <is>
          <t>Grow youth</t>
        </is>
      </c>
      <c r="D824" s="37" t="inlineStr">
        <is>
          <t>2026-07-13</t>
        </is>
      </c>
      <c r="E824" s="37" t="inlineStr">
        <is>
          <t>Aspirant Interaction</t>
        </is>
      </c>
      <c r="F824" s="37" t="inlineStr">
        <is>
          <t>Ask aspirants about the session plan — confirm training is happening as planned?</t>
        </is>
      </c>
      <c r="G824" s="37" t="inlineStr">
        <is>
          <t>Need Improvement</t>
        </is>
      </c>
    </row>
    <row r="825">
      <c r="A825" s="37" t="inlineStr">
        <is>
          <t>Gagandeep Singh Sachar</t>
        </is>
      </c>
      <c r="B825" s="37" t="inlineStr">
        <is>
          <t>Vasai</t>
        </is>
      </c>
      <c r="C825" s="37" t="inlineStr">
        <is>
          <t>Grow youth</t>
        </is>
      </c>
      <c r="D825" s="37" t="inlineStr">
        <is>
          <t>2026-07-13</t>
        </is>
      </c>
      <c r="E825" s="37" t="inlineStr">
        <is>
          <t>Aspirant Interaction</t>
        </is>
      </c>
      <c r="F825" s="37" t="inlineStr">
        <is>
          <t>Ask about the quality of Core Employability component delivery (technical centres) and who delivers it.</t>
        </is>
      </c>
      <c r="G825" s="37" t="inlineStr">
        <is>
          <t>Not Applicable</t>
        </is>
      </c>
    </row>
    <row r="826">
      <c r="A826" s="37" t="inlineStr">
        <is>
          <t>Gagandeep Singh Sachar</t>
        </is>
      </c>
      <c r="B826" s="37" t="inlineStr">
        <is>
          <t>Vasai</t>
        </is>
      </c>
      <c r="C826" s="37" t="inlineStr">
        <is>
          <t>Grow youth</t>
        </is>
      </c>
      <c r="D826" s="37" t="inlineStr">
        <is>
          <t>2026-07-13</t>
        </is>
      </c>
      <c r="E826" s="37" t="inlineStr">
        <is>
          <t>Aspirant Interaction</t>
        </is>
      </c>
      <c r="F826" s="37" t="inlineStr">
        <is>
          <t>Ask whether they are aware of the referral scheme?</t>
        </is>
      </c>
      <c r="G826" s="37" t="inlineStr">
        <is>
          <t>All is Well</t>
        </is>
      </c>
    </row>
    <row r="827">
      <c r="A827" s="37" t="inlineStr">
        <is>
          <t>Gagandeep Singh Sachar</t>
        </is>
      </c>
      <c r="B827" s="37" t="inlineStr">
        <is>
          <t>Vasai</t>
        </is>
      </c>
      <c r="C827" s="37" t="inlineStr">
        <is>
          <t>Grow youth</t>
        </is>
      </c>
      <c r="D827" s="37" t="inlineStr">
        <is>
          <t>2026-07-13</t>
        </is>
      </c>
      <c r="E827" s="37" t="inlineStr">
        <is>
          <t>Aspirant Interaction</t>
        </is>
      </c>
      <c r="F827" s="37" t="inlineStr">
        <is>
          <t>Ask whether the AH explained the importance of the offer letter and sharing it with us once received for reporting purposes?</t>
        </is>
      </c>
      <c r="G827" s="37" t="inlineStr">
        <is>
          <t>All is Well</t>
        </is>
      </c>
    </row>
    <row r="828">
      <c r="A828" s="37" t="inlineStr">
        <is>
          <t>Gagandeep Singh Sachar</t>
        </is>
      </c>
      <c r="B828" s="37" t="inlineStr">
        <is>
          <t>Vasai</t>
        </is>
      </c>
      <c r="C828" s="37" t="inlineStr">
        <is>
          <t>Grow youth</t>
        </is>
      </c>
      <c r="D828" s="37" t="inlineStr">
        <is>
          <t>2026-07-13</t>
        </is>
      </c>
      <c r="E828" s="37" t="inlineStr">
        <is>
          <t>Aspirant Interaction</t>
        </is>
      </c>
      <c r="F828" s="37" t="inlineStr">
        <is>
          <t>Ask how many are not interested in jobs — and if so, why they enrolled in the programme?</t>
        </is>
      </c>
      <c r="G828" s="37" t="inlineStr">
        <is>
          <t>All is Well</t>
        </is>
      </c>
    </row>
    <row r="829">
      <c r="A829" s="37" t="inlineStr">
        <is>
          <t>Gagandeep Singh Sachar</t>
        </is>
      </c>
      <c r="B829" s="37" t="inlineStr">
        <is>
          <t>Vasai</t>
        </is>
      </c>
      <c r="C829" s="37" t="inlineStr">
        <is>
          <t>Grow youth</t>
        </is>
      </c>
      <c r="D829" s="37" t="inlineStr">
        <is>
          <t>2026-07-13</t>
        </is>
      </c>
      <c r="E829" s="37" t="inlineStr">
        <is>
          <t>Aspirant Interaction</t>
        </is>
      </c>
      <c r="F829" s="37" t="inlineStr">
        <is>
          <t>Ask whether they were told the kind of job they would get during counselling?</t>
        </is>
      </c>
      <c r="G829" s="37" t="inlineStr">
        <is>
          <t>All is Well</t>
        </is>
      </c>
    </row>
    <row r="830">
      <c r="A830" s="37" t="inlineStr">
        <is>
          <t>Gagandeep Singh Sachar</t>
        </is>
      </c>
      <c r="B830" s="37" t="inlineStr">
        <is>
          <t>Vasai</t>
        </is>
      </c>
      <c r="C830" s="37" t="inlineStr">
        <is>
          <t>Grow youth</t>
        </is>
      </c>
      <c r="D830" s="37" t="inlineStr">
        <is>
          <t>2026-07-13</t>
        </is>
      </c>
      <c r="E830" s="37" t="inlineStr">
        <is>
          <t>Aspirant Interaction</t>
        </is>
      </c>
      <c r="F830" s="37" t="inlineStr">
        <is>
          <t>Ask whether they have been given LMS access?</t>
        </is>
      </c>
      <c r="G830" s="37" t="inlineStr">
        <is>
          <t>All is Well</t>
        </is>
      </c>
    </row>
    <row r="831">
      <c r="A831" s="37" t="inlineStr">
        <is>
          <t>Gagandeep Singh Sachar</t>
        </is>
      </c>
      <c r="B831" s="37" t="inlineStr">
        <is>
          <t>Vasai</t>
        </is>
      </c>
      <c r="C831" s="37" t="inlineStr">
        <is>
          <t>Grow youth</t>
        </is>
      </c>
      <c r="D831" s="37" t="inlineStr">
        <is>
          <t>2026-07-13</t>
        </is>
      </c>
      <c r="E831" s="37" t="inlineStr">
        <is>
          <t>Aspirant Interaction</t>
        </is>
      </c>
      <c r="F831" s="37" t="inlineStr">
        <is>
          <t>Ask whether anyone asked them for money for training or placement?</t>
        </is>
      </c>
      <c r="G831" s="37" t="inlineStr">
        <is>
          <t>All is Well</t>
        </is>
      </c>
    </row>
    <row r="832">
      <c r="A832" s="37" t="inlineStr">
        <is>
          <t>Gagandeep Singh Sachar</t>
        </is>
      </c>
      <c r="B832" s="37" t="inlineStr">
        <is>
          <t>Vasai</t>
        </is>
      </c>
      <c r="C832" s="37" t="inlineStr">
        <is>
          <t>Grow youth</t>
        </is>
      </c>
      <c r="D832" s="37" t="inlineStr">
        <is>
          <t>2026-07-13</t>
        </is>
      </c>
      <c r="E832" s="37" t="inlineStr">
        <is>
          <t>Aspirant Interaction</t>
        </is>
      </c>
      <c r="F832" s="37" t="inlineStr">
        <is>
          <t>Ask to show their mobile phones — are they enrolled on Skillfy? If not, get them enrolled and give written feedback to trainers and the AH in your presence.</t>
        </is>
      </c>
      <c r="G832" s="37" t="inlineStr">
        <is>
          <t>All is Well</t>
        </is>
      </c>
    </row>
    <row r="833">
      <c r="A833" s="37" t="inlineStr">
        <is>
          <t>Gagandeep Singh Sachar</t>
        </is>
      </c>
      <c r="B833" s="37" t="inlineStr">
        <is>
          <t>Vasai</t>
        </is>
      </c>
      <c r="C833" s="37" t="inlineStr">
        <is>
          <t>Grow youth</t>
        </is>
      </c>
      <c r="D833" s="37" t="inlineStr">
        <is>
          <t>2026-07-13</t>
        </is>
      </c>
      <c r="E833" s="37" t="inlineStr">
        <is>
          <t>Aspirant Interaction</t>
        </is>
      </c>
      <c r="F833" s="37" t="inlineStr">
        <is>
          <t>Ask about the quality of the hostel and any issues they face.</t>
        </is>
      </c>
      <c r="G833" s="37" t="inlineStr">
        <is>
          <t>Not Applicable</t>
        </is>
      </c>
    </row>
    <row r="834">
      <c r="A834" s="37" t="inlineStr">
        <is>
          <t>Gagandeep Singh Sachar</t>
        </is>
      </c>
      <c r="B834" s="37" t="inlineStr">
        <is>
          <t>Vasai</t>
        </is>
      </c>
      <c r="C834" s="37" t="inlineStr">
        <is>
          <t>Grow youth</t>
        </is>
      </c>
      <c r="D834" s="37" t="inlineStr">
        <is>
          <t>2026-07-13</t>
        </is>
      </c>
      <c r="E834" s="37" t="inlineStr">
        <is>
          <t>Aspirant Interaction</t>
        </is>
      </c>
      <c r="F834" s="37" t="inlineStr">
        <is>
          <t>Ask a few relevant screening questions to support the 10th-day report and remove non-serious candidates, explaining to them the reasons.</t>
        </is>
      </c>
      <c r="G834" s="37" t="inlineStr">
        <is>
          <t>All is Well</t>
        </is>
      </c>
    </row>
    <row r="835">
      <c r="A835" s="37" t="inlineStr">
        <is>
          <t>Barna</t>
        </is>
      </c>
      <c r="B835" s="37" t="inlineStr">
        <is>
          <t>Sarita Vihar</t>
        </is>
      </c>
      <c r="C835" s="37" t="inlineStr">
        <is>
          <t>Youth</t>
        </is>
      </c>
      <c r="D835" s="37" t="inlineStr">
        <is>
          <t>2026-07-11</t>
        </is>
      </c>
      <c r="E835" s="37" t="inlineStr">
        <is>
          <t>Data Check</t>
        </is>
      </c>
      <c r="F835" s="37" t="inlineStr">
        <is>
          <t>Reach the centre on time (unannounced) — confirm the centre opened on time.</t>
        </is>
      </c>
      <c r="G835" s="37" t="inlineStr">
        <is>
          <t>All is Well</t>
        </is>
      </c>
    </row>
    <row r="836">
      <c r="A836" s="37" t="inlineStr">
        <is>
          <t>Barna</t>
        </is>
      </c>
      <c r="B836" s="37" t="inlineStr">
        <is>
          <t>Sarita Vihar</t>
        </is>
      </c>
      <c r="C836" s="37" t="inlineStr">
        <is>
          <t>Youth</t>
        </is>
      </c>
      <c r="D836" s="37" t="inlineStr">
        <is>
          <t>2026-07-11</t>
        </is>
      </c>
      <c r="E836" s="37" t="inlineStr">
        <is>
          <t>Data Check</t>
        </is>
      </c>
      <c r="F836" s="37" t="inlineStr">
        <is>
          <t>Check the staff attendance register, the Google Sheet, and geo-tagged photos for aspirants.</t>
        </is>
      </c>
      <c r="G836" s="37" t="inlineStr">
        <is>
          <t>All is Well</t>
        </is>
      </c>
    </row>
    <row r="837">
      <c r="A837" s="37" t="inlineStr">
        <is>
          <t>Barna</t>
        </is>
      </c>
      <c r="B837" s="37" t="inlineStr">
        <is>
          <t>Sarita Vihar</t>
        </is>
      </c>
      <c r="C837" s="37" t="inlineStr">
        <is>
          <t>Youth</t>
        </is>
      </c>
      <c r="D837" s="37" t="inlineStr">
        <is>
          <t>2026-07-11</t>
        </is>
      </c>
      <c r="E837" s="37" t="inlineStr">
        <is>
          <t>Data Check</t>
        </is>
      </c>
      <c r="F837" s="37" t="inlineStr">
        <is>
          <t>Check Counselling and Screening Forms of recently started batches.</t>
        </is>
      </c>
      <c r="G837" s="37" t="inlineStr">
        <is>
          <t>All is Well</t>
        </is>
      </c>
    </row>
    <row r="838">
      <c r="A838" s="37" t="inlineStr">
        <is>
          <t>Barna</t>
        </is>
      </c>
      <c r="B838" s="37" t="inlineStr">
        <is>
          <t>Sarita Vihar</t>
        </is>
      </c>
      <c r="C838" s="37" t="inlineStr">
        <is>
          <t>Youth</t>
        </is>
      </c>
      <c r="D838" s="37" t="inlineStr">
        <is>
          <t>2026-07-11</t>
        </is>
      </c>
      <c r="E838" s="37" t="inlineStr">
        <is>
          <t>Data Check</t>
        </is>
      </c>
      <c r="F838" s="37" t="inlineStr">
        <is>
          <t>Check Aspirant Registration Forms and related documents.</t>
        </is>
      </c>
      <c r="G838" s="37" t="inlineStr">
        <is>
          <t>All is Well</t>
        </is>
      </c>
    </row>
    <row r="839">
      <c r="A839" s="37" t="inlineStr">
        <is>
          <t>Barna</t>
        </is>
      </c>
      <c r="B839" s="37" t="inlineStr">
        <is>
          <t>Sarita Vihar</t>
        </is>
      </c>
      <c r="C839" s="37" t="inlineStr">
        <is>
          <t>Youth</t>
        </is>
      </c>
      <c r="D839" s="37" t="inlineStr">
        <is>
          <t>2026-07-11</t>
        </is>
      </c>
      <c r="E839" s="37" t="inlineStr">
        <is>
          <t>Data Check</t>
        </is>
      </c>
      <c r="F839" s="37" t="inlineStr">
        <is>
          <t>On the GROW portal, confirm all student profile details and batch updates are currect.</t>
        </is>
      </c>
      <c r="G839" s="37" t="inlineStr">
        <is>
          <t>All is Well</t>
        </is>
      </c>
    </row>
    <row r="840">
      <c r="A840" s="37" t="inlineStr">
        <is>
          <t>Barna</t>
        </is>
      </c>
      <c r="B840" s="37" t="inlineStr">
        <is>
          <t>Sarita Vihar</t>
        </is>
      </c>
      <c r="C840" s="37" t="inlineStr">
        <is>
          <t>Youth</t>
        </is>
      </c>
      <c r="D840" s="37" t="inlineStr">
        <is>
          <t>2026-07-11</t>
        </is>
      </c>
      <c r="E840" s="37" t="inlineStr">
        <is>
          <t>Data Check</t>
        </is>
      </c>
      <c r="F840" s="37" t="inlineStr">
        <is>
          <t>Verify placement data — randomly call 3–4 alumni placed in the last 3 months to confirm veracity (random selection is essential).</t>
        </is>
      </c>
      <c r="G840" s="37" t="inlineStr">
        <is>
          <t>All is Well</t>
        </is>
      </c>
    </row>
    <row r="841">
      <c r="A841" s="37" t="inlineStr">
        <is>
          <t>Barna</t>
        </is>
      </c>
      <c r="B841" s="37" t="inlineStr">
        <is>
          <t>Sarita Vihar</t>
        </is>
      </c>
      <c r="C841" s="37" t="inlineStr">
        <is>
          <t>Youth</t>
        </is>
      </c>
      <c r="D841" s="37" t="inlineStr">
        <is>
          <t>2026-07-11</t>
        </is>
      </c>
      <c r="E841" s="37" t="inlineStr">
        <is>
          <t>Data Check</t>
        </is>
      </c>
      <c r="F841" s="37" t="inlineStr">
        <is>
          <t>Verify retention — check the Alumni Hand-holding Format is being updated as designed.</t>
        </is>
      </c>
      <c r="G841" s="37" t="inlineStr">
        <is>
          <t>Need Improvement</t>
        </is>
      </c>
    </row>
    <row r="842">
      <c r="A842" s="37" t="inlineStr">
        <is>
          <t>Barna</t>
        </is>
      </c>
      <c r="B842" s="37" t="inlineStr">
        <is>
          <t>Sarita Vihar</t>
        </is>
      </c>
      <c r="C842" s="37" t="inlineStr">
        <is>
          <t>Youth</t>
        </is>
      </c>
      <c r="D842" s="37" t="inlineStr">
        <is>
          <t>2026-07-11</t>
        </is>
      </c>
      <c r="E842" s="37" t="inlineStr">
        <is>
          <t>Data Check</t>
        </is>
      </c>
      <c r="F842" s="37" t="inlineStr">
        <is>
          <t>Check aspirant Hostel Forms are properly filled or not.</t>
        </is>
      </c>
      <c r="G842" s="37" t="inlineStr">
        <is>
          <t>Not Applicable</t>
        </is>
      </c>
    </row>
    <row r="843">
      <c r="A843" s="37" t="inlineStr">
        <is>
          <t>Barna</t>
        </is>
      </c>
      <c r="B843" s="37" t="inlineStr">
        <is>
          <t>Sarita Vihar</t>
        </is>
      </c>
      <c r="C843" s="37" t="inlineStr">
        <is>
          <t>Youth</t>
        </is>
      </c>
      <c r="D843" s="37" t="inlineStr">
        <is>
          <t>2026-07-11</t>
        </is>
      </c>
      <c r="E843" s="37" t="inlineStr">
        <is>
          <t>Infra Check</t>
        </is>
      </c>
      <c r="F843" s="37" t="inlineStr">
        <is>
          <t>Check all CCTV cameras; if any are not working, ask the AH to troubleshoot or call the vendor.</t>
        </is>
      </c>
      <c r="G843" s="37" t="inlineStr">
        <is>
          <t>All is Well</t>
        </is>
      </c>
    </row>
    <row r="844">
      <c r="A844" s="37" t="inlineStr">
        <is>
          <t>Barna</t>
        </is>
      </c>
      <c r="B844" s="37" t="inlineStr">
        <is>
          <t>Sarita Vihar</t>
        </is>
      </c>
      <c r="C844" s="37" t="inlineStr">
        <is>
          <t>Youth</t>
        </is>
      </c>
      <c r="D844" s="37" t="inlineStr">
        <is>
          <t>2026-07-11</t>
        </is>
      </c>
      <c r="E844" s="37" t="inlineStr">
        <is>
          <t>Infra Check</t>
        </is>
      </c>
      <c r="F844" s="37" t="inlineStr">
        <is>
          <t>Check for any scrap material and get it cleared, with support of Admin</t>
        </is>
      </c>
      <c r="G844" s="37" t="inlineStr">
        <is>
          <t>All is Well</t>
        </is>
      </c>
    </row>
    <row r="845">
      <c r="A845" s="37" t="inlineStr">
        <is>
          <t>Barna</t>
        </is>
      </c>
      <c r="B845" s="37" t="inlineStr">
        <is>
          <t>Sarita Vihar</t>
        </is>
      </c>
      <c r="C845" s="37" t="inlineStr">
        <is>
          <t>Youth</t>
        </is>
      </c>
      <c r="D845" s="37" t="inlineStr">
        <is>
          <t>2026-07-11</t>
        </is>
      </c>
      <c r="E845" s="37" t="inlineStr">
        <is>
          <t>Infra Check</t>
        </is>
      </c>
      <c r="F845" s="37" t="inlineStr">
        <is>
          <t>Check for any pending infra repairs.</t>
        </is>
      </c>
      <c r="G845" s="37" t="inlineStr">
        <is>
          <t>All is Well</t>
        </is>
      </c>
    </row>
    <row r="846">
      <c r="A846" s="37" t="inlineStr">
        <is>
          <t>Barna</t>
        </is>
      </c>
      <c r="B846" s="37" t="inlineStr">
        <is>
          <t>Sarita Vihar</t>
        </is>
      </c>
      <c r="C846" s="37" t="inlineStr">
        <is>
          <t>Youth</t>
        </is>
      </c>
      <c r="D846" s="37" t="inlineStr">
        <is>
          <t>2026-07-11</t>
        </is>
      </c>
      <c r="E846" s="37" t="inlineStr">
        <is>
          <t>Infra Check</t>
        </is>
      </c>
      <c r="F846" s="37" t="inlineStr">
        <is>
          <t>Check whether any fire extinguishers have expired (check the needle and expiry date both).</t>
        </is>
      </c>
      <c r="G846" s="37" t="inlineStr">
        <is>
          <t>All is Well</t>
        </is>
      </c>
    </row>
    <row r="847">
      <c r="A847" s="37" t="inlineStr">
        <is>
          <t>Barna</t>
        </is>
      </c>
      <c r="B847" s="37" t="inlineStr">
        <is>
          <t>Sarita Vihar</t>
        </is>
      </c>
      <c r="C847" s="37" t="inlineStr">
        <is>
          <t>Youth</t>
        </is>
      </c>
      <c r="D847" s="37" t="inlineStr">
        <is>
          <t>2026-07-11</t>
        </is>
      </c>
      <c r="E847" s="37" t="inlineStr">
        <is>
          <t>Infra Check</t>
        </is>
      </c>
      <c r="F847" s="37" t="inlineStr">
        <is>
          <t>Check basic cleanliness of the washrooms and the centre.</t>
        </is>
      </c>
      <c r="G847" s="37" t="inlineStr">
        <is>
          <t>All is Well</t>
        </is>
      </c>
    </row>
    <row r="848">
      <c r="A848" s="37" t="inlineStr">
        <is>
          <t>Barna</t>
        </is>
      </c>
      <c r="B848" s="37" t="inlineStr">
        <is>
          <t>Sarita Vihar</t>
        </is>
      </c>
      <c r="C848" s="37" t="inlineStr">
        <is>
          <t>Youth</t>
        </is>
      </c>
      <c r="D848" s="37" t="inlineStr">
        <is>
          <t>2026-07-11</t>
        </is>
      </c>
      <c r="E848" s="37" t="inlineStr">
        <is>
          <t>Infra Check</t>
        </is>
      </c>
      <c r="F848" s="37" t="inlineStr">
        <is>
          <t>Confirm the correct program and partner logos are displayed.</t>
        </is>
      </c>
      <c r="G848" s="37" t="inlineStr">
        <is>
          <t>All is Well</t>
        </is>
      </c>
    </row>
    <row r="849">
      <c r="A849" s="37" t="inlineStr">
        <is>
          <t>Barna</t>
        </is>
      </c>
      <c r="B849" s="37" t="inlineStr">
        <is>
          <t>Sarita Vihar</t>
        </is>
      </c>
      <c r="C849" s="37" t="inlineStr">
        <is>
          <t>Youth</t>
        </is>
      </c>
      <c r="D849" s="37" t="inlineStr">
        <is>
          <t>2026-07-11</t>
        </is>
      </c>
      <c r="E849" s="37" t="inlineStr">
        <is>
          <t>Infra Check</t>
        </is>
      </c>
      <c r="F849" s="37" t="inlineStr">
        <is>
          <t>Check the status of digital infra — PCs, smartboards, tablets, laptops, etc.</t>
        </is>
      </c>
      <c r="G849" s="37" t="inlineStr">
        <is>
          <t>All is Well</t>
        </is>
      </c>
    </row>
    <row r="850">
      <c r="A850" s="37" t="inlineStr">
        <is>
          <t>Barna</t>
        </is>
      </c>
      <c r="B850" s="37" t="inlineStr">
        <is>
          <t>Sarita Vihar</t>
        </is>
      </c>
      <c r="C850" s="37" t="inlineStr">
        <is>
          <t>Youth</t>
        </is>
      </c>
      <c r="D850" s="37" t="inlineStr">
        <is>
          <t>2026-07-11</t>
        </is>
      </c>
      <c r="E850" s="37" t="inlineStr">
        <is>
          <t>Infra Check</t>
        </is>
      </c>
      <c r="F850" s="37" t="inlineStr">
        <is>
          <t>Make a quick hostel visit; have lunch there if possible to test the food quality.</t>
        </is>
      </c>
      <c r="G850" s="37" t="inlineStr">
        <is>
          <t>Not Applicable</t>
        </is>
      </c>
    </row>
    <row r="851">
      <c r="A851" s="37" t="inlineStr">
        <is>
          <t>Barna</t>
        </is>
      </c>
      <c r="B851" s="37" t="inlineStr">
        <is>
          <t>Sarita Vihar</t>
        </is>
      </c>
      <c r="C851" s="37" t="inlineStr">
        <is>
          <t>Youth</t>
        </is>
      </c>
      <c r="D851" s="37" t="inlineStr">
        <is>
          <t>2026-07-11</t>
        </is>
      </c>
      <c r="E851" s="37" t="inlineStr">
        <is>
          <t>Process Check</t>
        </is>
      </c>
      <c r="F851" s="37" t="inlineStr">
        <is>
          <t>Refer to the activity planner — check if any activities are delayed.</t>
        </is>
      </c>
      <c r="G851" s="37" t="inlineStr">
        <is>
          <t>All is Well</t>
        </is>
      </c>
    </row>
    <row r="852">
      <c r="A852" s="37" t="inlineStr">
        <is>
          <t>Barna</t>
        </is>
      </c>
      <c r="B852" s="37" t="inlineStr">
        <is>
          <t>Sarita Vihar</t>
        </is>
      </c>
      <c r="C852" s="37" t="inlineStr">
        <is>
          <t>Youth</t>
        </is>
      </c>
      <c r="D852" s="37" t="inlineStr">
        <is>
          <t>2026-07-11</t>
        </is>
      </c>
      <c r="E852" s="37" t="inlineStr">
        <is>
          <t>Process Check</t>
        </is>
      </c>
      <c r="F852" s="37" t="inlineStr">
        <is>
          <t>Check planning for the next batch-start announcement.</t>
        </is>
      </c>
      <c r="G852" s="37" t="inlineStr">
        <is>
          <t>Need Improvement</t>
        </is>
      </c>
    </row>
    <row r="853">
      <c r="A853" s="37" t="inlineStr">
        <is>
          <t>Barna</t>
        </is>
      </c>
      <c r="B853" s="37" t="inlineStr">
        <is>
          <t>Sarita Vihar</t>
        </is>
      </c>
      <c r="C853" s="37" t="inlineStr">
        <is>
          <t>Youth</t>
        </is>
      </c>
      <c r="D853" s="37" t="inlineStr">
        <is>
          <t>2026-07-11</t>
        </is>
      </c>
      <c r="E853" s="37" t="inlineStr">
        <is>
          <t>Process Check</t>
        </is>
      </c>
      <c r="F853" s="37" t="inlineStr">
        <is>
          <t>Check if any hiring is delayed and plan a resolution.</t>
        </is>
      </c>
      <c r="G853" s="37" t="inlineStr">
        <is>
          <t>All is Well</t>
        </is>
      </c>
    </row>
    <row r="854">
      <c r="A854" s="37" t="inlineStr">
        <is>
          <t>Barna</t>
        </is>
      </c>
      <c r="B854" s="37" t="inlineStr">
        <is>
          <t>Sarita Vihar</t>
        </is>
      </c>
      <c r="C854" s="37" t="inlineStr">
        <is>
          <t>Youth</t>
        </is>
      </c>
      <c r="D854" s="37" t="inlineStr">
        <is>
          <t>2026-07-11</t>
        </is>
      </c>
      <c r="E854" s="37" t="inlineStr">
        <is>
          <t>Process Check</t>
        </is>
      </c>
      <c r="F854" s="37" t="inlineStr">
        <is>
          <t>Check the CA’s diary — is CA guided daily by the AH during planning days?</t>
        </is>
      </c>
      <c r="G854" s="37" t="inlineStr">
        <is>
          <t>Need Improvement</t>
        </is>
      </c>
    </row>
    <row r="855">
      <c r="A855" s="37" t="inlineStr">
        <is>
          <t>Barna</t>
        </is>
      </c>
      <c r="B855" s="37" t="inlineStr">
        <is>
          <t>Sarita Vihar</t>
        </is>
      </c>
      <c r="C855" s="37" t="inlineStr">
        <is>
          <t>Youth</t>
        </is>
      </c>
      <c r="D855" s="37" t="inlineStr">
        <is>
          <t>2026-07-11</t>
        </is>
      </c>
      <c r="E855" s="37" t="inlineStr">
        <is>
          <t>Process Check</t>
        </is>
      </c>
      <c r="F855" s="37" t="inlineStr">
        <is>
          <t>Check the AH is regularly meeting employers (in person and online) and updating the centre’s Top 20 Employer format.</t>
        </is>
      </c>
      <c r="G855" s="37" t="inlineStr">
        <is>
          <t>Need Improvement</t>
        </is>
      </c>
    </row>
    <row r="856">
      <c r="A856" s="37" t="inlineStr">
        <is>
          <t>Barna</t>
        </is>
      </c>
      <c r="B856" s="37" t="inlineStr">
        <is>
          <t>Sarita Vihar</t>
        </is>
      </c>
      <c r="C856" s="37" t="inlineStr">
        <is>
          <t>Youth</t>
        </is>
      </c>
      <c r="D856" s="37" t="inlineStr">
        <is>
          <t>2026-07-11</t>
        </is>
      </c>
      <c r="E856" s="37" t="inlineStr">
        <is>
          <t>Process Check</t>
        </is>
      </c>
      <c r="F856" s="37" t="inlineStr">
        <is>
          <t>Confirm all new employers are registered on portal as per new process.</t>
        </is>
      </c>
      <c r="G856" s="37" t="inlineStr">
        <is>
          <t>All is Well</t>
        </is>
      </c>
    </row>
    <row r="857">
      <c r="A857" s="37" t="inlineStr">
        <is>
          <t>Barna</t>
        </is>
      </c>
      <c r="B857" s="37" t="inlineStr">
        <is>
          <t>Sarita Vihar</t>
        </is>
      </c>
      <c r="C857" s="37" t="inlineStr">
        <is>
          <t>Youth</t>
        </is>
      </c>
      <c r="D857" s="37" t="inlineStr">
        <is>
          <t>2026-07-11</t>
        </is>
      </c>
      <c r="E857" s="37" t="inlineStr">
        <is>
          <t>Process Check</t>
        </is>
      </c>
      <c r="F857" s="37" t="inlineStr">
        <is>
          <t>Confirm 100% of enrolled students undergone screening (for technical courses).</t>
        </is>
      </c>
      <c r="G857" s="37" t="inlineStr">
        <is>
          <t>All is Well</t>
        </is>
      </c>
    </row>
    <row r="858">
      <c r="A858" s="37" t="inlineStr">
        <is>
          <t>Barna</t>
        </is>
      </c>
      <c r="B858" s="37" t="inlineStr">
        <is>
          <t>Sarita Vihar</t>
        </is>
      </c>
      <c r="C858" s="37" t="inlineStr">
        <is>
          <t>Youth</t>
        </is>
      </c>
      <c r="D858" s="37" t="inlineStr">
        <is>
          <t>2026-07-11</t>
        </is>
      </c>
      <c r="E858" s="37" t="inlineStr">
        <is>
          <t>Process Check</t>
        </is>
      </c>
      <c r="F858" s="37" t="inlineStr">
        <is>
          <t>Confirm ESA is done (in GROW full ESA and in Technical courses relevant sections of Core Employability Part).</t>
        </is>
      </c>
      <c r="G858" s="37" t="inlineStr">
        <is>
          <t>All is Well</t>
        </is>
      </c>
    </row>
    <row r="859">
      <c r="A859" s="37" t="inlineStr">
        <is>
          <t>Barna</t>
        </is>
      </c>
      <c r="B859" s="37" t="inlineStr">
        <is>
          <t>Sarita Vihar</t>
        </is>
      </c>
      <c r="C859" s="37" t="inlineStr">
        <is>
          <t>Youth</t>
        </is>
      </c>
      <c r="D859" s="37" t="inlineStr">
        <is>
          <t>2026-07-11</t>
        </is>
      </c>
      <c r="E859" s="37" t="inlineStr">
        <is>
          <t>Process Check</t>
        </is>
      </c>
      <c r="F859" s="37" t="inlineStr">
        <is>
          <t>Check is AH giving capstone project in GROW Tech.</t>
        </is>
      </c>
      <c r="G859" s="37" t="inlineStr">
        <is>
          <t>Not Applicable</t>
        </is>
      </c>
    </row>
    <row r="860">
      <c r="A860" s="37" t="inlineStr">
        <is>
          <t>Barna</t>
        </is>
      </c>
      <c r="B860" s="37" t="inlineStr">
        <is>
          <t>Sarita Vihar</t>
        </is>
      </c>
      <c r="C860" s="37" t="inlineStr">
        <is>
          <t>Youth</t>
        </is>
      </c>
      <c r="D860" s="37" t="inlineStr">
        <is>
          <t>2026-07-11</t>
        </is>
      </c>
      <c r="E860" s="37" t="inlineStr">
        <is>
          <t>Process Check</t>
        </is>
      </c>
      <c r="F860" s="37" t="inlineStr">
        <is>
          <t>Check is AH planning OJT as per guidelines and proofs are collected for technical courses.</t>
        </is>
      </c>
      <c r="G860" s="37" t="inlineStr">
        <is>
          <t>Not Applicable</t>
        </is>
      </c>
    </row>
    <row r="861">
      <c r="A861" s="37" t="inlineStr">
        <is>
          <t>Barna</t>
        </is>
      </c>
      <c r="B861" s="37" t="inlineStr">
        <is>
          <t>Sarita Vihar</t>
        </is>
      </c>
      <c r="C861" s="37" t="inlineStr">
        <is>
          <t>Youth</t>
        </is>
      </c>
      <c r="D861" s="37" t="inlineStr">
        <is>
          <t>2026-07-11</t>
        </is>
      </c>
      <c r="E861" s="37" t="inlineStr">
        <is>
          <t>Process Check</t>
        </is>
      </c>
      <c r="F861" s="37" t="inlineStr">
        <is>
          <t>Check are trainers contacting aspirants to find reason for their absenteeism of more than 1 day.</t>
        </is>
      </c>
      <c r="G861" s="37" t="inlineStr">
        <is>
          <t>All is Well</t>
        </is>
      </c>
    </row>
    <row r="862">
      <c r="A862" s="37" t="inlineStr">
        <is>
          <t>Barna</t>
        </is>
      </c>
      <c r="B862" s="37" t="inlineStr">
        <is>
          <t>Sarita Vihar</t>
        </is>
      </c>
      <c r="C862" s="37" t="inlineStr">
        <is>
          <t>Youth</t>
        </is>
      </c>
      <c r="D862" s="37" t="inlineStr">
        <is>
          <t>2026-07-11</t>
        </is>
      </c>
      <c r="E862" s="37" t="inlineStr">
        <is>
          <t>Process Check</t>
        </is>
      </c>
      <c r="F862" s="37" t="inlineStr">
        <is>
          <t>Check the AH plans monthly enrolment and placement numbers by the 3rd of each month and shares them with second level managers.</t>
        </is>
      </c>
      <c r="G862" s="37" t="inlineStr">
        <is>
          <t>Need Improvement</t>
        </is>
      </c>
    </row>
    <row r="863">
      <c r="A863" s="37" t="inlineStr">
        <is>
          <t>Barna</t>
        </is>
      </c>
      <c r="B863" s="37" t="inlineStr">
        <is>
          <t>Sarita Vihar</t>
        </is>
      </c>
      <c r="C863" s="37" t="inlineStr">
        <is>
          <t>Youth</t>
        </is>
      </c>
      <c r="D863" s="37" t="inlineStr">
        <is>
          <t>2026-07-11</t>
        </is>
      </c>
      <c r="E863" s="37" t="inlineStr">
        <is>
          <t>Process Check</t>
        </is>
      </c>
      <c r="F863" s="37" t="inlineStr">
        <is>
          <t>Check trainers submit aspirants’ placement interest areas to the AH by the batch’s 25th day (in GROW).</t>
        </is>
      </c>
      <c r="G863" s="37" t="inlineStr">
        <is>
          <t>All is Well</t>
        </is>
      </c>
    </row>
    <row r="864">
      <c r="A864" s="37" t="inlineStr">
        <is>
          <t>Barna</t>
        </is>
      </c>
      <c r="B864" s="37" t="inlineStr">
        <is>
          <t>Sarita Vihar</t>
        </is>
      </c>
      <c r="C864" s="37" t="inlineStr">
        <is>
          <t>Youth</t>
        </is>
      </c>
      <c r="D864" s="37" t="inlineStr">
        <is>
          <t>2026-07-11</t>
        </is>
      </c>
      <c r="E864" s="37" t="inlineStr">
        <is>
          <t>Process Check</t>
        </is>
      </c>
      <c r="F864" s="37" t="inlineStr">
        <is>
          <t>Ckeck For technical programs, placement is done only in technical jobs,on which aspirants are trained and relevant emplyers are identified by 45th day.</t>
        </is>
      </c>
      <c r="G864" s="37" t="inlineStr">
        <is>
          <t>Not Applicable</t>
        </is>
      </c>
    </row>
    <row r="865">
      <c r="A865" s="37" t="inlineStr">
        <is>
          <t>Barna</t>
        </is>
      </c>
      <c r="B865" s="37" t="inlineStr">
        <is>
          <t>Sarita Vihar</t>
        </is>
      </c>
      <c r="C865" s="37" t="inlineStr">
        <is>
          <t>Youth</t>
        </is>
      </c>
      <c r="D865" s="37" t="inlineStr">
        <is>
          <t>2026-07-11</t>
        </is>
      </c>
      <c r="E865" s="37" t="inlineStr">
        <is>
          <t>Process Check</t>
        </is>
      </c>
      <c r="F865" s="37" t="inlineStr">
        <is>
          <t>Check the AH follows EP guidelines and minimum benchmark salary guidelines.</t>
        </is>
      </c>
      <c r="G865" s="37" t="inlineStr">
        <is>
          <t>All is Well</t>
        </is>
      </c>
    </row>
    <row r="866">
      <c r="A866" s="37" t="inlineStr">
        <is>
          <t>Barna</t>
        </is>
      </c>
      <c r="B866" s="37" t="inlineStr">
        <is>
          <t>Sarita Vihar</t>
        </is>
      </c>
      <c r="C866" s="37" t="inlineStr">
        <is>
          <t>Youth</t>
        </is>
      </c>
      <c r="D866" s="37" t="inlineStr">
        <is>
          <t>2026-07-11</t>
        </is>
      </c>
      <c r="E866" s="37" t="inlineStr">
        <is>
          <t>Process Check</t>
        </is>
      </c>
      <c r="F866" s="37" t="inlineStr">
        <is>
          <t>Check that AH is enrolling only the right traget group in the program -as per the defined target.</t>
        </is>
      </c>
      <c r="G866" s="37" t="inlineStr">
        <is>
          <t>All is Well</t>
        </is>
      </c>
    </row>
    <row r="867">
      <c r="A867" s="37" t="inlineStr">
        <is>
          <t>Barna</t>
        </is>
      </c>
      <c r="B867" s="37" t="inlineStr">
        <is>
          <t>Sarita Vihar</t>
        </is>
      </c>
      <c r="C867" s="37" t="inlineStr">
        <is>
          <t>Youth</t>
        </is>
      </c>
      <c r="D867" s="37" t="inlineStr">
        <is>
          <t>2026-07-11</t>
        </is>
      </c>
      <c r="E867" s="37" t="inlineStr">
        <is>
          <t>Process Check</t>
        </is>
      </c>
      <c r="F867" s="37" t="inlineStr">
        <is>
          <t>Check the AH announces the next batch-start date by the 3rd of the month on all notice boards — focus on Zero-Day start.</t>
        </is>
      </c>
      <c r="G867" s="37" t="inlineStr">
        <is>
          <t>Need Improvement</t>
        </is>
      </c>
    </row>
    <row r="868">
      <c r="A868" s="37" t="inlineStr">
        <is>
          <t>Barna</t>
        </is>
      </c>
      <c r="B868" s="37" t="inlineStr">
        <is>
          <t>Sarita Vihar</t>
        </is>
      </c>
      <c r="C868" s="37" t="inlineStr">
        <is>
          <t>Youth</t>
        </is>
      </c>
      <c r="D868" s="37" t="inlineStr">
        <is>
          <t>2026-07-11</t>
        </is>
      </c>
      <c r="E868" s="37" t="inlineStr">
        <is>
          <t>Process Check</t>
        </is>
      </c>
      <c r="F868" s="37" t="inlineStr">
        <is>
          <t>Check the Aspirant Mock Interview Score Tracker is updated after every mock interview in the L&amp;D Google Sheet.</t>
        </is>
      </c>
      <c r="G868" s="37" t="inlineStr">
        <is>
          <t>All is Well</t>
        </is>
      </c>
    </row>
    <row r="869">
      <c r="A869" s="37" t="inlineStr">
        <is>
          <t>Barna</t>
        </is>
      </c>
      <c r="B869" s="37" t="inlineStr">
        <is>
          <t>Sarita Vihar</t>
        </is>
      </c>
      <c r="C869" s="37" t="inlineStr">
        <is>
          <t>Youth</t>
        </is>
      </c>
      <c r="D869" s="37" t="inlineStr">
        <is>
          <t>2026-07-11</t>
        </is>
      </c>
      <c r="E869" s="37" t="inlineStr">
        <is>
          <t>Process Check</t>
        </is>
      </c>
      <c r="F869" s="37" t="inlineStr">
        <is>
          <t>Confirm NPS (Net Promoter Score) is collected at MSDF centres.</t>
        </is>
      </c>
      <c r="G869" s="37" t="inlineStr">
        <is>
          <t>Not Applicable</t>
        </is>
      </c>
    </row>
    <row r="870">
      <c r="A870" s="37" t="inlineStr">
        <is>
          <t>Barna</t>
        </is>
      </c>
      <c r="B870" s="37" t="inlineStr">
        <is>
          <t>Sarita Vihar</t>
        </is>
      </c>
      <c r="C870" s="37" t="inlineStr">
        <is>
          <t>Youth</t>
        </is>
      </c>
      <c r="D870" s="37" t="inlineStr">
        <is>
          <t>2026-07-11</t>
        </is>
      </c>
      <c r="E870" s="37" t="inlineStr">
        <is>
          <t>Process Check</t>
        </is>
      </c>
      <c r="F870" s="37" t="inlineStr">
        <is>
          <t>Confirm that QAE is collecting student feedback for every batch.</t>
        </is>
      </c>
      <c r="G870" s="37" t="inlineStr">
        <is>
          <t>All is Well</t>
        </is>
      </c>
    </row>
    <row r="871">
      <c r="A871" s="37" t="inlineStr">
        <is>
          <t>Barna</t>
        </is>
      </c>
      <c r="B871" s="37" t="inlineStr">
        <is>
          <t>Sarita Vihar</t>
        </is>
      </c>
      <c r="C871" s="37" t="inlineStr">
        <is>
          <t>Youth</t>
        </is>
      </c>
      <c r="D871" s="37" t="inlineStr">
        <is>
          <t>2026-07-11</t>
        </is>
      </c>
      <c r="E871" s="37" t="inlineStr">
        <is>
          <t>Process Check</t>
        </is>
      </c>
      <c r="F871" s="37" t="inlineStr">
        <is>
          <t>Confirm all centre teams have completed the GROW Manual Course on Skillfy — ask for achievement certificates.</t>
        </is>
      </c>
      <c r="G871" s="37" t="inlineStr">
        <is>
          <t>All is Well</t>
        </is>
      </c>
    </row>
    <row r="872">
      <c r="A872" s="37" t="inlineStr">
        <is>
          <t>Barna</t>
        </is>
      </c>
      <c r="B872" s="37" t="inlineStr">
        <is>
          <t>Sarita Vihar</t>
        </is>
      </c>
      <c r="C872" s="37" t="inlineStr">
        <is>
          <t>Youth</t>
        </is>
      </c>
      <c r="D872" s="37" t="inlineStr">
        <is>
          <t>2026-07-11</t>
        </is>
      </c>
      <c r="E872" s="37" t="inlineStr">
        <is>
          <t>Process Check</t>
        </is>
      </c>
      <c r="F872" s="37" t="inlineStr">
        <is>
          <t>Check AH holds a quality weekly team meeting, documents action points in the weekly meeting format, and sends you a photo on WhatsApp.</t>
        </is>
      </c>
      <c r="G872" s="37" t="inlineStr">
        <is>
          <t>Need Improvement</t>
        </is>
      </c>
    </row>
    <row r="873">
      <c r="A873" s="37" t="inlineStr">
        <is>
          <t>Barna</t>
        </is>
      </c>
      <c r="B873" s="37" t="inlineStr">
        <is>
          <t>Sarita Vihar</t>
        </is>
      </c>
      <c r="C873" s="37" t="inlineStr">
        <is>
          <t>Youth</t>
        </is>
      </c>
      <c r="D873" s="37" t="inlineStr">
        <is>
          <t>2026-07-11</t>
        </is>
      </c>
      <c r="E873" s="37" t="inlineStr">
        <is>
          <t>Aspirant Interaction</t>
        </is>
      </c>
      <c r="F873" s="37" t="inlineStr">
        <is>
          <t>Ask aspirants about the session plan — confirm training is happening as planned?</t>
        </is>
      </c>
      <c r="G873" s="37" t="inlineStr">
        <is>
          <t>All is Well</t>
        </is>
      </c>
    </row>
    <row r="874">
      <c r="A874" s="37" t="inlineStr">
        <is>
          <t>Barna</t>
        </is>
      </c>
      <c r="B874" s="37" t="inlineStr">
        <is>
          <t>Sarita Vihar</t>
        </is>
      </c>
      <c r="C874" s="37" t="inlineStr">
        <is>
          <t>Youth</t>
        </is>
      </c>
      <c r="D874" s="37" t="inlineStr">
        <is>
          <t>2026-07-11</t>
        </is>
      </c>
      <c r="E874" s="37" t="inlineStr">
        <is>
          <t>Aspirant Interaction</t>
        </is>
      </c>
      <c r="F874" s="37" t="inlineStr">
        <is>
          <t>Ask about the quality of Core Employability component delivery (technical centres) and who delivers it.</t>
        </is>
      </c>
      <c r="G874" s="37" t="inlineStr">
        <is>
          <t>All is Well</t>
        </is>
      </c>
    </row>
    <row r="875">
      <c r="A875" s="37" t="inlineStr">
        <is>
          <t>Barna</t>
        </is>
      </c>
      <c r="B875" s="37" t="inlineStr">
        <is>
          <t>Sarita Vihar</t>
        </is>
      </c>
      <c r="C875" s="37" t="inlineStr">
        <is>
          <t>Youth</t>
        </is>
      </c>
      <c r="D875" s="37" t="inlineStr">
        <is>
          <t>2026-07-11</t>
        </is>
      </c>
      <c r="E875" s="37" t="inlineStr">
        <is>
          <t>Aspirant Interaction</t>
        </is>
      </c>
      <c r="F875" s="37" t="inlineStr">
        <is>
          <t>Ask whether they are aware of the referral scheme?</t>
        </is>
      </c>
      <c r="G875" s="37" t="inlineStr">
        <is>
          <t>All is Well</t>
        </is>
      </c>
    </row>
    <row r="876">
      <c r="A876" s="37" t="inlineStr">
        <is>
          <t>Barna</t>
        </is>
      </c>
      <c r="B876" s="37" t="inlineStr">
        <is>
          <t>Sarita Vihar</t>
        </is>
      </c>
      <c r="C876" s="37" t="inlineStr">
        <is>
          <t>Youth</t>
        </is>
      </c>
      <c r="D876" s="37" t="inlineStr">
        <is>
          <t>2026-07-11</t>
        </is>
      </c>
      <c r="E876" s="37" t="inlineStr">
        <is>
          <t>Aspirant Interaction</t>
        </is>
      </c>
      <c r="F876" s="37" t="inlineStr">
        <is>
          <t>Ask whether the AH explained the importance of the offer letter and sharing it with us once received for reporting purposes?</t>
        </is>
      </c>
      <c r="G876" s="37" t="inlineStr">
        <is>
          <t>All is Well</t>
        </is>
      </c>
    </row>
    <row r="877">
      <c r="A877" s="37" t="inlineStr">
        <is>
          <t>Barna</t>
        </is>
      </c>
      <c r="B877" s="37" t="inlineStr">
        <is>
          <t>Sarita Vihar</t>
        </is>
      </c>
      <c r="C877" s="37" t="inlineStr">
        <is>
          <t>Youth</t>
        </is>
      </c>
      <c r="D877" s="37" t="inlineStr">
        <is>
          <t>2026-07-11</t>
        </is>
      </c>
      <c r="E877" s="37" t="inlineStr">
        <is>
          <t>Aspirant Interaction</t>
        </is>
      </c>
      <c r="F877" s="37" t="inlineStr">
        <is>
          <t>Ask how many are not interested in jobs — and if so, why they enrolled in the programme?</t>
        </is>
      </c>
      <c r="G877" s="37" t="inlineStr">
        <is>
          <t>All is Well</t>
        </is>
      </c>
    </row>
    <row r="878">
      <c r="A878" s="37" t="inlineStr">
        <is>
          <t>Barna</t>
        </is>
      </c>
      <c r="B878" s="37" t="inlineStr">
        <is>
          <t>Sarita Vihar</t>
        </is>
      </c>
      <c r="C878" s="37" t="inlineStr">
        <is>
          <t>Youth</t>
        </is>
      </c>
      <c r="D878" s="37" t="inlineStr">
        <is>
          <t>2026-07-11</t>
        </is>
      </c>
      <c r="E878" s="37" t="inlineStr">
        <is>
          <t>Aspirant Interaction</t>
        </is>
      </c>
      <c r="F878" s="37" t="inlineStr">
        <is>
          <t>Ask whether they were told the kind of job they would get during counselling?</t>
        </is>
      </c>
      <c r="G878" s="37" t="inlineStr">
        <is>
          <t>All is Well</t>
        </is>
      </c>
    </row>
    <row r="879">
      <c r="A879" s="37" t="inlineStr">
        <is>
          <t>Barna</t>
        </is>
      </c>
      <c r="B879" s="37" t="inlineStr">
        <is>
          <t>Sarita Vihar</t>
        </is>
      </c>
      <c r="C879" s="37" t="inlineStr">
        <is>
          <t>Youth</t>
        </is>
      </c>
      <c r="D879" s="37" t="inlineStr">
        <is>
          <t>2026-07-11</t>
        </is>
      </c>
      <c r="E879" s="37" t="inlineStr">
        <is>
          <t>Aspirant Interaction</t>
        </is>
      </c>
      <c r="F879" s="37" t="inlineStr">
        <is>
          <t>Ask whether they have been given LMS access?</t>
        </is>
      </c>
      <c r="G879" s="37" t="inlineStr">
        <is>
          <t>All is Well</t>
        </is>
      </c>
    </row>
    <row r="880">
      <c r="A880" s="37" t="inlineStr">
        <is>
          <t>Barna</t>
        </is>
      </c>
      <c r="B880" s="37" t="inlineStr">
        <is>
          <t>Sarita Vihar</t>
        </is>
      </c>
      <c r="C880" s="37" t="inlineStr">
        <is>
          <t>Youth</t>
        </is>
      </c>
      <c r="D880" s="37" t="inlineStr">
        <is>
          <t>2026-07-11</t>
        </is>
      </c>
      <c r="E880" s="37" t="inlineStr">
        <is>
          <t>Aspirant Interaction</t>
        </is>
      </c>
      <c r="F880" s="37" t="inlineStr">
        <is>
          <t>Ask whether anyone asked them for money for training or placement?</t>
        </is>
      </c>
      <c r="G880" s="37" t="inlineStr">
        <is>
          <t>All is Well</t>
        </is>
      </c>
    </row>
    <row r="881">
      <c r="A881" s="37" t="inlineStr">
        <is>
          <t>Barna</t>
        </is>
      </c>
      <c r="B881" s="37" t="inlineStr">
        <is>
          <t>Sarita Vihar</t>
        </is>
      </c>
      <c r="C881" s="37" t="inlineStr">
        <is>
          <t>Youth</t>
        </is>
      </c>
      <c r="D881" s="37" t="inlineStr">
        <is>
          <t>2026-07-11</t>
        </is>
      </c>
      <c r="E881" s="37" t="inlineStr">
        <is>
          <t>Aspirant Interaction</t>
        </is>
      </c>
      <c r="F881" s="37" t="inlineStr">
        <is>
          <t>Ask to show their mobile phones — are they enrolled on Skillfy? If not, get them enrolled and give written feedback to trainers and the AH in your presence.</t>
        </is>
      </c>
      <c r="G881" s="37" t="inlineStr">
        <is>
          <t>All is Well</t>
        </is>
      </c>
    </row>
    <row r="882">
      <c r="A882" s="37" t="inlineStr">
        <is>
          <t>Barna</t>
        </is>
      </c>
      <c r="B882" s="37" t="inlineStr">
        <is>
          <t>Sarita Vihar</t>
        </is>
      </c>
      <c r="C882" s="37" t="inlineStr">
        <is>
          <t>Youth</t>
        </is>
      </c>
      <c r="D882" s="37" t="inlineStr">
        <is>
          <t>2026-07-11</t>
        </is>
      </c>
      <c r="E882" s="37" t="inlineStr">
        <is>
          <t>Aspirant Interaction</t>
        </is>
      </c>
      <c r="F882" s="37" t="inlineStr">
        <is>
          <t>Ask about the quality of the hostel and any issues they face.</t>
        </is>
      </c>
      <c r="G882" s="37" t="inlineStr">
        <is>
          <t>All is Well</t>
        </is>
      </c>
    </row>
    <row r="883">
      <c r="A883" s="37" t="inlineStr">
        <is>
          <t>Barna</t>
        </is>
      </c>
      <c r="B883" s="37" t="inlineStr">
        <is>
          <t>Sarita Vihar</t>
        </is>
      </c>
      <c r="C883" s="37" t="inlineStr">
        <is>
          <t>Youth</t>
        </is>
      </c>
      <c r="D883" s="37" t="inlineStr">
        <is>
          <t>2026-07-11</t>
        </is>
      </c>
      <c r="E883" s="37" t="inlineStr">
        <is>
          <t>Aspirant Interaction</t>
        </is>
      </c>
      <c r="F883" s="37" t="inlineStr">
        <is>
          <t>Ask a few relevant screening questions to support the 10th-day report and remove non-serious candidates, explaining to them the reasons.</t>
        </is>
      </c>
      <c r="G883" s="37" t="inlineStr">
        <is>
          <t>All is Well</t>
        </is>
      </c>
    </row>
    <row r="884">
      <c r="A884" s="37" t="inlineStr">
        <is>
          <t>Barna</t>
        </is>
      </c>
      <c r="B884" s="37" t="inlineStr">
        <is>
          <t>NOIDA Sec 63</t>
        </is>
      </c>
      <c r="C884" s="37" t="inlineStr">
        <is>
          <t>GROW Youth</t>
        </is>
      </c>
      <c r="D884" s="37" t="inlineStr">
        <is>
          <t>2026-07-13</t>
        </is>
      </c>
      <c r="E884" s="37" t="inlineStr">
        <is>
          <t>Data Check</t>
        </is>
      </c>
      <c r="F884" s="37" t="inlineStr">
        <is>
          <t>Reach the centre on time (unannounced) — confirm the centre opened on time.</t>
        </is>
      </c>
      <c r="G884" s="37" t="inlineStr">
        <is>
          <t>All is Well</t>
        </is>
      </c>
    </row>
    <row r="885">
      <c r="A885" s="37" t="inlineStr">
        <is>
          <t>Barna</t>
        </is>
      </c>
      <c r="B885" s="37" t="inlineStr">
        <is>
          <t>NOIDA Sec 63</t>
        </is>
      </c>
      <c r="C885" s="37" t="inlineStr">
        <is>
          <t>GROW Youth</t>
        </is>
      </c>
      <c r="D885" s="37" t="inlineStr">
        <is>
          <t>2026-07-13</t>
        </is>
      </c>
      <c r="E885" s="37" t="inlineStr">
        <is>
          <t>Data Check</t>
        </is>
      </c>
      <c r="F885" s="37" t="inlineStr">
        <is>
          <t>Check the staff attendance register, the Google Sheet, and geo-tagged photos for aspirants.</t>
        </is>
      </c>
      <c r="G885" s="37" t="inlineStr">
        <is>
          <t>Not Applicable</t>
        </is>
      </c>
    </row>
    <row r="886">
      <c r="A886" s="37" t="inlineStr">
        <is>
          <t>Barna</t>
        </is>
      </c>
      <c r="B886" s="37" t="inlineStr">
        <is>
          <t>NOIDA Sec 63</t>
        </is>
      </c>
      <c r="C886" s="37" t="inlineStr">
        <is>
          <t>GROW Youth</t>
        </is>
      </c>
      <c r="D886" s="37" t="inlineStr">
        <is>
          <t>2026-07-13</t>
        </is>
      </c>
      <c r="E886" s="37" t="inlineStr">
        <is>
          <t>Data Check</t>
        </is>
      </c>
      <c r="F886" s="37" t="inlineStr">
        <is>
          <t>Check Counselling and Screening Forms of recently started batches.</t>
        </is>
      </c>
      <c r="G886" s="37" t="inlineStr">
        <is>
          <t>All is Well</t>
        </is>
      </c>
    </row>
    <row r="887">
      <c r="A887" s="37" t="inlineStr">
        <is>
          <t>Barna</t>
        </is>
      </c>
      <c r="B887" s="37" t="inlineStr">
        <is>
          <t>NOIDA Sec 63</t>
        </is>
      </c>
      <c r="C887" s="37" t="inlineStr">
        <is>
          <t>GROW Youth</t>
        </is>
      </c>
      <c r="D887" s="37" t="inlineStr">
        <is>
          <t>2026-07-13</t>
        </is>
      </c>
      <c r="E887" s="37" t="inlineStr">
        <is>
          <t>Data Check</t>
        </is>
      </c>
      <c r="F887" s="37" t="inlineStr">
        <is>
          <t>Check Aspirant Registration Forms and related documents.</t>
        </is>
      </c>
      <c r="G887" s="37" t="inlineStr">
        <is>
          <t>Need Improvement</t>
        </is>
      </c>
    </row>
    <row r="888">
      <c r="A888" s="37" t="inlineStr">
        <is>
          <t>Barna</t>
        </is>
      </c>
      <c r="B888" s="37" t="inlineStr">
        <is>
          <t>NOIDA Sec 63</t>
        </is>
      </c>
      <c r="C888" s="37" t="inlineStr">
        <is>
          <t>GROW Youth</t>
        </is>
      </c>
      <c r="D888" s="37" t="inlineStr">
        <is>
          <t>2026-07-13</t>
        </is>
      </c>
      <c r="E888" s="37" t="inlineStr">
        <is>
          <t>Data Check</t>
        </is>
      </c>
      <c r="F888" s="37" t="inlineStr">
        <is>
          <t>On the GROW portal, confirm all student profile details and batch updates are currect.</t>
        </is>
      </c>
      <c r="G888" s="37" t="inlineStr">
        <is>
          <t>All is Well</t>
        </is>
      </c>
    </row>
    <row r="889">
      <c r="A889" s="37" t="inlineStr">
        <is>
          <t>Barna</t>
        </is>
      </c>
      <c r="B889" s="37" t="inlineStr">
        <is>
          <t>NOIDA Sec 63</t>
        </is>
      </c>
      <c r="C889" s="37" t="inlineStr">
        <is>
          <t>GROW Youth</t>
        </is>
      </c>
      <c r="D889" s="37" t="inlineStr">
        <is>
          <t>2026-07-13</t>
        </is>
      </c>
      <c r="E889" s="37" t="inlineStr">
        <is>
          <t>Data Check</t>
        </is>
      </c>
      <c r="F889" s="37" t="inlineStr">
        <is>
          <t>Verify placement data — randomly call 3–4 alumni placed in the last 3 months to confirm veracity (random selection is essential).</t>
        </is>
      </c>
      <c r="G889" s="37" t="inlineStr">
        <is>
          <t>Not Applicable</t>
        </is>
      </c>
    </row>
    <row r="890">
      <c r="A890" s="37" t="inlineStr">
        <is>
          <t>Barna</t>
        </is>
      </c>
      <c r="B890" s="37" t="inlineStr">
        <is>
          <t>NOIDA Sec 63</t>
        </is>
      </c>
      <c r="C890" s="37" t="inlineStr">
        <is>
          <t>GROW Youth</t>
        </is>
      </c>
      <c r="D890" s="37" t="inlineStr">
        <is>
          <t>2026-07-13</t>
        </is>
      </c>
      <c r="E890" s="37" t="inlineStr">
        <is>
          <t>Data Check</t>
        </is>
      </c>
      <c r="F890" s="37" t="inlineStr">
        <is>
          <t>Verify retention — check the Alumni Hand-holding Format is being updated as designed.</t>
        </is>
      </c>
      <c r="G890" s="37" t="inlineStr">
        <is>
          <t>Need Improvement</t>
        </is>
      </c>
    </row>
    <row r="891">
      <c r="A891" s="37" t="inlineStr">
        <is>
          <t>Barna</t>
        </is>
      </c>
      <c r="B891" s="37" t="inlineStr">
        <is>
          <t>NOIDA Sec 63</t>
        </is>
      </c>
      <c r="C891" s="37" t="inlineStr">
        <is>
          <t>GROW Youth</t>
        </is>
      </c>
      <c r="D891" s="37" t="inlineStr">
        <is>
          <t>2026-07-13</t>
        </is>
      </c>
      <c r="E891" s="37" t="inlineStr">
        <is>
          <t>Data Check</t>
        </is>
      </c>
      <c r="F891" s="37" t="inlineStr">
        <is>
          <t>Check aspirant Hostel Forms are properly filled or not.</t>
        </is>
      </c>
      <c r="G891" s="37" t="inlineStr">
        <is>
          <t>Not Applicable</t>
        </is>
      </c>
    </row>
    <row r="892">
      <c r="A892" s="37" t="inlineStr">
        <is>
          <t>Barna</t>
        </is>
      </c>
      <c r="B892" s="37" t="inlineStr">
        <is>
          <t>NOIDA Sec 63</t>
        </is>
      </c>
      <c r="C892" s="37" t="inlineStr">
        <is>
          <t>GROW Youth</t>
        </is>
      </c>
      <c r="D892" s="37" t="inlineStr">
        <is>
          <t>2026-07-13</t>
        </is>
      </c>
      <c r="E892" s="37" t="inlineStr">
        <is>
          <t>Infra Check</t>
        </is>
      </c>
      <c r="F892" s="37" t="inlineStr">
        <is>
          <t>Check all CCTV cameras; if any are not working, ask the AH to troubleshoot or call the vendor.</t>
        </is>
      </c>
      <c r="G892" s="37" t="inlineStr">
        <is>
          <t>All is Well</t>
        </is>
      </c>
    </row>
    <row r="893">
      <c r="A893" s="37" t="inlineStr">
        <is>
          <t>Barna</t>
        </is>
      </c>
      <c r="B893" s="37" t="inlineStr">
        <is>
          <t>NOIDA Sec 63</t>
        </is>
      </c>
      <c r="C893" s="37" t="inlineStr">
        <is>
          <t>GROW Youth</t>
        </is>
      </c>
      <c r="D893" s="37" t="inlineStr">
        <is>
          <t>2026-07-13</t>
        </is>
      </c>
      <c r="E893" s="37" t="inlineStr">
        <is>
          <t>Infra Check</t>
        </is>
      </c>
      <c r="F893" s="37" t="inlineStr">
        <is>
          <t>Check for any scrap material and get it cleared, with support of Admin</t>
        </is>
      </c>
      <c r="G893" s="37" t="inlineStr">
        <is>
          <t>All is Well</t>
        </is>
      </c>
    </row>
    <row r="894">
      <c r="A894" s="37" t="inlineStr">
        <is>
          <t>Barna</t>
        </is>
      </c>
      <c r="B894" s="37" t="inlineStr">
        <is>
          <t>NOIDA Sec 63</t>
        </is>
      </c>
      <c r="C894" s="37" t="inlineStr">
        <is>
          <t>GROW Youth</t>
        </is>
      </c>
      <c r="D894" s="37" t="inlineStr">
        <is>
          <t>2026-07-13</t>
        </is>
      </c>
      <c r="E894" s="37" t="inlineStr">
        <is>
          <t>Infra Check</t>
        </is>
      </c>
      <c r="F894" s="37" t="inlineStr">
        <is>
          <t>Check for any pending infra repairs.</t>
        </is>
      </c>
      <c r="G894" s="37" t="inlineStr">
        <is>
          <t>All is Well</t>
        </is>
      </c>
    </row>
    <row r="895">
      <c r="A895" s="37" t="inlineStr">
        <is>
          <t>Barna</t>
        </is>
      </c>
      <c r="B895" s="37" t="inlineStr">
        <is>
          <t>NOIDA Sec 63</t>
        </is>
      </c>
      <c r="C895" s="37" t="inlineStr">
        <is>
          <t>GROW Youth</t>
        </is>
      </c>
      <c r="D895" s="37" t="inlineStr">
        <is>
          <t>2026-07-13</t>
        </is>
      </c>
      <c r="E895" s="37" t="inlineStr">
        <is>
          <t>Infra Check</t>
        </is>
      </c>
      <c r="F895" s="37" t="inlineStr">
        <is>
          <t>Check whether any fire extinguishers have expired (check the needle and expiry date both).</t>
        </is>
      </c>
      <c r="G895" s="37" t="inlineStr">
        <is>
          <t>All is Well</t>
        </is>
      </c>
    </row>
    <row r="896">
      <c r="A896" s="37" t="inlineStr">
        <is>
          <t>Barna</t>
        </is>
      </c>
      <c r="B896" s="37" t="inlineStr">
        <is>
          <t>NOIDA Sec 63</t>
        </is>
      </c>
      <c r="C896" s="37" t="inlineStr">
        <is>
          <t>GROW Youth</t>
        </is>
      </c>
      <c r="D896" s="37" t="inlineStr">
        <is>
          <t>2026-07-13</t>
        </is>
      </c>
      <c r="E896" s="37" t="inlineStr">
        <is>
          <t>Infra Check</t>
        </is>
      </c>
      <c r="F896" s="37" t="inlineStr">
        <is>
          <t>Check basic cleanliness of the washrooms and the centre.</t>
        </is>
      </c>
      <c r="G896" s="37" t="inlineStr">
        <is>
          <t>All is Well</t>
        </is>
      </c>
    </row>
    <row r="897">
      <c r="A897" s="37" t="inlineStr">
        <is>
          <t>Barna</t>
        </is>
      </c>
      <c r="B897" s="37" t="inlineStr">
        <is>
          <t>NOIDA Sec 63</t>
        </is>
      </c>
      <c r="C897" s="37" t="inlineStr">
        <is>
          <t>GROW Youth</t>
        </is>
      </c>
      <c r="D897" s="37" t="inlineStr">
        <is>
          <t>2026-07-13</t>
        </is>
      </c>
      <c r="E897" s="37" t="inlineStr">
        <is>
          <t>Infra Check</t>
        </is>
      </c>
      <c r="F897" s="37" t="inlineStr">
        <is>
          <t>Confirm the correct program and partner logos are displayed.</t>
        </is>
      </c>
      <c r="G897" s="37" t="inlineStr">
        <is>
          <t>All is Well</t>
        </is>
      </c>
    </row>
    <row r="898">
      <c r="A898" s="37" t="inlineStr">
        <is>
          <t>Barna</t>
        </is>
      </c>
      <c r="B898" s="37" t="inlineStr">
        <is>
          <t>NOIDA Sec 63</t>
        </is>
      </c>
      <c r="C898" s="37" t="inlineStr">
        <is>
          <t>GROW Youth</t>
        </is>
      </c>
      <c r="D898" s="37" t="inlineStr">
        <is>
          <t>2026-07-13</t>
        </is>
      </c>
      <c r="E898" s="37" t="inlineStr">
        <is>
          <t>Infra Check</t>
        </is>
      </c>
      <c r="F898" s="37" t="inlineStr">
        <is>
          <t>Check the status of digital infra — PCs, smartboards, tablets, laptops, etc.</t>
        </is>
      </c>
      <c r="G898" s="37" t="inlineStr">
        <is>
          <t>Need Improvement</t>
        </is>
      </c>
    </row>
    <row r="899">
      <c r="A899" s="37" t="inlineStr">
        <is>
          <t>Barna</t>
        </is>
      </c>
      <c r="B899" s="37" t="inlineStr">
        <is>
          <t>NOIDA Sec 63</t>
        </is>
      </c>
      <c r="C899" s="37" t="inlineStr">
        <is>
          <t>GROW Youth</t>
        </is>
      </c>
      <c r="D899" s="37" t="inlineStr">
        <is>
          <t>2026-07-13</t>
        </is>
      </c>
      <c r="E899" s="37" t="inlineStr">
        <is>
          <t>Infra Check</t>
        </is>
      </c>
      <c r="F899" s="37" t="inlineStr">
        <is>
          <t>Make a quick hostel visit; have lunch there if possible to test the food quality.</t>
        </is>
      </c>
      <c r="G899" s="37" t="inlineStr">
        <is>
          <t>Not Applicable</t>
        </is>
      </c>
    </row>
    <row r="900">
      <c r="A900" s="37" t="inlineStr">
        <is>
          <t>Barna</t>
        </is>
      </c>
      <c r="B900" s="37" t="inlineStr">
        <is>
          <t>NOIDA Sec 63</t>
        </is>
      </c>
      <c r="C900" s="37" t="inlineStr">
        <is>
          <t>GROW Youth</t>
        </is>
      </c>
      <c r="D900" s="37" t="inlineStr">
        <is>
          <t>2026-07-13</t>
        </is>
      </c>
      <c r="E900" s="37" t="inlineStr">
        <is>
          <t>Process Check</t>
        </is>
      </c>
      <c r="F900" s="37" t="inlineStr">
        <is>
          <t>Refer to the activity planner — check if any activities are delayed.</t>
        </is>
      </c>
      <c r="G900" s="37" t="inlineStr">
        <is>
          <t>Need Improvement</t>
        </is>
      </c>
    </row>
    <row r="901">
      <c r="A901" s="37" t="inlineStr">
        <is>
          <t>Barna</t>
        </is>
      </c>
      <c r="B901" s="37" t="inlineStr">
        <is>
          <t>NOIDA Sec 63</t>
        </is>
      </c>
      <c r="C901" s="37" t="inlineStr">
        <is>
          <t>GROW Youth</t>
        </is>
      </c>
      <c r="D901" s="37" t="inlineStr">
        <is>
          <t>2026-07-13</t>
        </is>
      </c>
      <c r="E901" s="37" t="inlineStr">
        <is>
          <t>Process Check</t>
        </is>
      </c>
      <c r="F901" s="37" t="inlineStr">
        <is>
          <t>Check planning for the next batch-start announcement.</t>
        </is>
      </c>
      <c r="G901" s="37" t="inlineStr">
        <is>
          <t>Need Improvement</t>
        </is>
      </c>
    </row>
    <row r="902">
      <c r="A902" s="37" t="inlineStr">
        <is>
          <t>Barna</t>
        </is>
      </c>
      <c r="B902" s="37" t="inlineStr">
        <is>
          <t>NOIDA Sec 63</t>
        </is>
      </c>
      <c r="C902" s="37" t="inlineStr">
        <is>
          <t>GROW Youth</t>
        </is>
      </c>
      <c r="D902" s="37" t="inlineStr">
        <is>
          <t>2026-07-13</t>
        </is>
      </c>
      <c r="E902" s="37" t="inlineStr">
        <is>
          <t>Process Check</t>
        </is>
      </c>
      <c r="F902" s="37" t="inlineStr">
        <is>
          <t>Check if any hiring is delayed and plan a resolution.</t>
        </is>
      </c>
      <c r="G902" s="37" t="inlineStr">
        <is>
          <t>All is Well</t>
        </is>
      </c>
    </row>
    <row r="903">
      <c r="A903" s="37" t="inlineStr">
        <is>
          <t>Barna</t>
        </is>
      </c>
      <c r="B903" s="37" t="inlineStr">
        <is>
          <t>NOIDA Sec 63</t>
        </is>
      </c>
      <c r="C903" s="37" t="inlineStr">
        <is>
          <t>GROW Youth</t>
        </is>
      </c>
      <c r="D903" s="37" t="inlineStr">
        <is>
          <t>2026-07-13</t>
        </is>
      </c>
      <c r="E903" s="37" t="inlineStr">
        <is>
          <t>Process Check</t>
        </is>
      </c>
      <c r="F903" s="37" t="inlineStr">
        <is>
          <t>Check the CA’s diary — is CA guided daily by the AH during planning days?</t>
        </is>
      </c>
      <c r="G903" s="37" t="inlineStr">
        <is>
          <t>Need Improvement</t>
        </is>
      </c>
    </row>
    <row r="904">
      <c r="A904" s="37" t="inlineStr">
        <is>
          <t>Barna</t>
        </is>
      </c>
      <c r="B904" s="37" t="inlineStr">
        <is>
          <t>NOIDA Sec 63</t>
        </is>
      </c>
      <c r="C904" s="37" t="inlineStr">
        <is>
          <t>GROW Youth</t>
        </is>
      </c>
      <c r="D904" s="37" t="inlineStr">
        <is>
          <t>2026-07-13</t>
        </is>
      </c>
      <c r="E904" s="37" t="inlineStr">
        <is>
          <t>Process Check</t>
        </is>
      </c>
      <c r="F904" s="37" t="inlineStr">
        <is>
          <t>Check the AH is regularly meeting employers (in person and online) and updating the centre’s Top 20 Employer format.</t>
        </is>
      </c>
      <c r="G904" s="37" t="inlineStr">
        <is>
          <t>Need Improvement</t>
        </is>
      </c>
    </row>
    <row r="905">
      <c r="A905" s="37" t="inlineStr">
        <is>
          <t>Barna</t>
        </is>
      </c>
      <c r="B905" s="37" t="inlineStr">
        <is>
          <t>NOIDA Sec 63</t>
        </is>
      </c>
      <c r="C905" s="37" t="inlineStr">
        <is>
          <t>GROW Youth</t>
        </is>
      </c>
      <c r="D905" s="37" t="inlineStr">
        <is>
          <t>2026-07-13</t>
        </is>
      </c>
      <c r="E905" s="37" t="inlineStr">
        <is>
          <t>Process Check</t>
        </is>
      </c>
      <c r="F905" s="37" t="inlineStr">
        <is>
          <t>Confirm all new employers are registered on portal as per new process.</t>
        </is>
      </c>
      <c r="G905" s="37" t="inlineStr">
        <is>
          <t>All is Well</t>
        </is>
      </c>
    </row>
    <row r="906">
      <c r="A906" s="37" t="inlineStr">
        <is>
          <t>Barna</t>
        </is>
      </c>
      <c r="B906" s="37" t="inlineStr">
        <is>
          <t>NOIDA Sec 63</t>
        </is>
      </c>
      <c r="C906" s="37" t="inlineStr">
        <is>
          <t>GROW Youth</t>
        </is>
      </c>
      <c r="D906" s="37" t="inlineStr">
        <is>
          <t>2026-07-13</t>
        </is>
      </c>
      <c r="E906" s="37" t="inlineStr">
        <is>
          <t>Process Check</t>
        </is>
      </c>
      <c r="F906" s="37" t="inlineStr">
        <is>
          <t>Confirm 100% of enrolled students undergone screening (for technical courses).</t>
        </is>
      </c>
      <c r="G906" s="37" t="inlineStr">
        <is>
          <t>Not Applicable</t>
        </is>
      </c>
    </row>
    <row r="907">
      <c r="A907" s="37" t="inlineStr">
        <is>
          <t>Barna</t>
        </is>
      </c>
      <c r="B907" s="37" t="inlineStr">
        <is>
          <t>NOIDA Sec 63</t>
        </is>
      </c>
      <c r="C907" s="37" t="inlineStr">
        <is>
          <t>GROW Youth</t>
        </is>
      </c>
      <c r="D907" s="37" t="inlineStr">
        <is>
          <t>2026-07-13</t>
        </is>
      </c>
      <c r="E907" s="37" t="inlineStr">
        <is>
          <t>Process Check</t>
        </is>
      </c>
      <c r="F907" s="37" t="inlineStr">
        <is>
          <t>Confirm ESA is done (in GROW full ESA and in Technical courses relevant sections of Core Employability Part).</t>
        </is>
      </c>
      <c r="G907" s="37" t="inlineStr">
        <is>
          <t>All is Well</t>
        </is>
      </c>
    </row>
    <row r="908">
      <c r="A908" s="37" t="inlineStr">
        <is>
          <t>Barna</t>
        </is>
      </c>
      <c r="B908" s="37" t="inlineStr">
        <is>
          <t>NOIDA Sec 63</t>
        </is>
      </c>
      <c r="C908" s="37" t="inlineStr">
        <is>
          <t>GROW Youth</t>
        </is>
      </c>
      <c r="D908" s="37" t="inlineStr">
        <is>
          <t>2026-07-13</t>
        </is>
      </c>
      <c r="E908" s="37" t="inlineStr">
        <is>
          <t>Process Check</t>
        </is>
      </c>
      <c r="F908" s="37" t="inlineStr">
        <is>
          <t>Check is AH giving capstone project in GROW Tech.</t>
        </is>
      </c>
      <c r="G908" s="37" t="inlineStr">
        <is>
          <t>Not Applicable</t>
        </is>
      </c>
    </row>
    <row r="909">
      <c r="A909" s="37" t="inlineStr">
        <is>
          <t>Barna</t>
        </is>
      </c>
      <c r="B909" s="37" t="inlineStr">
        <is>
          <t>NOIDA Sec 63</t>
        </is>
      </c>
      <c r="C909" s="37" t="inlineStr">
        <is>
          <t>GROW Youth</t>
        </is>
      </c>
      <c r="D909" s="37" t="inlineStr">
        <is>
          <t>2026-07-13</t>
        </is>
      </c>
      <c r="E909" s="37" t="inlineStr">
        <is>
          <t>Process Check</t>
        </is>
      </c>
      <c r="F909" s="37" t="inlineStr">
        <is>
          <t>Check is AH planning OJT as per guidelines and proofs are collected for technical courses.</t>
        </is>
      </c>
      <c r="G909" s="37" t="inlineStr">
        <is>
          <t>Not Applicable</t>
        </is>
      </c>
    </row>
    <row r="910">
      <c r="A910" s="37" t="inlineStr">
        <is>
          <t>Barna</t>
        </is>
      </c>
      <c r="B910" s="37" t="inlineStr">
        <is>
          <t>NOIDA Sec 63</t>
        </is>
      </c>
      <c r="C910" s="37" t="inlineStr">
        <is>
          <t>GROW Youth</t>
        </is>
      </c>
      <c r="D910" s="37" t="inlineStr">
        <is>
          <t>2026-07-13</t>
        </is>
      </c>
      <c r="E910" s="37" t="inlineStr">
        <is>
          <t>Process Check</t>
        </is>
      </c>
      <c r="F910" s="37" t="inlineStr">
        <is>
          <t>Check are trainers contacting aspirants to find reason for their absenteeism of more than 1 day.</t>
        </is>
      </c>
      <c r="G910" s="37" t="inlineStr">
        <is>
          <t>All is Well</t>
        </is>
      </c>
    </row>
    <row r="911">
      <c r="A911" s="37" t="inlineStr">
        <is>
          <t>Barna</t>
        </is>
      </c>
      <c r="B911" s="37" t="inlineStr">
        <is>
          <t>NOIDA Sec 63</t>
        </is>
      </c>
      <c r="C911" s="37" t="inlineStr">
        <is>
          <t>GROW Youth</t>
        </is>
      </c>
      <c r="D911" s="37" t="inlineStr">
        <is>
          <t>2026-07-13</t>
        </is>
      </c>
      <c r="E911" s="37" t="inlineStr">
        <is>
          <t>Process Check</t>
        </is>
      </c>
      <c r="F911" s="37" t="inlineStr">
        <is>
          <t>Check the AH plans monthly enrolment and placement numbers by the 3rd of each month and shares them with second level managers.</t>
        </is>
      </c>
      <c r="G911" s="37" t="inlineStr">
        <is>
          <t>Need Improvement</t>
        </is>
      </c>
    </row>
    <row r="912">
      <c r="A912" s="37" t="inlineStr">
        <is>
          <t>Barna</t>
        </is>
      </c>
      <c r="B912" s="37" t="inlineStr">
        <is>
          <t>NOIDA Sec 63</t>
        </is>
      </c>
      <c r="C912" s="37" t="inlineStr">
        <is>
          <t>GROW Youth</t>
        </is>
      </c>
      <c r="D912" s="37" t="inlineStr">
        <is>
          <t>2026-07-13</t>
        </is>
      </c>
      <c r="E912" s="37" t="inlineStr">
        <is>
          <t>Process Check</t>
        </is>
      </c>
      <c r="F912" s="37" t="inlineStr">
        <is>
          <t>Check trainers submit aspirants’ placement interest areas to the AH by the batch’s 25th day (in GROW).</t>
        </is>
      </c>
      <c r="G912" s="37" t="inlineStr">
        <is>
          <t>Not Applicable</t>
        </is>
      </c>
    </row>
    <row r="913">
      <c r="A913" s="37" t="inlineStr">
        <is>
          <t>Barna</t>
        </is>
      </c>
      <c r="B913" s="37" t="inlineStr">
        <is>
          <t>NOIDA Sec 63</t>
        </is>
      </c>
      <c r="C913" s="37" t="inlineStr">
        <is>
          <t>GROW Youth</t>
        </is>
      </c>
      <c r="D913" s="37" t="inlineStr">
        <is>
          <t>2026-07-13</t>
        </is>
      </c>
      <c r="E913" s="37" t="inlineStr">
        <is>
          <t>Process Check</t>
        </is>
      </c>
      <c r="F913" s="37" t="inlineStr">
        <is>
          <t>Ckeck For technical programs, placement is done only in technical jobs,on which aspirants are trained and relevant emplyers are identified by 45th day.</t>
        </is>
      </c>
      <c r="G913" s="37" t="inlineStr">
        <is>
          <t>Not Applicable</t>
        </is>
      </c>
    </row>
    <row r="914">
      <c r="A914" s="37" t="inlineStr">
        <is>
          <t>Barna</t>
        </is>
      </c>
      <c r="B914" s="37" t="inlineStr">
        <is>
          <t>NOIDA Sec 63</t>
        </is>
      </c>
      <c r="C914" s="37" t="inlineStr">
        <is>
          <t>GROW Youth</t>
        </is>
      </c>
      <c r="D914" s="37" t="inlineStr">
        <is>
          <t>2026-07-13</t>
        </is>
      </c>
      <c r="E914" s="37" t="inlineStr">
        <is>
          <t>Process Check</t>
        </is>
      </c>
      <c r="F914" s="37" t="inlineStr">
        <is>
          <t>Check the AH follows EP guidelines and minimum benchmark salary guidelines.</t>
        </is>
      </c>
      <c r="G914" s="37" t="inlineStr">
        <is>
          <t>Not Applicable</t>
        </is>
      </c>
    </row>
    <row r="915">
      <c r="A915" s="37" t="inlineStr">
        <is>
          <t>Barna</t>
        </is>
      </c>
      <c r="B915" s="37" t="inlineStr">
        <is>
          <t>NOIDA Sec 63</t>
        </is>
      </c>
      <c r="C915" s="37" t="inlineStr">
        <is>
          <t>GROW Youth</t>
        </is>
      </c>
      <c r="D915" s="37" t="inlineStr">
        <is>
          <t>2026-07-13</t>
        </is>
      </c>
      <c r="E915" s="37" t="inlineStr">
        <is>
          <t>Process Check</t>
        </is>
      </c>
      <c r="F915" s="37" t="inlineStr">
        <is>
          <t>Check that AH is enrolling only the right traget group in the program -as per the defined target.</t>
        </is>
      </c>
      <c r="G915" s="37" t="inlineStr">
        <is>
          <t>Need Improvement</t>
        </is>
      </c>
    </row>
    <row r="916">
      <c r="A916" s="37" t="inlineStr">
        <is>
          <t>Barna</t>
        </is>
      </c>
      <c r="B916" s="37" t="inlineStr">
        <is>
          <t>NOIDA Sec 63</t>
        </is>
      </c>
      <c r="C916" s="37" t="inlineStr">
        <is>
          <t>GROW Youth</t>
        </is>
      </c>
      <c r="D916" s="37" t="inlineStr">
        <is>
          <t>2026-07-13</t>
        </is>
      </c>
      <c r="E916" s="37" t="inlineStr">
        <is>
          <t>Process Check</t>
        </is>
      </c>
      <c r="F916" s="37" t="inlineStr">
        <is>
          <t>Check the AH announces the next batch-start date by the 3rd of the month on all notice boards — focus on Zero-Day start.</t>
        </is>
      </c>
      <c r="G916" s="37" t="inlineStr">
        <is>
          <t>Need Improvement</t>
        </is>
      </c>
    </row>
    <row r="917">
      <c r="A917" s="37" t="inlineStr">
        <is>
          <t>Barna</t>
        </is>
      </c>
      <c r="B917" s="37" t="inlineStr">
        <is>
          <t>NOIDA Sec 63</t>
        </is>
      </c>
      <c r="C917" s="37" t="inlineStr">
        <is>
          <t>GROW Youth</t>
        </is>
      </c>
      <c r="D917" s="37" t="inlineStr">
        <is>
          <t>2026-07-13</t>
        </is>
      </c>
      <c r="E917" s="37" t="inlineStr">
        <is>
          <t>Process Check</t>
        </is>
      </c>
      <c r="F917" s="37" t="inlineStr">
        <is>
          <t>Check the Aspirant Mock Interview Score Tracker is updated after every mock interview in the L&amp;D Google Sheet.</t>
        </is>
      </c>
      <c r="G917" s="37" t="inlineStr">
        <is>
          <t>Need Improvement</t>
        </is>
      </c>
    </row>
    <row r="918">
      <c r="A918" s="37" t="inlineStr">
        <is>
          <t>Barna</t>
        </is>
      </c>
      <c r="B918" s="37" t="inlineStr">
        <is>
          <t>NOIDA Sec 63</t>
        </is>
      </c>
      <c r="C918" s="37" t="inlineStr">
        <is>
          <t>GROW Youth</t>
        </is>
      </c>
      <c r="D918" s="37" t="inlineStr">
        <is>
          <t>2026-07-13</t>
        </is>
      </c>
      <c r="E918" s="37" t="inlineStr">
        <is>
          <t>Process Check</t>
        </is>
      </c>
      <c r="F918" s="37" t="inlineStr">
        <is>
          <t>Confirm NPS (Net Promoter Score) is collected at MSDF centres.</t>
        </is>
      </c>
      <c r="G918" s="37" t="inlineStr">
        <is>
          <t>Not Applicable</t>
        </is>
      </c>
    </row>
    <row r="919">
      <c r="A919" s="37" t="inlineStr">
        <is>
          <t>Barna</t>
        </is>
      </c>
      <c r="B919" s="37" t="inlineStr">
        <is>
          <t>NOIDA Sec 63</t>
        </is>
      </c>
      <c r="C919" s="37" t="inlineStr">
        <is>
          <t>GROW Youth</t>
        </is>
      </c>
      <c r="D919" s="37" t="inlineStr">
        <is>
          <t>2026-07-13</t>
        </is>
      </c>
      <c r="E919" s="37" t="inlineStr">
        <is>
          <t>Process Check</t>
        </is>
      </c>
      <c r="F919" s="37" t="inlineStr">
        <is>
          <t>Confirm that QAE is collecting student feedback for every batch.</t>
        </is>
      </c>
      <c r="G919" s="37" t="inlineStr">
        <is>
          <t>Not Applicable</t>
        </is>
      </c>
    </row>
    <row r="920">
      <c r="A920" s="37" t="inlineStr">
        <is>
          <t>Barna</t>
        </is>
      </c>
      <c r="B920" s="37" t="inlineStr">
        <is>
          <t>NOIDA Sec 63</t>
        </is>
      </c>
      <c r="C920" s="37" t="inlineStr">
        <is>
          <t>GROW Youth</t>
        </is>
      </c>
      <c r="D920" s="37" t="inlineStr">
        <is>
          <t>2026-07-13</t>
        </is>
      </c>
      <c r="E920" s="37" t="inlineStr">
        <is>
          <t>Process Check</t>
        </is>
      </c>
      <c r="F920" s="37" t="inlineStr">
        <is>
          <t>Confirm all centre teams have completed the GROW Manual Course on Skillfy — ask for achievement certificates.</t>
        </is>
      </c>
      <c r="G920" s="37" t="inlineStr">
        <is>
          <t>All is Well</t>
        </is>
      </c>
    </row>
    <row r="921">
      <c r="A921" s="37" t="inlineStr">
        <is>
          <t>Barna</t>
        </is>
      </c>
      <c r="B921" s="37" t="inlineStr">
        <is>
          <t>NOIDA Sec 63</t>
        </is>
      </c>
      <c r="C921" s="37" t="inlineStr">
        <is>
          <t>GROW Youth</t>
        </is>
      </c>
      <c r="D921" s="37" t="inlineStr">
        <is>
          <t>2026-07-13</t>
        </is>
      </c>
      <c r="E921" s="37" t="inlineStr">
        <is>
          <t>Process Check</t>
        </is>
      </c>
      <c r="F921" s="37" t="inlineStr">
        <is>
          <t>Check AH holds a quality weekly team meeting, documents action points in the weekly meeting format, and sends you a photo on WhatsApp.</t>
        </is>
      </c>
      <c r="G921" s="37" t="inlineStr">
        <is>
          <t>All is Well</t>
        </is>
      </c>
    </row>
    <row r="922">
      <c r="A922" s="37" t="inlineStr">
        <is>
          <t>Barna</t>
        </is>
      </c>
      <c r="B922" s="37" t="inlineStr">
        <is>
          <t>NOIDA Sec 63</t>
        </is>
      </c>
      <c r="C922" s="37" t="inlineStr">
        <is>
          <t>GROW Youth</t>
        </is>
      </c>
      <c r="D922" s="37" t="inlineStr">
        <is>
          <t>2026-07-13</t>
        </is>
      </c>
      <c r="E922" s="37" t="inlineStr">
        <is>
          <t>Aspirant Interaction</t>
        </is>
      </c>
      <c r="F922" s="37" t="inlineStr">
        <is>
          <t>Ask aspirants about the session plan — confirm training is happening as planned?</t>
        </is>
      </c>
      <c r="G922" s="37" t="inlineStr">
        <is>
          <t>Not Applicable</t>
        </is>
      </c>
    </row>
    <row r="923">
      <c r="A923" s="37" t="inlineStr">
        <is>
          <t>Barna</t>
        </is>
      </c>
      <c r="B923" s="37" t="inlineStr">
        <is>
          <t>NOIDA Sec 63</t>
        </is>
      </c>
      <c r="C923" s="37" t="inlineStr">
        <is>
          <t>GROW Youth</t>
        </is>
      </c>
      <c r="D923" s="37" t="inlineStr">
        <is>
          <t>2026-07-13</t>
        </is>
      </c>
      <c r="E923" s="37" t="inlineStr">
        <is>
          <t>Aspirant Interaction</t>
        </is>
      </c>
      <c r="F923" s="37" t="inlineStr">
        <is>
          <t>Ask about the quality of Core Employability component delivery (technical centres) and who delivers it.</t>
        </is>
      </c>
      <c r="G923" s="37" t="inlineStr">
        <is>
          <t>Not Applicable</t>
        </is>
      </c>
    </row>
    <row r="924">
      <c r="A924" s="37" t="inlineStr">
        <is>
          <t>Barna</t>
        </is>
      </c>
      <c r="B924" s="37" t="inlineStr">
        <is>
          <t>NOIDA Sec 63</t>
        </is>
      </c>
      <c r="C924" s="37" t="inlineStr">
        <is>
          <t>GROW Youth</t>
        </is>
      </c>
      <c r="D924" s="37" t="inlineStr">
        <is>
          <t>2026-07-13</t>
        </is>
      </c>
      <c r="E924" s="37" t="inlineStr">
        <is>
          <t>Aspirant Interaction</t>
        </is>
      </c>
      <c r="F924" s="37" t="inlineStr">
        <is>
          <t>Ask whether they are aware of the referral scheme?</t>
        </is>
      </c>
      <c r="G924" s="37" t="inlineStr">
        <is>
          <t>Not Applicable</t>
        </is>
      </c>
    </row>
    <row r="925">
      <c r="A925" s="37" t="inlineStr">
        <is>
          <t>Barna</t>
        </is>
      </c>
      <c r="B925" s="37" t="inlineStr">
        <is>
          <t>NOIDA Sec 63</t>
        </is>
      </c>
      <c r="C925" s="37" t="inlineStr">
        <is>
          <t>GROW Youth</t>
        </is>
      </c>
      <c r="D925" s="37" t="inlineStr">
        <is>
          <t>2026-07-13</t>
        </is>
      </c>
      <c r="E925" s="37" t="inlineStr">
        <is>
          <t>Aspirant Interaction</t>
        </is>
      </c>
      <c r="F925" s="37" t="inlineStr">
        <is>
          <t>Ask whether the AH explained the importance of the offer letter and sharing it with us once received for reporting purposes?</t>
        </is>
      </c>
      <c r="G925" s="37" t="inlineStr">
        <is>
          <t>Not Applicable</t>
        </is>
      </c>
    </row>
    <row r="926">
      <c r="A926" s="37" t="inlineStr">
        <is>
          <t>Barna</t>
        </is>
      </c>
      <c r="B926" s="37" t="inlineStr">
        <is>
          <t>NOIDA Sec 63</t>
        </is>
      </c>
      <c r="C926" s="37" t="inlineStr">
        <is>
          <t>GROW Youth</t>
        </is>
      </c>
      <c r="D926" s="37" t="inlineStr">
        <is>
          <t>2026-07-13</t>
        </is>
      </c>
      <c r="E926" s="37" t="inlineStr">
        <is>
          <t>Aspirant Interaction</t>
        </is>
      </c>
      <c r="F926" s="37" t="inlineStr">
        <is>
          <t>Ask how many are not interested in jobs — and if so, why they enrolled in the programme?</t>
        </is>
      </c>
      <c r="G926" s="37" t="inlineStr">
        <is>
          <t>Not Applicable</t>
        </is>
      </c>
    </row>
    <row r="927">
      <c r="A927" s="37" t="inlineStr">
        <is>
          <t>Barna</t>
        </is>
      </c>
      <c r="B927" s="37" t="inlineStr">
        <is>
          <t>NOIDA Sec 63</t>
        </is>
      </c>
      <c r="C927" s="37" t="inlineStr">
        <is>
          <t>GROW Youth</t>
        </is>
      </c>
      <c r="D927" s="37" t="inlineStr">
        <is>
          <t>2026-07-13</t>
        </is>
      </c>
      <c r="E927" s="37" t="inlineStr">
        <is>
          <t>Aspirant Interaction</t>
        </is>
      </c>
      <c r="F927" s="37" t="inlineStr">
        <is>
          <t>Ask whether they were told the kind of job they would get during counselling?</t>
        </is>
      </c>
      <c r="G927" s="37" t="inlineStr">
        <is>
          <t>Not Applicable</t>
        </is>
      </c>
    </row>
    <row r="928">
      <c r="A928" s="37" t="inlineStr">
        <is>
          <t>Barna</t>
        </is>
      </c>
      <c r="B928" s="37" t="inlineStr">
        <is>
          <t>NOIDA Sec 63</t>
        </is>
      </c>
      <c r="C928" s="37" t="inlineStr">
        <is>
          <t>GROW Youth</t>
        </is>
      </c>
      <c r="D928" s="37" t="inlineStr">
        <is>
          <t>2026-07-13</t>
        </is>
      </c>
      <c r="E928" s="37" t="inlineStr">
        <is>
          <t>Aspirant Interaction</t>
        </is>
      </c>
      <c r="F928" s="37" t="inlineStr">
        <is>
          <t>Ask whether they have been given LMS access?</t>
        </is>
      </c>
      <c r="G928" s="37" t="inlineStr">
        <is>
          <t>Not Applicable</t>
        </is>
      </c>
    </row>
    <row r="929">
      <c r="A929" s="37" t="inlineStr">
        <is>
          <t>Barna</t>
        </is>
      </c>
      <c r="B929" s="37" t="inlineStr">
        <is>
          <t>NOIDA Sec 63</t>
        </is>
      </c>
      <c r="C929" s="37" t="inlineStr">
        <is>
          <t>GROW Youth</t>
        </is>
      </c>
      <c r="D929" s="37" t="inlineStr">
        <is>
          <t>2026-07-13</t>
        </is>
      </c>
      <c r="E929" s="37" t="inlineStr">
        <is>
          <t>Aspirant Interaction</t>
        </is>
      </c>
      <c r="F929" s="37" t="inlineStr">
        <is>
          <t>Ask whether anyone asked them for money for training or placement?</t>
        </is>
      </c>
      <c r="G929" s="37" t="inlineStr">
        <is>
          <t>Not Applicable</t>
        </is>
      </c>
    </row>
    <row r="930">
      <c r="A930" s="37" t="inlineStr">
        <is>
          <t>Barna</t>
        </is>
      </c>
      <c r="B930" s="37" t="inlineStr">
        <is>
          <t>NOIDA Sec 63</t>
        </is>
      </c>
      <c r="C930" s="37" t="inlineStr">
        <is>
          <t>GROW Youth</t>
        </is>
      </c>
      <c r="D930" s="37" t="inlineStr">
        <is>
          <t>2026-07-13</t>
        </is>
      </c>
      <c r="E930" s="37" t="inlineStr">
        <is>
          <t>Aspirant Interaction</t>
        </is>
      </c>
      <c r="F930" s="37" t="inlineStr">
        <is>
          <t>Ask to show their mobile phones — are they enrolled on Skillfy? If not, get them enrolled and give written feedback to trainers and the AH in your presence.</t>
        </is>
      </c>
      <c r="G930" s="37" t="inlineStr">
        <is>
          <t>Not Applicable</t>
        </is>
      </c>
    </row>
    <row r="931">
      <c r="A931" s="37" t="inlineStr">
        <is>
          <t>Barna</t>
        </is>
      </c>
      <c r="B931" s="37" t="inlineStr">
        <is>
          <t>NOIDA Sec 63</t>
        </is>
      </c>
      <c r="C931" s="37" t="inlineStr">
        <is>
          <t>GROW Youth</t>
        </is>
      </c>
      <c r="D931" s="37" t="inlineStr">
        <is>
          <t>2026-07-13</t>
        </is>
      </c>
      <c r="E931" s="37" t="inlineStr">
        <is>
          <t>Aspirant Interaction</t>
        </is>
      </c>
      <c r="F931" s="37" t="inlineStr">
        <is>
          <t>Ask about the quality of the hostel and any issues they face.</t>
        </is>
      </c>
      <c r="G931" s="37" t="inlineStr">
        <is>
          <t>Not Applicable</t>
        </is>
      </c>
    </row>
    <row r="932">
      <c r="A932" s="37" t="inlineStr">
        <is>
          <t>Barna</t>
        </is>
      </c>
      <c r="B932" s="37" t="inlineStr">
        <is>
          <t>NOIDA Sec 63</t>
        </is>
      </c>
      <c r="C932" s="37" t="inlineStr">
        <is>
          <t>GROW Youth</t>
        </is>
      </c>
      <c r="D932" s="37" t="inlineStr">
        <is>
          <t>2026-07-13</t>
        </is>
      </c>
      <c r="E932" s="37" t="inlineStr">
        <is>
          <t>Aspirant Interaction</t>
        </is>
      </c>
      <c r="F932" s="37" t="inlineStr">
        <is>
          <t>Ask a few relevant screening questions to support the 10th-day report and remove non-serious candidates, explaining to them the reasons.</t>
        </is>
      </c>
      <c r="G932" s="37" t="inlineStr">
        <is>
          <t>Not Applicable</t>
        </is>
      </c>
    </row>
    <row r="933">
      <c r="A933" s="37" t="inlineStr">
        <is>
          <t>Amit Chakraborty</t>
        </is>
      </c>
      <c r="B933" s="37" t="inlineStr">
        <is>
          <t>Alambagh</t>
        </is>
      </c>
      <c r="C933" s="37" t="inlineStr">
        <is>
          <t>GROW Youth-Accenture</t>
        </is>
      </c>
      <c r="D933" s="37" t="inlineStr">
        <is>
          <t>2026-07-13</t>
        </is>
      </c>
      <c r="E933" s="37" t="inlineStr">
        <is>
          <t>Data Check</t>
        </is>
      </c>
      <c r="F933" s="37" t="inlineStr">
        <is>
          <t>Reach the centre on time (unannounced) — confirm the centre opened on time.</t>
        </is>
      </c>
      <c r="G933" s="37" t="inlineStr">
        <is>
          <t>All is Well</t>
        </is>
      </c>
    </row>
    <row r="934">
      <c r="A934" s="37" t="inlineStr">
        <is>
          <t>Amit Chakraborty</t>
        </is>
      </c>
      <c r="B934" s="37" t="inlineStr">
        <is>
          <t>Alambagh</t>
        </is>
      </c>
      <c r="C934" s="37" t="inlineStr">
        <is>
          <t>GROW Youth-Accenture</t>
        </is>
      </c>
      <c r="D934" s="37" t="inlineStr">
        <is>
          <t>2026-07-13</t>
        </is>
      </c>
      <c r="E934" s="37" t="inlineStr">
        <is>
          <t>Data Check</t>
        </is>
      </c>
      <c r="F934" s="37" t="inlineStr">
        <is>
          <t>Check the staff attendance register, the Google Sheet, and geo-tagged photos for aspirants.</t>
        </is>
      </c>
      <c r="G934" s="37" t="inlineStr">
        <is>
          <t>All is Well</t>
        </is>
      </c>
    </row>
    <row r="935">
      <c r="A935" s="37" t="inlineStr">
        <is>
          <t>Amit Chakraborty</t>
        </is>
      </c>
      <c r="B935" s="37" t="inlineStr">
        <is>
          <t>Alambagh</t>
        </is>
      </c>
      <c r="C935" s="37" t="inlineStr">
        <is>
          <t>GROW Youth-Accenture</t>
        </is>
      </c>
      <c r="D935" s="37" t="inlineStr">
        <is>
          <t>2026-07-13</t>
        </is>
      </c>
      <c r="E935" s="37" t="inlineStr">
        <is>
          <t>Data Check</t>
        </is>
      </c>
      <c r="F935" s="37" t="inlineStr">
        <is>
          <t>Check Counselling and Screening Forms of recently started batches.</t>
        </is>
      </c>
      <c r="G935" s="37" t="inlineStr">
        <is>
          <t>All is Well</t>
        </is>
      </c>
    </row>
    <row r="936">
      <c r="A936" s="37" t="inlineStr">
        <is>
          <t>Amit Chakraborty</t>
        </is>
      </c>
      <c r="B936" s="37" t="inlineStr">
        <is>
          <t>Alambagh</t>
        </is>
      </c>
      <c r="C936" s="37" t="inlineStr">
        <is>
          <t>GROW Youth-Accenture</t>
        </is>
      </c>
      <c r="D936" s="37" t="inlineStr">
        <is>
          <t>2026-07-13</t>
        </is>
      </c>
      <c r="E936" s="37" t="inlineStr">
        <is>
          <t>Data Check</t>
        </is>
      </c>
      <c r="F936" s="37" t="inlineStr">
        <is>
          <t>Check Aspirant Registration Forms and related documents.</t>
        </is>
      </c>
      <c r="G936" s="37" t="inlineStr">
        <is>
          <t>Need Improvement</t>
        </is>
      </c>
    </row>
    <row r="937">
      <c r="A937" s="37" t="inlineStr">
        <is>
          <t>Amit Chakraborty</t>
        </is>
      </c>
      <c r="B937" s="37" t="inlineStr">
        <is>
          <t>Alambagh</t>
        </is>
      </c>
      <c r="C937" s="37" t="inlineStr">
        <is>
          <t>GROW Youth-Accenture</t>
        </is>
      </c>
      <c r="D937" s="37" t="inlineStr">
        <is>
          <t>2026-07-13</t>
        </is>
      </c>
      <c r="E937" s="37" t="inlineStr">
        <is>
          <t>Data Check</t>
        </is>
      </c>
      <c r="F937" s="37" t="inlineStr">
        <is>
          <t>On the GROW portal, confirm all student profile details and batch updates are currect.</t>
        </is>
      </c>
      <c r="G937" s="37" t="inlineStr">
        <is>
          <t>All is Well</t>
        </is>
      </c>
    </row>
    <row r="938">
      <c r="A938" s="37" t="inlineStr">
        <is>
          <t>Amit Chakraborty</t>
        </is>
      </c>
      <c r="B938" s="37" t="inlineStr">
        <is>
          <t>Alambagh</t>
        </is>
      </c>
      <c r="C938" s="37" t="inlineStr">
        <is>
          <t>GROW Youth-Accenture</t>
        </is>
      </c>
      <c r="D938" s="37" t="inlineStr">
        <is>
          <t>2026-07-13</t>
        </is>
      </c>
      <c r="E938" s="37" t="inlineStr">
        <is>
          <t>Data Check</t>
        </is>
      </c>
      <c r="F938" s="37" t="inlineStr">
        <is>
          <t>Verify placement data — randomly call 3–4 alumni placed in the last 3 months to confirm veracity (random selection is essential).</t>
        </is>
      </c>
      <c r="G938" s="37" t="inlineStr">
        <is>
          <t>Need Improvement</t>
        </is>
      </c>
    </row>
    <row r="939">
      <c r="A939" s="37" t="inlineStr">
        <is>
          <t>Amit Chakraborty</t>
        </is>
      </c>
      <c r="B939" s="37" t="inlineStr">
        <is>
          <t>Alambagh</t>
        </is>
      </c>
      <c r="C939" s="37" t="inlineStr">
        <is>
          <t>GROW Youth-Accenture</t>
        </is>
      </c>
      <c r="D939" s="37" t="inlineStr">
        <is>
          <t>2026-07-13</t>
        </is>
      </c>
      <c r="E939" s="37" t="inlineStr">
        <is>
          <t>Data Check</t>
        </is>
      </c>
      <c r="F939" s="37" t="inlineStr">
        <is>
          <t>Verify retention — check the Alumni Hand-holding Format is being updated as designed.</t>
        </is>
      </c>
      <c r="G939" s="37" t="inlineStr">
        <is>
          <t>Need Improvement</t>
        </is>
      </c>
    </row>
    <row r="940">
      <c r="A940" s="37" t="inlineStr">
        <is>
          <t>Amit Chakraborty</t>
        </is>
      </c>
      <c r="B940" s="37" t="inlineStr">
        <is>
          <t>Alambagh</t>
        </is>
      </c>
      <c r="C940" s="37" t="inlineStr">
        <is>
          <t>GROW Youth-Accenture</t>
        </is>
      </c>
      <c r="D940" s="37" t="inlineStr">
        <is>
          <t>2026-07-13</t>
        </is>
      </c>
      <c r="E940" s="37" t="inlineStr">
        <is>
          <t>Data Check</t>
        </is>
      </c>
      <c r="F940" s="37" t="inlineStr">
        <is>
          <t>Check aspirant Hostel Forms are properly filled or not.</t>
        </is>
      </c>
      <c r="G940" s="37" t="inlineStr">
        <is>
          <t>Not Applicable</t>
        </is>
      </c>
    </row>
    <row r="941">
      <c r="A941" s="37" t="inlineStr">
        <is>
          <t>Amit Chakraborty</t>
        </is>
      </c>
      <c r="B941" s="37" t="inlineStr">
        <is>
          <t>Alambagh</t>
        </is>
      </c>
      <c r="C941" s="37" t="inlineStr">
        <is>
          <t>GROW Youth-Accenture</t>
        </is>
      </c>
      <c r="D941" s="37" t="inlineStr">
        <is>
          <t>2026-07-13</t>
        </is>
      </c>
      <c r="E941" s="37" t="inlineStr">
        <is>
          <t>Infra Check</t>
        </is>
      </c>
      <c r="F941" s="37" t="inlineStr">
        <is>
          <t>Check all CCTV cameras; if any are not working, ask the AH to troubleshoot or call the vendor.</t>
        </is>
      </c>
      <c r="G941" s="37" t="inlineStr">
        <is>
          <t>Not Applicable</t>
        </is>
      </c>
    </row>
    <row r="942">
      <c r="A942" s="37" t="inlineStr">
        <is>
          <t>Amit Chakraborty</t>
        </is>
      </c>
      <c r="B942" s="37" t="inlineStr">
        <is>
          <t>Alambagh</t>
        </is>
      </c>
      <c r="C942" s="37" t="inlineStr">
        <is>
          <t>GROW Youth-Accenture</t>
        </is>
      </c>
      <c r="D942" s="37" t="inlineStr">
        <is>
          <t>2026-07-13</t>
        </is>
      </c>
      <c r="E942" s="37" t="inlineStr">
        <is>
          <t>Infra Check</t>
        </is>
      </c>
      <c r="F942" s="37" t="inlineStr">
        <is>
          <t>Check for any scrap material and get it cleared, with support of Admin</t>
        </is>
      </c>
      <c r="G942" s="37" t="inlineStr">
        <is>
          <t>Need Improvement</t>
        </is>
      </c>
    </row>
    <row r="943">
      <c r="A943" s="37" t="inlineStr">
        <is>
          <t>Amit Chakraborty</t>
        </is>
      </c>
      <c r="B943" s="37" t="inlineStr">
        <is>
          <t>Alambagh</t>
        </is>
      </c>
      <c r="C943" s="37" t="inlineStr">
        <is>
          <t>GROW Youth-Accenture</t>
        </is>
      </c>
      <c r="D943" s="37" t="inlineStr">
        <is>
          <t>2026-07-13</t>
        </is>
      </c>
      <c r="E943" s="37" t="inlineStr">
        <is>
          <t>Infra Check</t>
        </is>
      </c>
      <c r="F943" s="37" t="inlineStr">
        <is>
          <t>Check for any pending infra repairs.</t>
        </is>
      </c>
      <c r="G943" s="37" t="inlineStr">
        <is>
          <t>Need Improvement</t>
        </is>
      </c>
    </row>
    <row r="944">
      <c r="A944" s="37" t="inlineStr">
        <is>
          <t>Amit Chakraborty</t>
        </is>
      </c>
      <c r="B944" s="37" t="inlineStr">
        <is>
          <t>Alambagh</t>
        </is>
      </c>
      <c r="C944" s="37" t="inlineStr">
        <is>
          <t>GROW Youth-Accenture</t>
        </is>
      </c>
      <c r="D944" s="37" t="inlineStr">
        <is>
          <t>2026-07-13</t>
        </is>
      </c>
      <c r="E944" s="37" t="inlineStr">
        <is>
          <t>Infra Check</t>
        </is>
      </c>
      <c r="F944" s="37" t="inlineStr">
        <is>
          <t>Check whether any fire extinguishers have expired (check the needle and expiry date both).</t>
        </is>
      </c>
      <c r="G944" s="37" t="inlineStr">
        <is>
          <t>All is Well</t>
        </is>
      </c>
    </row>
    <row r="945">
      <c r="A945" s="37" t="inlineStr">
        <is>
          <t>Amit Chakraborty</t>
        </is>
      </c>
      <c r="B945" s="37" t="inlineStr">
        <is>
          <t>Alambagh</t>
        </is>
      </c>
      <c r="C945" s="37" t="inlineStr">
        <is>
          <t>GROW Youth-Accenture</t>
        </is>
      </c>
      <c r="D945" s="37" t="inlineStr">
        <is>
          <t>2026-07-13</t>
        </is>
      </c>
      <c r="E945" s="37" t="inlineStr">
        <is>
          <t>Infra Check</t>
        </is>
      </c>
      <c r="F945" s="37" t="inlineStr">
        <is>
          <t>Check basic cleanliness of the washrooms and the centre.</t>
        </is>
      </c>
      <c r="G945" s="37" t="inlineStr">
        <is>
          <t>All is Well</t>
        </is>
      </c>
    </row>
    <row r="946">
      <c r="A946" s="37" t="inlineStr">
        <is>
          <t>Amit Chakraborty</t>
        </is>
      </c>
      <c r="B946" s="37" t="inlineStr">
        <is>
          <t>Alambagh</t>
        </is>
      </c>
      <c r="C946" s="37" t="inlineStr">
        <is>
          <t>GROW Youth-Accenture</t>
        </is>
      </c>
      <c r="D946" s="37" t="inlineStr">
        <is>
          <t>2026-07-13</t>
        </is>
      </c>
      <c r="E946" s="37" t="inlineStr">
        <is>
          <t>Infra Check</t>
        </is>
      </c>
      <c r="F946" s="37" t="inlineStr">
        <is>
          <t>Confirm the correct program and partner logos are displayed.</t>
        </is>
      </c>
      <c r="G946" s="37" t="inlineStr">
        <is>
          <t>All is Well</t>
        </is>
      </c>
    </row>
    <row r="947">
      <c r="A947" s="37" t="inlineStr">
        <is>
          <t>Amit Chakraborty</t>
        </is>
      </c>
      <c r="B947" s="37" t="inlineStr">
        <is>
          <t>Alambagh</t>
        </is>
      </c>
      <c r="C947" s="37" t="inlineStr">
        <is>
          <t>GROW Youth-Accenture</t>
        </is>
      </c>
      <c r="D947" s="37" t="inlineStr">
        <is>
          <t>2026-07-13</t>
        </is>
      </c>
      <c r="E947" s="37" t="inlineStr">
        <is>
          <t>Infra Check</t>
        </is>
      </c>
      <c r="F947" s="37" t="inlineStr">
        <is>
          <t>Check the status of digital infra — PCs, smartboards, tablets, laptops, etc.</t>
        </is>
      </c>
      <c r="G947" s="37" t="inlineStr">
        <is>
          <t>Need Improvement</t>
        </is>
      </c>
    </row>
    <row r="948">
      <c r="A948" s="37" t="inlineStr">
        <is>
          <t>Amit Chakraborty</t>
        </is>
      </c>
      <c r="B948" s="37" t="inlineStr">
        <is>
          <t>Alambagh</t>
        </is>
      </c>
      <c r="C948" s="37" t="inlineStr">
        <is>
          <t>GROW Youth-Accenture</t>
        </is>
      </c>
      <c r="D948" s="37" t="inlineStr">
        <is>
          <t>2026-07-13</t>
        </is>
      </c>
      <c r="E948" s="37" t="inlineStr">
        <is>
          <t>Infra Check</t>
        </is>
      </c>
      <c r="F948" s="37" t="inlineStr">
        <is>
          <t>Make a quick hostel visit; have lunch there if possible to test the food quality.</t>
        </is>
      </c>
      <c r="G948" s="37" t="inlineStr">
        <is>
          <t>Not Applicable</t>
        </is>
      </c>
    </row>
    <row r="949">
      <c r="A949" s="37" t="inlineStr">
        <is>
          <t>Amit Chakraborty</t>
        </is>
      </c>
      <c r="B949" s="37" t="inlineStr">
        <is>
          <t>Alambagh</t>
        </is>
      </c>
      <c r="C949" s="37" t="inlineStr">
        <is>
          <t>GROW Youth-Accenture</t>
        </is>
      </c>
      <c r="D949" s="37" t="inlineStr">
        <is>
          <t>2026-07-13</t>
        </is>
      </c>
      <c r="E949" s="37" t="inlineStr">
        <is>
          <t>Process Check</t>
        </is>
      </c>
      <c r="F949" s="37" t="inlineStr">
        <is>
          <t>Refer to the activity planner — check if any activities are delayed.</t>
        </is>
      </c>
      <c r="G949" s="37" t="inlineStr">
        <is>
          <t>All is Well</t>
        </is>
      </c>
    </row>
    <row r="950">
      <c r="A950" s="37" t="inlineStr">
        <is>
          <t>Amit Chakraborty</t>
        </is>
      </c>
      <c r="B950" s="37" t="inlineStr">
        <is>
          <t>Alambagh</t>
        </is>
      </c>
      <c r="C950" s="37" t="inlineStr">
        <is>
          <t>GROW Youth-Accenture</t>
        </is>
      </c>
      <c r="D950" s="37" t="inlineStr">
        <is>
          <t>2026-07-13</t>
        </is>
      </c>
      <c r="E950" s="37" t="inlineStr">
        <is>
          <t>Process Check</t>
        </is>
      </c>
      <c r="F950" s="37" t="inlineStr">
        <is>
          <t>Check planning for the next batch-start announcement.</t>
        </is>
      </c>
      <c r="G950" s="37" t="inlineStr">
        <is>
          <t>All is Well</t>
        </is>
      </c>
    </row>
    <row r="951">
      <c r="A951" s="37" t="inlineStr">
        <is>
          <t>Amit Chakraborty</t>
        </is>
      </c>
      <c r="B951" s="37" t="inlineStr">
        <is>
          <t>Alambagh</t>
        </is>
      </c>
      <c r="C951" s="37" t="inlineStr">
        <is>
          <t>GROW Youth-Accenture</t>
        </is>
      </c>
      <c r="D951" s="37" t="inlineStr">
        <is>
          <t>2026-07-13</t>
        </is>
      </c>
      <c r="E951" s="37" t="inlineStr">
        <is>
          <t>Process Check</t>
        </is>
      </c>
      <c r="F951" s="37" t="inlineStr">
        <is>
          <t>Check if any hiring is delayed and plan a resolution.</t>
        </is>
      </c>
      <c r="G951" s="37" t="inlineStr">
        <is>
          <t>All is Well</t>
        </is>
      </c>
    </row>
    <row r="952">
      <c r="A952" s="37" t="inlineStr">
        <is>
          <t>Amit Chakraborty</t>
        </is>
      </c>
      <c r="B952" s="37" t="inlineStr">
        <is>
          <t>Alambagh</t>
        </is>
      </c>
      <c r="C952" s="37" t="inlineStr">
        <is>
          <t>GROW Youth-Accenture</t>
        </is>
      </c>
      <c r="D952" s="37" t="inlineStr">
        <is>
          <t>2026-07-13</t>
        </is>
      </c>
      <c r="E952" s="37" t="inlineStr">
        <is>
          <t>Process Check</t>
        </is>
      </c>
      <c r="F952" s="37" t="inlineStr">
        <is>
          <t>Check the CA’s diary — is CA guided daily by the AH during planning days?</t>
        </is>
      </c>
      <c r="G952" s="37" t="inlineStr">
        <is>
          <t>All is Well</t>
        </is>
      </c>
    </row>
    <row r="953">
      <c r="A953" s="37" t="inlineStr">
        <is>
          <t>Amit Chakraborty</t>
        </is>
      </c>
      <c r="B953" s="37" t="inlineStr">
        <is>
          <t>Alambagh</t>
        </is>
      </c>
      <c r="C953" s="37" t="inlineStr">
        <is>
          <t>GROW Youth-Accenture</t>
        </is>
      </c>
      <c r="D953" s="37" t="inlineStr">
        <is>
          <t>2026-07-13</t>
        </is>
      </c>
      <c r="E953" s="37" t="inlineStr">
        <is>
          <t>Process Check</t>
        </is>
      </c>
      <c r="F953" s="37" t="inlineStr">
        <is>
          <t>Check the AH is regularly meeting employers (in person and online) and updating the centre’s Top 20 Employer format.</t>
        </is>
      </c>
      <c r="G953" s="37" t="inlineStr">
        <is>
          <t>All is Well</t>
        </is>
      </c>
    </row>
    <row r="954">
      <c r="A954" s="37" t="inlineStr">
        <is>
          <t>Amit Chakraborty</t>
        </is>
      </c>
      <c r="B954" s="37" t="inlineStr">
        <is>
          <t>Alambagh</t>
        </is>
      </c>
      <c r="C954" s="37" t="inlineStr">
        <is>
          <t>GROW Youth-Accenture</t>
        </is>
      </c>
      <c r="D954" s="37" t="inlineStr">
        <is>
          <t>2026-07-13</t>
        </is>
      </c>
      <c r="E954" s="37" t="inlineStr">
        <is>
          <t>Process Check</t>
        </is>
      </c>
      <c r="F954" s="37" t="inlineStr">
        <is>
          <t>Confirm all new employers are registered on portal as per new process.</t>
        </is>
      </c>
      <c r="G954" s="37" t="inlineStr">
        <is>
          <t>All is Well</t>
        </is>
      </c>
    </row>
    <row r="955">
      <c r="A955" s="37" t="inlineStr">
        <is>
          <t>Amit Chakraborty</t>
        </is>
      </c>
      <c r="B955" s="37" t="inlineStr">
        <is>
          <t>Alambagh</t>
        </is>
      </c>
      <c r="C955" s="37" t="inlineStr">
        <is>
          <t>GROW Youth-Accenture</t>
        </is>
      </c>
      <c r="D955" s="37" t="inlineStr">
        <is>
          <t>2026-07-13</t>
        </is>
      </c>
      <c r="E955" s="37" t="inlineStr">
        <is>
          <t>Process Check</t>
        </is>
      </c>
      <c r="F955" s="37" t="inlineStr">
        <is>
          <t>Confirm 100% of enrolled students undergone screening (for technical courses).</t>
        </is>
      </c>
      <c r="G955" s="37" t="inlineStr">
        <is>
          <t>Not Applicable</t>
        </is>
      </c>
    </row>
    <row r="956">
      <c r="A956" s="37" t="inlineStr">
        <is>
          <t>Amit Chakraborty</t>
        </is>
      </c>
      <c r="B956" s="37" t="inlineStr">
        <is>
          <t>Alambagh</t>
        </is>
      </c>
      <c r="C956" s="37" t="inlineStr">
        <is>
          <t>GROW Youth-Accenture</t>
        </is>
      </c>
      <c r="D956" s="37" t="inlineStr">
        <is>
          <t>2026-07-13</t>
        </is>
      </c>
      <c r="E956" s="37" t="inlineStr">
        <is>
          <t>Process Check</t>
        </is>
      </c>
      <c r="F956" s="37" t="inlineStr">
        <is>
          <t>Confirm ESA is done (in GROW full ESA and in Technical courses relevant sections of Core Employability Part).</t>
        </is>
      </c>
      <c r="G956" s="37" t="inlineStr">
        <is>
          <t>All is Well</t>
        </is>
      </c>
    </row>
    <row r="957">
      <c r="A957" s="37" t="inlineStr">
        <is>
          <t>Amit Chakraborty</t>
        </is>
      </c>
      <c r="B957" s="37" t="inlineStr">
        <is>
          <t>Alambagh</t>
        </is>
      </c>
      <c r="C957" s="37" t="inlineStr">
        <is>
          <t>GROW Youth-Accenture</t>
        </is>
      </c>
      <c r="D957" s="37" t="inlineStr">
        <is>
          <t>2026-07-13</t>
        </is>
      </c>
      <c r="E957" s="37" t="inlineStr">
        <is>
          <t>Process Check</t>
        </is>
      </c>
      <c r="F957" s="37" t="inlineStr">
        <is>
          <t>Check is AH giving capstone project in GROW Tech.</t>
        </is>
      </c>
      <c r="G957" s="37" t="inlineStr">
        <is>
          <t>Not Applicable</t>
        </is>
      </c>
    </row>
    <row r="958">
      <c r="A958" s="37" t="inlineStr">
        <is>
          <t>Amit Chakraborty</t>
        </is>
      </c>
      <c r="B958" s="37" t="inlineStr">
        <is>
          <t>Alambagh</t>
        </is>
      </c>
      <c r="C958" s="37" t="inlineStr">
        <is>
          <t>GROW Youth-Accenture</t>
        </is>
      </c>
      <c r="D958" s="37" t="inlineStr">
        <is>
          <t>2026-07-13</t>
        </is>
      </c>
      <c r="E958" s="37" t="inlineStr">
        <is>
          <t>Process Check</t>
        </is>
      </c>
      <c r="F958" s="37" t="inlineStr">
        <is>
          <t>Check is AH planning OJT as per guidelines and proofs are collected for technical courses.</t>
        </is>
      </c>
      <c r="G958" s="37" t="inlineStr">
        <is>
          <t>Not Applicable</t>
        </is>
      </c>
    </row>
    <row r="959">
      <c r="A959" s="37" t="inlineStr">
        <is>
          <t>Amit Chakraborty</t>
        </is>
      </c>
      <c r="B959" s="37" t="inlineStr">
        <is>
          <t>Alambagh</t>
        </is>
      </c>
      <c r="C959" s="37" t="inlineStr">
        <is>
          <t>GROW Youth-Accenture</t>
        </is>
      </c>
      <c r="D959" s="37" t="inlineStr">
        <is>
          <t>2026-07-13</t>
        </is>
      </c>
      <c r="E959" s="37" t="inlineStr">
        <is>
          <t>Process Check</t>
        </is>
      </c>
      <c r="F959" s="37" t="inlineStr">
        <is>
          <t>Check are trainers contacting aspirants to find reason for their absenteeism of more than 1 day.</t>
        </is>
      </c>
      <c r="G959" s="37" t="inlineStr">
        <is>
          <t>All is Well</t>
        </is>
      </c>
    </row>
    <row r="960">
      <c r="A960" s="37" t="inlineStr">
        <is>
          <t>Amit Chakraborty</t>
        </is>
      </c>
      <c r="B960" s="37" t="inlineStr">
        <is>
          <t>Alambagh</t>
        </is>
      </c>
      <c r="C960" s="37" t="inlineStr">
        <is>
          <t>GROW Youth-Accenture</t>
        </is>
      </c>
      <c r="D960" s="37" t="inlineStr">
        <is>
          <t>2026-07-13</t>
        </is>
      </c>
      <c r="E960" s="37" t="inlineStr">
        <is>
          <t>Process Check</t>
        </is>
      </c>
      <c r="F960" s="37" t="inlineStr">
        <is>
          <t>Check the AH plans monthly enrolment and placement numbers by the 3rd of each month and shares them with second level managers.</t>
        </is>
      </c>
      <c r="G960" s="37" t="inlineStr">
        <is>
          <t>All is Well</t>
        </is>
      </c>
    </row>
    <row r="961">
      <c r="A961" s="37" t="inlineStr">
        <is>
          <t>Amit Chakraborty</t>
        </is>
      </c>
      <c r="B961" s="37" t="inlineStr">
        <is>
          <t>Alambagh</t>
        </is>
      </c>
      <c r="C961" s="37" t="inlineStr">
        <is>
          <t>GROW Youth-Accenture</t>
        </is>
      </c>
      <c r="D961" s="37" t="inlineStr">
        <is>
          <t>2026-07-13</t>
        </is>
      </c>
      <c r="E961" s="37" t="inlineStr">
        <is>
          <t>Process Check</t>
        </is>
      </c>
      <c r="F961" s="37" t="inlineStr">
        <is>
          <t>Check trainers submit aspirants’ placement interest areas to the AH by the batch’s 25th day (in GROW).</t>
        </is>
      </c>
      <c r="G961" s="37" t="inlineStr">
        <is>
          <t>All is Well</t>
        </is>
      </c>
    </row>
    <row r="962">
      <c r="A962" s="37" t="inlineStr">
        <is>
          <t>Amit Chakraborty</t>
        </is>
      </c>
      <c r="B962" s="37" t="inlineStr">
        <is>
          <t>Alambagh</t>
        </is>
      </c>
      <c r="C962" s="37" t="inlineStr">
        <is>
          <t>GROW Youth-Accenture</t>
        </is>
      </c>
      <c r="D962" s="37" t="inlineStr">
        <is>
          <t>2026-07-13</t>
        </is>
      </c>
      <c r="E962" s="37" t="inlineStr">
        <is>
          <t>Process Check</t>
        </is>
      </c>
      <c r="F962" s="37" t="inlineStr">
        <is>
          <t>Ckeck For technical programs, placement is done only in technical jobs,on which aspirants are trained and relevant emplyers are identified by 45th day.</t>
        </is>
      </c>
      <c r="G962" s="37" t="inlineStr">
        <is>
          <t>Not Applicable</t>
        </is>
      </c>
    </row>
    <row r="963">
      <c r="A963" s="37" t="inlineStr">
        <is>
          <t>Amit Chakraborty</t>
        </is>
      </c>
      <c r="B963" s="37" t="inlineStr">
        <is>
          <t>Alambagh</t>
        </is>
      </c>
      <c r="C963" s="37" t="inlineStr">
        <is>
          <t>GROW Youth-Accenture</t>
        </is>
      </c>
      <c r="D963" s="37" t="inlineStr">
        <is>
          <t>2026-07-13</t>
        </is>
      </c>
      <c r="E963" s="37" t="inlineStr">
        <is>
          <t>Process Check</t>
        </is>
      </c>
      <c r="F963" s="37" t="inlineStr">
        <is>
          <t>Check the AH follows EP guidelines and minimum benchmark salary guidelines.</t>
        </is>
      </c>
      <c r="G963" s="37" t="inlineStr">
        <is>
          <t>All is Well</t>
        </is>
      </c>
    </row>
    <row r="964">
      <c r="A964" s="37" t="inlineStr">
        <is>
          <t>Amit Chakraborty</t>
        </is>
      </c>
      <c r="B964" s="37" t="inlineStr">
        <is>
          <t>Alambagh</t>
        </is>
      </c>
      <c r="C964" s="37" t="inlineStr">
        <is>
          <t>GROW Youth-Accenture</t>
        </is>
      </c>
      <c r="D964" s="37" t="inlineStr">
        <is>
          <t>2026-07-13</t>
        </is>
      </c>
      <c r="E964" s="37" t="inlineStr">
        <is>
          <t>Process Check</t>
        </is>
      </c>
      <c r="F964" s="37" t="inlineStr">
        <is>
          <t>Check that AH is enrolling only the right traget group in the program -as per the defined target.</t>
        </is>
      </c>
      <c r="G964" s="37" t="inlineStr">
        <is>
          <t>All is Well</t>
        </is>
      </c>
    </row>
    <row r="965">
      <c r="A965" s="37" t="inlineStr">
        <is>
          <t>Amit Chakraborty</t>
        </is>
      </c>
      <c r="B965" s="37" t="inlineStr">
        <is>
          <t>Alambagh</t>
        </is>
      </c>
      <c r="C965" s="37" t="inlineStr">
        <is>
          <t>GROW Youth-Accenture</t>
        </is>
      </c>
      <c r="D965" s="37" t="inlineStr">
        <is>
          <t>2026-07-13</t>
        </is>
      </c>
      <c r="E965" s="37" t="inlineStr">
        <is>
          <t>Process Check</t>
        </is>
      </c>
      <c r="F965" s="37" t="inlineStr">
        <is>
          <t>Check the AH announces the next batch-start date by the 3rd of the month on all notice boards — focus on Zero-Day start.</t>
        </is>
      </c>
      <c r="G965" s="37" t="inlineStr">
        <is>
          <t>Need Improvement</t>
        </is>
      </c>
    </row>
    <row r="966">
      <c r="A966" s="37" t="inlineStr">
        <is>
          <t>Amit Chakraborty</t>
        </is>
      </c>
      <c r="B966" s="37" t="inlineStr">
        <is>
          <t>Alambagh</t>
        </is>
      </c>
      <c r="C966" s="37" t="inlineStr">
        <is>
          <t>GROW Youth-Accenture</t>
        </is>
      </c>
      <c r="D966" s="37" t="inlineStr">
        <is>
          <t>2026-07-13</t>
        </is>
      </c>
      <c r="E966" s="37" t="inlineStr">
        <is>
          <t>Process Check</t>
        </is>
      </c>
      <c r="F966" s="37" t="inlineStr">
        <is>
          <t>Check the Aspirant Mock Interview Score Tracker is updated after every mock interview in the L&amp;D Google Sheet.</t>
        </is>
      </c>
      <c r="G966" s="37" t="inlineStr">
        <is>
          <t>Need Improvement</t>
        </is>
      </c>
    </row>
    <row r="967">
      <c r="A967" s="37" t="inlineStr">
        <is>
          <t>Amit Chakraborty</t>
        </is>
      </c>
      <c r="B967" s="37" t="inlineStr">
        <is>
          <t>Alambagh</t>
        </is>
      </c>
      <c r="C967" s="37" t="inlineStr">
        <is>
          <t>GROW Youth-Accenture</t>
        </is>
      </c>
      <c r="D967" s="37" t="inlineStr">
        <is>
          <t>2026-07-13</t>
        </is>
      </c>
      <c r="E967" s="37" t="inlineStr">
        <is>
          <t>Process Check</t>
        </is>
      </c>
      <c r="F967" s="37" t="inlineStr">
        <is>
          <t>Confirm NPS (Net Promoter Score) is collected at MSDF centres.</t>
        </is>
      </c>
      <c r="G967" s="37" t="inlineStr">
        <is>
          <t>Not Applicable</t>
        </is>
      </c>
    </row>
    <row r="968">
      <c r="A968" s="37" t="inlineStr">
        <is>
          <t>Amit Chakraborty</t>
        </is>
      </c>
      <c r="B968" s="37" t="inlineStr">
        <is>
          <t>Alambagh</t>
        </is>
      </c>
      <c r="C968" s="37" t="inlineStr">
        <is>
          <t>GROW Youth-Accenture</t>
        </is>
      </c>
      <c r="D968" s="37" t="inlineStr">
        <is>
          <t>2026-07-13</t>
        </is>
      </c>
      <c r="E968" s="37" t="inlineStr">
        <is>
          <t>Process Check</t>
        </is>
      </c>
      <c r="F968" s="37" t="inlineStr">
        <is>
          <t>Confirm that QAE is collecting student feedback for every batch.</t>
        </is>
      </c>
      <c r="G968" s="37" t="inlineStr">
        <is>
          <t>All is Well</t>
        </is>
      </c>
    </row>
    <row r="969">
      <c r="A969" s="37" t="inlineStr">
        <is>
          <t>Amit Chakraborty</t>
        </is>
      </c>
      <c r="B969" s="37" t="inlineStr">
        <is>
          <t>Alambagh</t>
        </is>
      </c>
      <c r="C969" s="37" t="inlineStr">
        <is>
          <t>GROW Youth-Accenture</t>
        </is>
      </c>
      <c r="D969" s="37" t="inlineStr">
        <is>
          <t>2026-07-13</t>
        </is>
      </c>
      <c r="E969" s="37" t="inlineStr">
        <is>
          <t>Process Check</t>
        </is>
      </c>
      <c r="F969" s="37" t="inlineStr">
        <is>
          <t>Confirm all centre teams have completed the GROW Manual Course on Skillfy — ask for achievement certificates.</t>
        </is>
      </c>
      <c r="G969" s="37" t="inlineStr">
        <is>
          <t>All is Well</t>
        </is>
      </c>
    </row>
    <row r="970">
      <c r="A970" s="37" t="inlineStr">
        <is>
          <t>Amit Chakraborty</t>
        </is>
      </c>
      <c r="B970" s="37" t="inlineStr">
        <is>
          <t>Alambagh</t>
        </is>
      </c>
      <c r="C970" s="37" t="inlineStr">
        <is>
          <t>GROW Youth-Accenture</t>
        </is>
      </c>
      <c r="D970" s="37" t="inlineStr">
        <is>
          <t>2026-07-13</t>
        </is>
      </c>
      <c r="E970" s="37" t="inlineStr">
        <is>
          <t>Process Check</t>
        </is>
      </c>
      <c r="F970" s="37" t="inlineStr">
        <is>
          <t>Check AH holds a quality weekly team meeting, documents action points in the weekly meeting format, and sends you a photo on WhatsApp.</t>
        </is>
      </c>
      <c r="G970" s="37" t="inlineStr">
        <is>
          <t>All is Well</t>
        </is>
      </c>
    </row>
    <row r="971">
      <c r="A971" s="37" t="inlineStr">
        <is>
          <t>Amit Chakraborty</t>
        </is>
      </c>
      <c r="B971" s="37" t="inlineStr">
        <is>
          <t>Alambagh</t>
        </is>
      </c>
      <c r="C971" s="37" t="inlineStr">
        <is>
          <t>GROW Youth-Accenture</t>
        </is>
      </c>
      <c r="D971" s="37" t="inlineStr">
        <is>
          <t>2026-07-13</t>
        </is>
      </c>
      <c r="E971" s="37" t="inlineStr">
        <is>
          <t>Aspirant Interaction</t>
        </is>
      </c>
      <c r="F971" s="37" t="inlineStr">
        <is>
          <t>Ask aspirants about the session plan — confirm training is happening as planned?</t>
        </is>
      </c>
      <c r="G971" s="37" t="inlineStr">
        <is>
          <t>All is Well</t>
        </is>
      </c>
    </row>
    <row r="972">
      <c r="A972" s="37" t="inlineStr">
        <is>
          <t>Amit Chakraborty</t>
        </is>
      </c>
      <c r="B972" s="37" t="inlineStr">
        <is>
          <t>Alambagh</t>
        </is>
      </c>
      <c r="C972" s="37" t="inlineStr">
        <is>
          <t>GROW Youth-Accenture</t>
        </is>
      </c>
      <c r="D972" s="37" t="inlineStr">
        <is>
          <t>2026-07-13</t>
        </is>
      </c>
      <c r="E972" s="37" t="inlineStr">
        <is>
          <t>Aspirant Interaction</t>
        </is>
      </c>
      <c r="F972" s="37" t="inlineStr">
        <is>
          <t>Ask about the quality of Core Employability component delivery (technical centres) and who delivers it.</t>
        </is>
      </c>
      <c r="G972" s="37" t="inlineStr">
        <is>
          <t>Not Applicable</t>
        </is>
      </c>
    </row>
    <row r="973">
      <c r="A973" s="37" t="inlineStr">
        <is>
          <t>Amit Chakraborty</t>
        </is>
      </c>
      <c r="B973" s="37" t="inlineStr">
        <is>
          <t>Alambagh</t>
        </is>
      </c>
      <c r="C973" s="37" t="inlineStr">
        <is>
          <t>GROW Youth-Accenture</t>
        </is>
      </c>
      <c r="D973" s="37" t="inlineStr">
        <is>
          <t>2026-07-13</t>
        </is>
      </c>
      <c r="E973" s="37" t="inlineStr">
        <is>
          <t>Aspirant Interaction</t>
        </is>
      </c>
      <c r="F973" s="37" t="inlineStr">
        <is>
          <t>Ask whether they are aware of the referral scheme?</t>
        </is>
      </c>
      <c r="G973" s="37" t="inlineStr">
        <is>
          <t>All is Well</t>
        </is>
      </c>
    </row>
    <row r="974">
      <c r="A974" s="37" t="inlineStr">
        <is>
          <t>Amit Chakraborty</t>
        </is>
      </c>
      <c r="B974" s="37" t="inlineStr">
        <is>
          <t>Alambagh</t>
        </is>
      </c>
      <c r="C974" s="37" t="inlineStr">
        <is>
          <t>GROW Youth-Accenture</t>
        </is>
      </c>
      <c r="D974" s="37" t="inlineStr">
        <is>
          <t>2026-07-13</t>
        </is>
      </c>
      <c r="E974" s="37" t="inlineStr">
        <is>
          <t>Aspirant Interaction</t>
        </is>
      </c>
      <c r="F974" s="37" t="inlineStr">
        <is>
          <t>Ask whether the AH explained the importance of the offer letter and sharing it with us once received for reporting purposes?</t>
        </is>
      </c>
      <c r="G974" s="37" t="inlineStr">
        <is>
          <t>All is Well</t>
        </is>
      </c>
    </row>
    <row r="975">
      <c r="A975" s="37" t="inlineStr">
        <is>
          <t>Amit Chakraborty</t>
        </is>
      </c>
      <c r="B975" s="37" t="inlineStr">
        <is>
          <t>Alambagh</t>
        </is>
      </c>
      <c r="C975" s="37" t="inlineStr">
        <is>
          <t>GROW Youth-Accenture</t>
        </is>
      </c>
      <c r="D975" s="37" t="inlineStr">
        <is>
          <t>2026-07-13</t>
        </is>
      </c>
      <c r="E975" s="37" t="inlineStr">
        <is>
          <t>Aspirant Interaction</t>
        </is>
      </c>
      <c r="F975" s="37" t="inlineStr">
        <is>
          <t>Ask how many are not interested in jobs — and if so, why they enrolled in the programme?</t>
        </is>
      </c>
      <c r="G975" s="37" t="inlineStr">
        <is>
          <t>All is Well</t>
        </is>
      </c>
    </row>
    <row r="976">
      <c r="A976" s="37" t="inlineStr">
        <is>
          <t>Amit Chakraborty</t>
        </is>
      </c>
      <c r="B976" s="37" t="inlineStr">
        <is>
          <t>Alambagh</t>
        </is>
      </c>
      <c r="C976" s="37" t="inlineStr">
        <is>
          <t>GROW Youth-Accenture</t>
        </is>
      </c>
      <c r="D976" s="37" t="inlineStr">
        <is>
          <t>2026-07-13</t>
        </is>
      </c>
      <c r="E976" s="37" t="inlineStr">
        <is>
          <t>Aspirant Interaction</t>
        </is>
      </c>
      <c r="F976" s="37" t="inlineStr">
        <is>
          <t>Ask whether they were told the kind of job they would get during counselling?</t>
        </is>
      </c>
      <c r="G976" s="37" t="inlineStr">
        <is>
          <t>All is Well</t>
        </is>
      </c>
    </row>
    <row r="977">
      <c r="A977" s="37" t="inlineStr">
        <is>
          <t>Amit Chakraborty</t>
        </is>
      </c>
      <c r="B977" s="37" t="inlineStr">
        <is>
          <t>Alambagh</t>
        </is>
      </c>
      <c r="C977" s="37" t="inlineStr">
        <is>
          <t>GROW Youth-Accenture</t>
        </is>
      </c>
      <c r="D977" s="37" t="inlineStr">
        <is>
          <t>2026-07-13</t>
        </is>
      </c>
      <c r="E977" s="37" t="inlineStr">
        <is>
          <t>Aspirant Interaction</t>
        </is>
      </c>
      <c r="F977" s="37" t="inlineStr">
        <is>
          <t>Ask whether they have been given LMS access?</t>
        </is>
      </c>
      <c r="G977" s="37" t="inlineStr">
        <is>
          <t>All is Well</t>
        </is>
      </c>
    </row>
    <row r="978">
      <c r="A978" s="37" t="inlineStr">
        <is>
          <t>Amit Chakraborty</t>
        </is>
      </c>
      <c r="B978" s="37" t="inlineStr">
        <is>
          <t>Alambagh</t>
        </is>
      </c>
      <c r="C978" s="37" t="inlineStr">
        <is>
          <t>GROW Youth-Accenture</t>
        </is>
      </c>
      <c r="D978" s="37" t="inlineStr">
        <is>
          <t>2026-07-13</t>
        </is>
      </c>
      <c r="E978" s="37" t="inlineStr">
        <is>
          <t>Aspirant Interaction</t>
        </is>
      </c>
      <c r="F978" s="37" t="inlineStr">
        <is>
          <t>Ask whether anyone asked them for money for training or placement?</t>
        </is>
      </c>
      <c r="G978" s="37" t="inlineStr">
        <is>
          <t>All is Well</t>
        </is>
      </c>
    </row>
    <row r="979">
      <c r="A979" s="37" t="inlineStr">
        <is>
          <t>Amit Chakraborty</t>
        </is>
      </c>
      <c r="B979" s="37" t="inlineStr">
        <is>
          <t>Alambagh</t>
        </is>
      </c>
      <c r="C979" s="37" t="inlineStr">
        <is>
          <t>GROW Youth-Accenture</t>
        </is>
      </c>
      <c r="D979" s="37" t="inlineStr">
        <is>
          <t>2026-07-13</t>
        </is>
      </c>
      <c r="E979" s="37" t="inlineStr">
        <is>
          <t>Aspirant Interaction</t>
        </is>
      </c>
      <c r="F979" s="37" t="inlineStr">
        <is>
          <t>Ask to show their mobile phones — are they enrolled on Skillfy? If not, get them enrolled and give written feedback to trainers and the AH in your presence.</t>
        </is>
      </c>
      <c r="G979" s="37" t="inlineStr">
        <is>
          <t>All is Well</t>
        </is>
      </c>
    </row>
    <row r="980">
      <c r="A980" s="37" t="inlineStr">
        <is>
          <t>Amit Chakraborty</t>
        </is>
      </c>
      <c r="B980" s="37" t="inlineStr">
        <is>
          <t>Alambagh</t>
        </is>
      </c>
      <c r="C980" s="37" t="inlineStr">
        <is>
          <t>GROW Youth-Accenture</t>
        </is>
      </c>
      <c r="D980" s="37" t="inlineStr">
        <is>
          <t>2026-07-13</t>
        </is>
      </c>
      <c r="E980" s="37" t="inlineStr">
        <is>
          <t>Aspirant Interaction</t>
        </is>
      </c>
      <c r="F980" s="37" t="inlineStr">
        <is>
          <t>Ask about the quality of the hostel and any issues they face.</t>
        </is>
      </c>
      <c r="G980" s="37" t="inlineStr">
        <is>
          <t>Not Applicable</t>
        </is>
      </c>
    </row>
    <row r="981">
      <c r="A981" s="37" t="inlineStr">
        <is>
          <t>Amit Chakraborty</t>
        </is>
      </c>
      <c r="B981" s="37" t="inlineStr">
        <is>
          <t>Alambagh</t>
        </is>
      </c>
      <c r="C981" s="37" t="inlineStr">
        <is>
          <t>GROW Youth-Accenture</t>
        </is>
      </c>
      <c r="D981" s="37" t="inlineStr">
        <is>
          <t>2026-07-13</t>
        </is>
      </c>
      <c r="E981" s="37" t="inlineStr">
        <is>
          <t>Aspirant Interaction</t>
        </is>
      </c>
      <c r="F981" s="37" t="inlineStr">
        <is>
          <t>Ask a few relevant screening questions to support the 10th-day report and remove non-serious candidates, explaining to them the reasons.</t>
        </is>
      </c>
      <c r="G981" s="37" t="inlineStr">
        <is>
          <t>All is Well</t>
        </is>
      </c>
    </row>
    <row r="982">
      <c r="A982" s="37" t="inlineStr">
        <is>
          <t>Gagandeep Singh Sachar</t>
        </is>
      </c>
      <c r="B982" s="37" t="inlineStr">
        <is>
          <t>Thane</t>
        </is>
      </c>
      <c r="C982" s="37" t="inlineStr">
        <is>
          <t>Youth</t>
        </is>
      </c>
      <c r="D982" s="37" t="inlineStr">
        <is>
          <t>2026-07-14</t>
        </is>
      </c>
      <c r="E982" s="37" t="inlineStr">
        <is>
          <t>Data Check</t>
        </is>
      </c>
      <c r="F982" s="37" t="inlineStr">
        <is>
          <t>Reach the centre on time (unannounced) — confirm the centre opened on time.</t>
        </is>
      </c>
      <c r="G982" s="37" t="inlineStr">
        <is>
          <t>All is Well</t>
        </is>
      </c>
    </row>
    <row r="983">
      <c r="A983" s="37" t="inlineStr">
        <is>
          <t>Gagandeep Singh Sachar</t>
        </is>
      </c>
      <c r="B983" s="37" t="inlineStr">
        <is>
          <t>Thane</t>
        </is>
      </c>
      <c r="C983" s="37" t="inlineStr">
        <is>
          <t>Youth</t>
        </is>
      </c>
      <c r="D983" s="37" t="inlineStr">
        <is>
          <t>2026-07-14</t>
        </is>
      </c>
      <c r="E983" s="37" t="inlineStr">
        <is>
          <t>Data Check</t>
        </is>
      </c>
      <c r="F983" s="37" t="inlineStr">
        <is>
          <t>Check the staff attendance register, the Google Sheet, and geo-tagged photos for aspirants.</t>
        </is>
      </c>
      <c r="G983" s="37" t="inlineStr">
        <is>
          <t>Need Improvement</t>
        </is>
      </c>
    </row>
    <row r="984">
      <c r="A984" s="37" t="inlineStr">
        <is>
          <t>Gagandeep Singh Sachar</t>
        </is>
      </c>
      <c r="B984" s="37" t="inlineStr">
        <is>
          <t>Thane</t>
        </is>
      </c>
      <c r="C984" s="37" t="inlineStr">
        <is>
          <t>Youth</t>
        </is>
      </c>
      <c r="D984" s="37" t="inlineStr">
        <is>
          <t>2026-07-14</t>
        </is>
      </c>
      <c r="E984" s="37" t="inlineStr">
        <is>
          <t>Data Check</t>
        </is>
      </c>
      <c r="F984" s="37" t="inlineStr">
        <is>
          <t>Check Counselling and Screening Forms of recently started batches.</t>
        </is>
      </c>
      <c r="G984" s="37" t="inlineStr">
        <is>
          <t>All is Well</t>
        </is>
      </c>
    </row>
    <row r="985">
      <c r="A985" s="37" t="inlineStr">
        <is>
          <t>Gagandeep Singh Sachar</t>
        </is>
      </c>
      <c r="B985" s="37" t="inlineStr">
        <is>
          <t>Thane</t>
        </is>
      </c>
      <c r="C985" s="37" t="inlineStr">
        <is>
          <t>Youth</t>
        </is>
      </c>
      <c r="D985" s="37" t="inlineStr">
        <is>
          <t>2026-07-14</t>
        </is>
      </c>
      <c r="E985" s="37" t="inlineStr">
        <is>
          <t>Data Check</t>
        </is>
      </c>
      <c r="F985" s="37" t="inlineStr">
        <is>
          <t>Check Aspirant Registration Forms and related documents.</t>
        </is>
      </c>
      <c r="G985" s="37" t="inlineStr">
        <is>
          <t>All is Well</t>
        </is>
      </c>
    </row>
    <row r="986">
      <c r="A986" s="37" t="inlineStr">
        <is>
          <t>Gagandeep Singh Sachar</t>
        </is>
      </c>
      <c r="B986" s="37" t="inlineStr">
        <is>
          <t>Thane</t>
        </is>
      </c>
      <c r="C986" s="37" t="inlineStr">
        <is>
          <t>Youth</t>
        </is>
      </c>
      <c r="D986" s="37" t="inlineStr">
        <is>
          <t>2026-07-14</t>
        </is>
      </c>
      <c r="E986" s="37" t="inlineStr">
        <is>
          <t>Data Check</t>
        </is>
      </c>
      <c r="F986" s="37" t="inlineStr">
        <is>
          <t>On the GROW portal, confirm all student profile details and batch updates are currect.</t>
        </is>
      </c>
      <c r="G986" s="37" t="inlineStr">
        <is>
          <t>All is Well</t>
        </is>
      </c>
    </row>
    <row r="987">
      <c r="A987" s="37" t="inlineStr">
        <is>
          <t>Gagandeep Singh Sachar</t>
        </is>
      </c>
      <c r="B987" s="37" t="inlineStr">
        <is>
          <t>Thane</t>
        </is>
      </c>
      <c r="C987" s="37" t="inlineStr">
        <is>
          <t>Youth</t>
        </is>
      </c>
      <c r="D987" s="37" t="inlineStr">
        <is>
          <t>2026-07-14</t>
        </is>
      </c>
      <c r="E987" s="37" t="inlineStr">
        <is>
          <t>Data Check</t>
        </is>
      </c>
      <c r="F987" s="37" t="inlineStr">
        <is>
          <t>Verify placement data — randomly call 3–4 alumni placed in the last 3 months to confirm veracity (random selection is essential).</t>
        </is>
      </c>
      <c r="G987" s="37" t="inlineStr">
        <is>
          <t>All is Well</t>
        </is>
      </c>
    </row>
    <row r="988">
      <c r="A988" s="37" t="inlineStr">
        <is>
          <t>Gagandeep Singh Sachar</t>
        </is>
      </c>
      <c r="B988" s="37" t="inlineStr">
        <is>
          <t>Thane</t>
        </is>
      </c>
      <c r="C988" s="37" t="inlineStr">
        <is>
          <t>Youth</t>
        </is>
      </c>
      <c r="D988" s="37" t="inlineStr">
        <is>
          <t>2026-07-14</t>
        </is>
      </c>
      <c r="E988" s="37" t="inlineStr">
        <is>
          <t>Data Check</t>
        </is>
      </c>
      <c r="F988" s="37" t="inlineStr">
        <is>
          <t>Verify retention — check the Alumni Hand-holding Format is being updated as designed.</t>
        </is>
      </c>
      <c r="G988" s="37" t="inlineStr">
        <is>
          <t>Need Improvement</t>
        </is>
      </c>
    </row>
    <row r="989">
      <c r="A989" s="37" t="inlineStr">
        <is>
          <t>Gagandeep Singh Sachar</t>
        </is>
      </c>
      <c r="B989" s="37" t="inlineStr">
        <is>
          <t>Thane</t>
        </is>
      </c>
      <c r="C989" s="37" t="inlineStr">
        <is>
          <t>Youth</t>
        </is>
      </c>
      <c r="D989" s="37" t="inlineStr">
        <is>
          <t>2026-07-14</t>
        </is>
      </c>
      <c r="E989" s="37" t="inlineStr">
        <is>
          <t>Data Check</t>
        </is>
      </c>
      <c r="F989" s="37" t="inlineStr">
        <is>
          <t>Check aspirant Hostel Forms are properly filled or not.</t>
        </is>
      </c>
      <c r="G989" s="37" t="inlineStr">
        <is>
          <t>Not Applicable</t>
        </is>
      </c>
    </row>
    <row r="990">
      <c r="A990" s="37" t="inlineStr">
        <is>
          <t>Gagandeep Singh Sachar</t>
        </is>
      </c>
      <c r="B990" s="37" t="inlineStr">
        <is>
          <t>Thane</t>
        </is>
      </c>
      <c r="C990" s="37" t="inlineStr">
        <is>
          <t>Youth</t>
        </is>
      </c>
      <c r="D990" s="37" t="inlineStr">
        <is>
          <t>2026-07-14</t>
        </is>
      </c>
      <c r="E990" s="37" t="inlineStr">
        <is>
          <t>Infra Check</t>
        </is>
      </c>
      <c r="F990" s="37" t="inlineStr">
        <is>
          <t>Check all CCTV cameras; if any are not working, ask the AH to troubleshoot or call the vendor.</t>
        </is>
      </c>
      <c r="G990" s="37" t="inlineStr">
        <is>
          <t>Not Applicable</t>
        </is>
      </c>
    </row>
    <row r="991">
      <c r="A991" s="37" t="inlineStr">
        <is>
          <t>Gagandeep Singh Sachar</t>
        </is>
      </c>
      <c r="B991" s="37" t="inlineStr">
        <is>
          <t>Thane</t>
        </is>
      </c>
      <c r="C991" s="37" t="inlineStr">
        <is>
          <t>Youth</t>
        </is>
      </c>
      <c r="D991" s="37" t="inlineStr">
        <is>
          <t>2026-07-14</t>
        </is>
      </c>
      <c r="E991" s="37" t="inlineStr">
        <is>
          <t>Infra Check</t>
        </is>
      </c>
      <c r="F991" s="37" t="inlineStr">
        <is>
          <t>Check for any scrap material and get it cleared, with support of Admin</t>
        </is>
      </c>
      <c r="G991" s="37" t="inlineStr">
        <is>
          <t>All is Well</t>
        </is>
      </c>
    </row>
    <row r="992">
      <c r="A992" s="37" t="inlineStr">
        <is>
          <t>Gagandeep Singh Sachar</t>
        </is>
      </c>
      <c r="B992" s="37" t="inlineStr">
        <is>
          <t>Thane</t>
        </is>
      </c>
      <c r="C992" s="37" t="inlineStr">
        <is>
          <t>Youth</t>
        </is>
      </c>
      <c r="D992" s="37" t="inlineStr">
        <is>
          <t>2026-07-14</t>
        </is>
      </c>
      <c r="E992" s="37" t="inlineStr">
        <is>
          <t>Infra Check</t>
        </is>
      </c>
      <c r="F992" s="37" t="inlineStr">
        <is>
          <t>Check for any pending infra repairs.</t>
        </is>
      </c>
      <c r="G992" s="37" t="inlineStr">
        <is>
          <t>Need Improvement</t>
        </is>
      </c>
    </row>
    <row r="993">
      <c r="A993" s="37" t="inlineStr">
        <is>
          <t>Gagandeep Singh Sachar</t>
        </is>
      </c>
      <c r="B993" s="37" t="inlineStr">
        <is>
          <t>Thane</t>
        </is>
      </c>
      <c r="C993" s="37" t="inlineStr">
        <is>
          <t>Youth</t>
        </is>
      </c>
      <c r="D993" s="37" t="inlineStr">
        <is>
          <t>2026-07-14</t>
        </is>
      </c>
      <c r="E993" s="37" t="inlineStr">
        <is>
          <t>Infra Check</t>
        </is>
      </c>
      <c r="F993" s="37" t="inlineStr">
        <is>
          <t>Check whether any fire extinguishers have expired (check the needle and expiry date both).</t>
        </is>
      </c>
      <c r="G993" s="37" t="inlineStr">
        <is>
          <t>All is Well</t>
        </is>
      </c>
    </row>
    <row r="994">
      <c r="A994" s="37" t="inlineStr">
        <is>
          <t>Gagandeep Singh Sachar</t>
        </is>
      </c>
      <c r="B994" s="37" t="inlineStr">
        <is>
          <t>Thane</t>
        </is>
      </c>
      <c r="C994" s="37" t="inlineStr">
        <is>
          <t>Youth</t>
        </is>
      </c>
      <c r="D994" s="37" t="inlineStr">
        <is>
          <t>2026-07-14</t>
        </is>
      </c>
      <c r="E994" s="37" t="inlineStr">
        <is>
          <t>Infra Check</t>
        </is>
      </c>
      <c r="F994" s="37" t="inlineStr">
        <is>
          <t>Check basic cleanliness of the washrooms and the centre.</t>
        </is>
      </c>
      <c r="G994" s="37" t="inlineStr">
        <is>
          <t>All is Well</t>
        </is>
      </c>
    </row>
    <row r="995">
      <c r="A995" s="37" t="inlineStr">
        <is>
          <t>Gagandeep Singh Sachar</t>
        </is>
      </c>
      <c r="B995" s="37" t="inlineStr">
        <is>
          <t>Thane</t>
        </is>
      </c>
      <c r="C995" s="37" t="inlineStr">
        <is>
          <t>Youth</t>
        </is>
      </c>
      <c r="D995" s="37" t="inlineStr">
        <is>
          <t>2026-07-14</t>
        </is>
      </c>
      <c r="E995" s="37" t="inlineStr">
        <is>
          <t>Infra Check</t>
        </is>
      </c>
      <c r="F995" s="37" t="inlineStr">
        <is>
          <t>Confirm the correct program and partner logos are displayed.</t>
        </is>
      </c>
      <c r="G995" s="37" t="inlineStr">
        <is>
          <t>All is Well</t>
        </is>
      </c>
    </row>
    <row r="996">
      <c r="A996" s="37" t="inlineStr">
        <is>
          <t>Gagandeep Singh Sachar</t>
        </is>
      </c>
      <c r="B996" s="37" t="inlineStr">
        <is>
          <t>Thane</t>
        </is>
      </c>
      <c r="C996" s="37" t="inlineStr">
        <is>
          <t>Youth</t>
        </is>
      </c>
      <c r="D996" s="37" t="inlineStr">
        <is>
          <t>2026-07-14</t>
        </is>
      </c>
      <c r="E996" s="37" t="inlineStr">
        <is>
          <t>Infra Check</t>
        </is>
      </c>
      <c r="F996" s="37" t="inlineStr">
        <is>
          <t>Check the status of digital infra — PCs, smartboards, tablets, laptops, etc.</t>
        </is>
      </c>
      <c r="G996" s="37" t="inlineStr">
        <is>
          <t>Need Improvement</t>
        </is>
      </c>
    </row>
    <row r="997">
      <c r="A997" s="37" t="inlineStr">
        <is>
          <t>Gagandeep Singh Sachar</t>
        </is>
      </c>
      <c r="B997" s="37" t="inlineStr">
        <is>
          <t>Thane</t>
        </is>
      </c>
      <c r="C997" s="37" t="inlineStr">
        <is>
          <t>Youth</t>
        </is>
      </c>
      <c r="D997" s="37" t="inlineStr">
        <is>
          <t>2026-07-14</t>
        </is>
      </c>
      <c r="E997" s="37" t="inlineStr">
        <is>
          <t>Infra Check</t>
        </is>
      </c>
      <c r="F997" s="37" t="inlineStr">
        <is>
          <t>Make a quick hostel visit; have lunch there if possible to test the food quality.</t>
        </is>
      </c>
      <c r="G997" s="37" t="inlineStr">
        <is>
          <t>Not Applicable</t>
        </is>
      </c>
    </row>
    <row r="998">
      <c r="A998" s="37" t="inlineStr">
        <is>
          <t>Gagandeep Singh Sachar</t>
        </is>
      </c>
      <c r="B998" s="37" t="inlineStr">
        <is>
          <t>Thane</t>
        </is>
      </c>
      <c r="C998" s="37" t="inlineStr">
        <is>
          <t>Youth</t>
        </is>
      </c>
      <c r="D998" s="37" t="inlineStr">
        <is>
          <t>2026-07-14</t>
        </is>
      </c>
      <c r="E998" s="37" t="inlineStr">
        <is>
          <t>Process Check</t>
        </is>
      </c>
      <c r="F998" s="37" t="inlineStr">
        <is>
          <t>Refer to the activity planner — check if any activities are delayed.</t>
        </is>
      </c>
      <c r="G998" s="37" t="inlineStr">
        <is>
          <t>Not Applicable</t>
        </is>
      </c>
    </row>
    <row r="999">
      <c r="A999" s="37" t="inlineStr">
        <is>
          <t>Gagandeep Singh Sachar</t>
        </is>
      </c>
      <c r="B999" s="37" t="inlineStr">
        <is>
          <t>Thane</t>
        </is>
      </c>
      <c r="C999" s="37" t="inlineStr">
        <is>
          <t>Youth</t>
        </is>
      </c>
      <c r="D999" s="37" t="inlineStr">
        <is>
          <t>2026-07-14</t>
        </is>
      </c>
      <c r="E999" s="37" t="inlineStr">
        <is>
          <t>Process Check</t>
        </is>
      </c>
      <c r="F999" s="37" t="inlineStr">
        <is>
          <t>Check planning for the next batch-start announcement.</t>
        </is>
      </c>
      <c r="G999" s="37" t="inlineStr">
        <is>
          <t>All is Well</t>
        </is>
      </c>
    </row>
    <row r="1000">
      <c r="A1000" s="37" t="inlineStr">
        <is>
          <t>Gagandeep Singh Sachar</t>
        </is>
      </c>
      <c r="B1000" s="37" t="inlineStr">
        <is>
          <t>Thane</t>
        </is>
      </c>
      <c r="C1000" s="37" t="inlineStr">
        <is>
          <t>Youth</t>
        </is>
      </c>
      <c r="D1000" s="37" t="inlineStr">
        <is>
          <t>2026-07-14</t>
        </is>
      </c>
      <c r="E1000" s="37" t="inlineStr">
        <is>
          <t>Process Check</t>
        </is>
      </c>
      <c r="F1000" s="37" t="inlineStr">
        <is>
          <t>Check if any hiring is delayed and plan a resolution.</t>
        </is>
      </c>
      <c r="G1000" s="37" t="inlineStr">
        <is>
          <t>All is Well</t>
        </is>
      </c>
    </row>
    <row r="1001">
      <c r="A1001" s="37" t="inlineStr">
        <is>
          <t>Gagandeep Singh Sachar</t>
        </is>
      </c>
      <c r="B1001" s="37" t="inlineStr">
        <is>
          <t>Thane</t>
        </is>
      </c>
      <c r="C1001" s="37" t="inlineStr">
        <is>
          <t>Youth</t>
        </is>
      </c>
      <c r="D1001" s="37" t="inlineStr">
        <is>
          <t>2026-07-14</t>
        </is>
      </c>
      <c r="E1001" s="37" t="inlineStr">
        <is>
          <t>Process Check</t>
        </is>
      </c>
      <c r="F1001" s="37" t="inlineStr">
        <is>
          <t>Check the CA’s diary — is CA guided daily by the AH during planning days?</t>
        </is>
      </c>
      <c r="G1001" s="37" t="inlineStr">
        <is>
          <t>All is Well</t>
        </is>
      </c>
    </row>
    <row r="1002">
      <c r="A1002" s="37" t="inlineStr">
        <is>
          <t>Gagandeep Singh Sachar</t>
        </is>
      </c>
      <c r="B1002" s="37" t="inlineStr">
        <is>
          <t>Thane</t>
        </is>
      </c>
      <c r="C1002" s="37" t="inlineStr">
        <is>
          <t>Youth</t>
        </is>
      </c>
      <c r="D1002" s="37" t="inlineStr">
        <is>
          <t>2026-07-14</t>
        </is>
      </c>
      <c r="E1002" s="37" t="inlineStr">
        <is>
          <t>Process Check</t>
        </is>
      </c>
      <c r="F1002" s="37" t="inlineStr">
        <is>
          <t>Check the AH is regularly meeting employers (in person and online) and updating the centre’s Top 20 Employer format.</t>
        </is>
      </c>
      <c r="G1002" s="37" t="inlineStr">
        <is>
          <t>Need Improvement</t>
        </is>
      </c>
    </row>
    <row r="1003">
      <c r="A1003" s="37" t="inlineStr">
        <is>
          <t>Gagandeep Singh Sachar</t>
        </is>
      </c>
      <c r="B1003" s="37" t="inlineStr">
        <is>
          <t>Thane</t>
        </is>
      </c>
      <c r="C1003" s="37" t="inlineStr">
        <is>
          <t>Youth</t>
        </is>
      </c>
      <c r="D1003" s="37" t="inlineStr">
        <is>
          <t>2026-07-14</t>
        </is>
      </c>
      <c r="E1003" s="37" t="inlineStr">
        <is>
          <t>Process Check</t>
        </is>
      </c>
      <c r="F1003" s="37" t="inlineStr">
        <is>
          <t>Confirm all new employers are registered on portal as per new process.</t>
        </is>
      </c>
      <c r="G1003" s="37" t="inlineStr">
        <is>
          <t>All is Well</t>
        </is>
      </c>
    </row>
    <row r="1004">
      <c r="A1004" s="37" t="inlineStr">
        <is>
          <t>Gagandeep Singh Sachar</t>
        </is>
      </c>
      <c r="B1004" s="37" t="inlineStr">
        <is>
          <t>Thane</t>
        </is>
      </c>
      <c r="C1004" s="37" t="inlineStr">
        <is>
          <t>Youth</t>
        </is>
      </c>
      <c r="D1004" s="37" t="inlineStr">
        <is>
          <t>2026-07-14</t>
        </is>
      </c>
      <c r="E1004" s="37" t="inlineStr">
        <is>
          <t>Process Check</t>
        </is>
      </c>
      <c r="F1004" s="37" t="inlineStr">
        <is>
          <t>Confirm 100% of enrolled students undergone screening (for technical courses).</t>
        </is>
      </c>
      <c r="G1004" s="37" t="inlineStr">
        <is>
          <t>Not Applicable</t>
        </is>
      </c>
    </row>
    <row r="1005">
      <c r="A1005" s="37" t="inlineStr">
        <is>
          <t>Gagandeep Singh Sachar</t>
        </is>
      </c>
      <c r="B1005" s="37" t="inlineStr">
        <is>
          <t>Thane</t>
        </is>
      </c>
      <c r="C1005" s="37" t="inlineStr">
        <is>
          <t>Youth</t>
        </is>
      </c>
      <c r="D1005" s="37" t="inlineStr">
        <is>
          <t>2026-07-14</t>
        </is>
      </c>
      <c r="E1005" s="37" t="inlineStr">
        <is>
          <t>Process Check</t>
        </is>
      </c>
      <c r="F1005" s="37" t="inlineStr">
        <is>
          <t>Confirm ESA is done (in GROW full ESA and in Technical courses relevant sections of Core Employability Part).</t>
        </is>
      </c>
      <c r="G1005" s="37" t="inlineStr">
        <is>
          <t>All is Well</t>
        </is>
      </c>
    </row>
    <row r="1006">
      <c r="A1006" s="37" t="inlineStr">
        <is>
          <t>Gagandeep Singh Sachar</t>
        </is>
      </c>
      <c r="B1006" s="37" t="inlineStr">
        <is>
          <t>Thane</t>
        </is>
      </c>
      <c r="C1006" s="37" t="inlineStr">
        <is>
          <t>Youth</t>
        </is>
      </c>
      <c r="D1006" s="37" t="inlineStr">
        <is>
          <t>2026-07-14</t>
        </is>
      </c>
      <c r="E1006" s="37" t="inlineStr">
        <is>
          <t>Process Check</t>
        </is>
      </c>
      <c r="F1006" s="37" t="inlineStr">
        <is>
          <t>Check is AH giving capstone project in GROW Tech.</t>
        </is>
      </c>
      <c r="G1006" s="37" t="inlineStr">
        <is>
          <t>Not Applicable</t>
        </is>
      </c>
    </row>
    <row r="1007">
      <c r="A1007" s="37" t="inlineStr">
        <is>
          <t>Gagandeep Singh Sachar</t>
        </is>
      </c>
      <c r="B1007" s="37" t="inlineStr">
        <is>
          <t>Thane</t>
        </is>
      </c>
      <c r="C1007" s="37" t="inlineStr">
        <is>
          <t>Youth</t>
        </is>
      </c>
      <c r="D1007" s="37" t="inlineStr">
        <is>
          <t>2026-07-14</t>
        </is>
      </c>
      <c r="E1007" s="37" t="inlineStr">
        <is>
          <t>Process Check</t>
        </is>
      </c>
      <c r="F1007" s="37" t="inlineStr">
        <is>
          <t>Check is AH planning OJT as per guidelines and proofs are collected for technical courses.</t>
        </is>
      </c>
      <c r="G1007" s="37" t="inlineStr">
        <is>
          <t>Not Applicable</t>
        </is>
      </c>
    </row>
    <row r="1008">
      <c r="A1008" s="37" t="inlineStr">
        <is>
          <t>Gagandeep Singh Sachar</t>
        </is>
      </c>
      <c r="B1008" s="37" t="inlineStr">
        <is>
          <t>Thane</t>
        </is>
      </c>
      <c r="C1008" s="37" t="inlineStr">
        <is>
          <t>Youth</t>
        </is>
      </c>
      <c r="D1008" s="37" t="inlineStr">
        <is>
          <t>2026-07-14</t>
        </is>
      </c>
      <c r="E1008" s="37" t="inlineStr">
        <is>
          <t>Process Check</t>
        </is>
      </c>
      <c r="F1008" s="37" t="inlineStr">
        <is>
          <t>Check are trainers contacting aspirants to find reason for their absenteeism of more than 1 day.</t>
        </is>
      </c>
      <c r="G1008" s="37" t="inlineStr">
        <is>
          <t>All is Well</t>
        </is>
      </c>
    </row>
    <row r="1009">
      <c r="A1009" s="37" t="inlineStr">
        <is>
          <t>Gagandeep Singh Sachar</t>
        </is>
      </c>
      <c r="B1009" s="37" t="inlineStr">
        <is>
          <t>Thane</t>
        </is>
      </c>
      <c r="C1009" s="37" t="inlineStr">
        <is>
          <t>Youth</t>
        </is>
      </c>
      <c r="D1009" s="37" t="inlineStr">
        <is>
          <t>2026-07-14</t>
        </is>
      </c>
      <c r="E1009" s="37" t="inlineStr">
        <is>
          <t>Process Check</t>
        </is>
      </c>
      <c r="F1009" s="37" t="inlineStr">
        <is>
          <t>Check the AH plans monthly enrolment and placement numbers by the 3rd of each month and shares them with second level managers.</t>
        </is>
      </c>
      <c r="G1009" s="37" t="inlineStr">
        <is>
          <t>Not Applicable</t>
        </is>
      </c>
    </row>
    <row r="1010">
      <c r="A1010" s="37" t="inlineStr">
        <is>
          <t>Gagandeep Singh Sachar</t>
        </is>
      </c>
      <c r="B1010" s="37" t="inlineStr">
        <is>
          <t>Thane</t>
        </is>
      </c>
      <c r="C1010" s="37" t="inlineStr">
        <is>
          <t>Youth</t>
        </is>
      </c>
      <c r="D1010" s="37" t="inlineStr">
        <is>
          <t>2026-07-14</t>
        </is>
      </c>
      <c r="E1010" s="37" t="inlineStr">
        <is>
          <t>Process Check</t>
        </is>
      </c>
      <c r="F1010" s="37" t="inlineStr">
        <is>
          <t>Check trainers submit aspirants’ placement interest areas to the AH by the batch’s 25th day (in GROW).</t>
        </is>
      </c>
      <c r="G1010" s="37" t="inlineStr">
        <is>
          <t>All is Well</t>
        </is>
      </c>
    </row>
    <row r="1011">
      <c r="A1011" s="37" t="inlineStr">
        <is>
          <t>Gagandeep Singh Sachar</t>
        </is>
      </c>
      <c r="B1011" s="37" t="inlineStr">
        <is>
          <t>Thane</t>
        </is>
      </c>
      <c r="C1011" s="37" t="inlineStr">
        <is>
          <t>Youth</t>
        </is>
      </c>
      <c r="D1011" s="37" t="inlineStr">
        <is>
          <t>2026-07-14</t>
        </is>
      </c>
      <c r="E1011" s="37" t="inlineStr">
        <is>
          <t>Process Check</t>
        </is>
      </c>
      <c r="F1011" s="37" t="inlineStr">
        <is>
          <t>Ckeck For technical programs, placement is done only in technical jobs,on which aspirants are trained and relevant emplyers are identified by 45th day.</t>
        </is>
      </c>
      <c r="G1011" s="37" t="inlineStr">
        <is>
          <t>Not Applicable</t>
        </is>
      </c>
    </row>
    <row r="1012">
      <c r="A1012" s="37" t="inlineStr">
        <is>
          <t>Gagandeep Singh Sachar</t>
        </is>
      </c>
      <c r="B1012" s="37" t="inlineStr">
        <is>
          <t>Thane</t>
        </is>
      </c>
      <c r="C1012" s="37" t="inlineStr">
        <is>
          <t>Youth</t>
        </is>
      </c>
      <c r="D1012" s="37" t="inlineStr">
        <is>
          <t>2026-07-14</t>
        </is>
      </c>
      <c r="E1012" s="37" t="inlineStr">
        <is>
          <t>Process Check</t>
        </is>
      </c>
      <c r="F1012" s="37" t="inlineStr">
        <is>
          <t>Check the AH follows EP guidelines and minimum benchmark salary guidelines.</t>
        </is>
      </c>
      <c r="G1012" s="37" t="inlineStr">
        <is>
          <t>All is Well</t>
        </is>
      </c>
    </row>
    <row r="1013">
      <c r="A1013" s="37" t="inlineStr">
        <is>
          <t>Gagandeep Singh Sachar</t>
        </is>
      </c>
      <c r="B1013" s="37" t="inlineStr">
        <is>
          <t>Thane</t>
        </is>
      </c>
      <c r="C1013" s="37" t="inlineStr">
        <is>
          <t>Youth</t>
        </is>
      </c>
      <c r="D1013" s="37" t="inlineStr">
        <is>
          <t>2026-07-14</t>
        </is>
      </c>
      <c r="E1013" s="37" t="inlineStr">
        <is>
          <t>Process Check</t>
        </is>
      </c>
      <c r="F1013" s="37" t="inlineStr">
        <is>
          <t>Check that AH is enrolling only the right traget group in the program -as per the defined target.</t>
        </is>
      </c>
      <c r="G1013" s="37" t="inlineStr">
        <is>
          <t>Need Improvement</t>
        </is>
      </c>
    </row>
    <row r="1014">
      <c r="A1014" s="37" t="inlineStr">
        <is>
          <t>Gagandeep Singh Sachar</t>
        </is>
      </c>
      <c r="B1014" s="37" t="inlineStr">
        <is>
          <t>Thane</t>
        </is>
      </c>
      <c r="C1014" s="37" t="inlineStr">
        <is>
          <t>Youth</t>
        </is>
      </c>
      <c r="D1014" s="37" t="inlineStr">
        <is>
          <t>2026-07-14</t>
        </is>
      </c>
      <c r="E1014" s="37" t="inlineStr">
        <is>
          <t>Process Check</t>
        </is>
      </c>
      <c r="F1014" s="37" t="inlineStr">
        <is>
          <t>Check the AH announces the next batch-start date by the 3rd of the month on all notice boards — focus on Zero-Day start.</t>
        </is>
      </c>
      <c r="G1014" s="37" t="inlineStr">
        <is>
          <t>Need Improvement</t>
        </is>
      </c>
    </row>
    <row r="1015">
      <c r="A1015" s="37" t="inlineStr">
        <is>
          <t>Gagandeep Singh Sachar</t>
        </is>
      </c>
      <c r="B1015" s="37" t="inlineStr">
        <is>
          <t>Thane</t>
        </is>
      </c>
      <c r="C1015" s="37" t="inlineStr">
        <is>
          <t>Youth</t>
        </is>
      </c>
      <c r="D1015" s="37" t="inlineStr">
        <is>
          <t>2026-07-14</t>
        </is>
      </c>
      <c r="E1015" s="37" t="inlineStr">
        <is>
          <t>Process Check</t>
        </is>
      </c>
      <c r="F1015" s="37" t="inlineStr">
        <is>
          <t>Check the Aspirant Mock Interview Score Tracker is updated after every mock interview in the L&amp;D Google Sheet.</t>
        </is>
      </c>
      <c r="G1015" s="37" t="inlineStr">
        <is>
          <t>Need Improvement</t>
        </is>
      </c>
    </row>
    <row r="1016">
      <c r="A1016" s="37" t="inlineStr">
        <is>
          <t>Gagandeep Singh Sachar</t>
        </is>
      </c>
      <c r="B1016" s="37" t="inlineStr">
        <is>
          <t>Thane</t>
        </is>
      </c>
      <c r="C1016" s="37" t="inlineStr">
        <is>
          <t>Youth</t>
        </is>
      </c>
      <c r="D1016" s="37" t="inlineStr">
        <is>
          <t>2026-07-14</t>
        </is>
      </c>
      <c r="E1016" s="37" t="inlineStr">
        <is>
          <t>Process Check</t>
        </is>
      </c>
      <c r="F1016" s="37" t="inlineStr">
        <is>
          <t>Confirm NPS (Net Promoter Score) is collected at MSDF centres.</t>
        </is>
      </c>
      <c r="G1016" s="37" t="inlineStr">
        <is>
          <t>Not Applicable</t>
        </is>
      </c>
    </row>
    <row r="1017">
      <c r="A1017" s="37" t="inlineStr">
        <is>
          <t>Gagandeep Singh Sachar</t>
        </is>
      </c>
      <c r="B1017" s="37" t="inlineStr">
        <is>
          <t>Thane</t>
        </is>
      </c>
      <c r="C1017" s="37" t="inlineStr">
        <is>
          <t>Youth</t>
        </is>
      </c>
      <c r="D1017" s="37" t="inlineStr">
        <is>
          <t>2026-07-14</t>
        </is>
      </c>
      <c r="E1017" s="37" t="inlineStr">
        <is>
          <t>Process Check</t>
        </is>
      </c>
      <c r="F1017" s="37" t="inlineStr">
        <is>
          <t>Confirm that QAE is collecting student feedback for every batch.</t>
        </is>
      </c>
      <c r="G1017" s="37" t="inlineStr">
        <is>
          <t>All is Well</t>
        </is>
      </c>
    </row>
    <row r="1018">
      <c r="A1018" s="37" t="inlineStr">
        <is>
          <t>Gagandeep Singh Sachar</t>
        </is>
      </c>
      <c r="B1018" s="37" t="inlineStr">
        <is>
          <t>Thane</t>
        </is>
      </c>
      <c r="C1018" s="37" t="inlineStr">
        <is>
          <t>Youth</t>
        </is>
      </c>
      <c r="D1018" s="37" t="inlineStr">
        <is>
          <t>2026-07-14</t>
        </is>
      </c>
      <c r="E1018" s="37" t="inlineStr">
        <is>
          <t>Process Check</t>
        </is>
      </c>
      <c r="F1018" s="37" t="inlineStr">
        <is>
          <t>Confirm all centre teams have completed the GROW Manual Course on Skillfy — ask for achievement certificates.</t>
        </is>
      </c>
      <c r="G1018" s="37" t="inlineStr">
        <is>
          <t>All is Well</t>
        </is>
      </c>
    </row>
    <row r="1019">
      <c r="A1019" s="37" t="inlineStr">
        <is>
          <t>Gagandeep Singh Sachar</t>
        </is>
      </c>
      <c r="B1019" s="37" t="inlineStr">
        <is>
          <t>Thane</t>
        </is>
      </c>
      <c r="C1019" s="37" t="inlineStr">
        <is>
          <t>Youth</t>
        </is>
      </c>
      <c r="D1019" s="37" t="inlineStr">
        <is>
          <t>2026-07-14</t>
        </is>
      </c>
      <c r="E1019" s="37" t="inlineStr">
        <is>
          <t>Process Check</t>
        </is>
      </c>
      <c r="F1019" s="37" t="inlineStr">
        <is>
          <t>Check AH holds a quality weekly team meeting, documents action points in the weekly meeting format, and sends you a photo on WhatsApp.</t>
        </is>
      </c>
      <c r="G1019" s="37" t="inlineStr">
        <is>
          <t>Need Improvement</t>
        </is>
      </c>
    </row>
    <row r="1020">
      <c r="A1020" s="37" t="inlineStr">
        <is>
          <t>Gagandeep Singh Sachar</t>
        </is>
      </c>
      <c r="B1020" s="37" t="inlineStr">
        <is>
          <t>Thane</t>
        </is>
      </c>
      <c r="C1020" s="37" t="inlineStr">
        <is>
          <t>Youth</t>
        </is>
      </c>
      <c r="D1020" s="37" t="inlineStr">
        <is>
          <t>2026-07-14</t>
        </is>
      </c>
      <c r="E1020" s="37" t="inlineStr">
        <is>
          <t>Aspirant Interaction</t>
        </is>
      </c>
      <c r="F1020" s="37" t="inlineStr">
        <is>
          <t>Ask aspirants about the session plan — confirm training is happening as planned?</t>
        </is>
      </c>
      <c r="G1020" s="37" t="inlineStr">
        <is>
          <t>All is Well</t>
        </is>
      </c>
    </row>
    <row r="1021">
      <c r="A1021" s="37" t="inlineStr">
        <is>
          <t>Gagandeep Singh Sachar</t>
        </is>
      </c>
      <c r="B1021" s="37" t="inlineStr">
        <is>
          <t>Thane</t>
        </is>
      </c>
      <c r="C1021" s="37" t="inlineStr">
        <is>
          <t>Youth</t>
        </is>
      </c>
      <c r="D1021" s="37" t="inlineStr">
        <is>
          <t>2026-07-14</t>
        </is>
      </c>
      <c r="E1021" s="37" t="inlineStr">
        <is>
          <t>Aspirant Interaction</t>
        </is>
      </c>
      <c r="F1021" s="37" t="inlineStr">
        <is>
          <t>Ask about the quality of Core Employability component delivery (technical centres) and who delivers it.</t>
        </is>
      </c>
      <c r="G1021" s="37" t="inlineStr">
        <is>
          <t>Not Applicable</t>
        </is>
      </c>
    </row>
    <row r="1022">
      <c r="A1022" s="37" t="inlineStr">
        <is>
          <t>Gagandeep Singh Sachar</t>
        </is>
      </c>
      <c r="B1022" s="37" t="inlineStr">
        <is>
          <t>Thane</t>
        </is>
      </c>
      <c r="C1022" s="37" t="inlineStr">
        <is>
          <t>Youth</t>
        </is>
      </c>
      <c r="D1022" s="37" t="inlineStr">
        <is>
          <t>2026-07-14</t>
        </is>
      </c>
      <c r="E1022" s="37" t="inlineStr">
        <is>
          <t>Aspirant Interaction</t>
        </is>
      </c>
      <c r="F1022" s="37" t="inlineStr">
        <is>
          <t>Ask whether they are aware of the referral scheme?</t>
        </is>
      </c>
      <c r="G1022" s="37" t="inlineStr">
        <is>
          <t>Need Improvement</t>
        </is>
      </c>
    </row>
    <row r="1023">
      <c r="A1023" s="37" t="inlineStr">
        <is>
          <t>Gagandeep Singh Sachar</t>
        </is>
      </c>
      <c r="B1023" s="37" t="inlineStr">
        <is>
          <t>Thane</t>
        </is>
      </c>
      <c r="C1023" s="37" t="inlineStr">
        <is>
          <t>Youth</t>
        </is>
      </c>
      <c r="D1023" s="37" t="inlineStr">
        <is>
          <t>2026-07-14</t>
        </is>
      </c>
      <c r="E1023" s="37" t="inlineStr">
        <is>
          <t>Aspirant Interaction</t>
        </is>
      </c>
      <c r="F1023" s="37" t="inlineStr">
        <is>
          <t>Ask whether the AH explained the importance of the offer letter and sharing it with us once received for reporting purposes?</t>
        </is>
      </c>
      <c r="G1023" s="37" t="inlineStr">
        <is>
          <t>All is Well</t>
        </is>
      </c>
    </row>
    <row r="1024">
      <c r="A1024" s="37" t="inlineStr">
        <is>
          <t>Gagandeep Singh Sachar</t>
        </is>
      </c>
      <c r="B1024" s="37" t="inlineStr">
        <is>
          <t>Thane</t>
        </is>
      </c>
      <c r="C1024" s="37" t="inlineStr">
        <is>
          <t>Youth</t>
        </is>
      </c>
      <c r="D1024" s="37" t="inlineStr">
        <is>
          <t>2026-07-14</t>
        </is>
      </c>
      <c r="E1024" s="37" t="inlineStr">
        <is>
          <t>Aspirant Interaction</t>
        </is>
      </c>
      <c r="F1024" s="37" t="inlineStr">
        <is>
          <t>Ask how many are not interested in jobs — and if so, why they enrolled in the programme?</t>
        </is>
      </c>
      <c r="G1024" s="37" t="inlineStr">
        <is>
          <t>All is Well</t>
        </is>
      </c>
    </row>
    <row r="1025">
      <c r="A1025" s="37" t="inlineStr">
        <is>
          <t>Gagandeep Singh Sachar</t>
        </is>
      </c>
      <c r="B1025" s="37" t="inlineStr">
        <is>
          <t>Thane</t>
        </is>
      </c>
      <c r="C1025" s="37" t="inlineStr">
        <is>
          <t>Youth</t>
        </is>
      </c>
      <c r="D1025" s="37" t="inlineStr">
        <is>
          <t>2026-07-14</t>
        </is>
      </c>
      <c r="E1025" s="37" t="inlineStr">
        <is>
          <t>Aspirant Interaction</t>
        </is>
      </c>
      <c r="F1025" s="37" t="inlineStr">
        <is>
          <t>Ask whether they were told the kind of job they would get during counselling?</t>
        </is>
      </c>
      <c r="G1025" s="37" t="inlineStr">
        <is>
          <t>All is Well</t>
        </is>
      </c>
    </row>
    <row r="1026">
      <c r="A1026" s="37" t="inlineStr">
        <is>
          <t>Gagandeep Singh Sachar</t>
        </is>
      </c>
      <c r="B1026" s="37" t="inlineStr">
        <is>
          <t>Thane</t>
        </is>
      </c>
      <c r="C1026" s="37" t="inlineStr">
        <is>
          <t>Youth</t>
        </is>
      </c>
      <c r="D1026" s="37" t="inlineStr">
        <is>
          <t>2026-07-14</t>
        </is>
      </c>
      <c r="E1026" s="37" t="inlineStr">
        <is>
          <t>Aspirant Interaction</t>
        </is>
      </c>
      <c r="F1026" s="37" t="inlineStr">
        <is>
          <t>Ask whether they have been given LMS access?</t>
        </is>
      </c>
      <c r="G1026" s="37" t="inlineStr">
        <is>
          <t>All is Well</t>
        </is>
      </c>
    </row>
    <row r="1027">
      <c r="A1027" s="37" t="inlineStr">
        <is>
          <t>Gagandeep Singh Sachar</t>
        </is>
      </c>
      <c r="B1027" s="37" t="inlineStr">
        <is>
          <t>Thane</t>
        </is>
      </c>
      <c r="C1027" s="37" t="inlineStr">
        <is>
          <t>Youth</t>
        </is>
      </c>
      <c r="D1027" s="37" t="inlineStr">
        <is>
          <t>2026-07-14</t>
        </is>
      </c>
      <c r="E1027" s="37" t="inlineStr">
        <is>
          <t>Aspirant Interaction</t>
        </is>
      </c>
      <c r="F1027" s="37" t="inlineStr">
        <is>
          <t>Ask whether anyone asked them for money for training or placement?</t>
        </is>
      </c>
      <c r="G1027" s="37" t="inlineStr">
        <is>
          <t>All is Well</t>
        </is>
      </c>
    </row>
    <row r="1028">
      <c r="A1028" s="37" t="inlineStr">
        <is>
          <t>Gagandeep Singh Sachar</t>
        </is>
      </c>
      <c r="B1028" s="37" t="inlineStr">
        <is>
          <t>Thane</t>
        </is>
      </c>
      <c r="C1028" s="37" t="inlineStr">
        <is>
          <t>Youth</t>
        </is>
      </c>
      <c r="D1028" s="37" t="inlineStr">
        <is>
          <t>2026-07-14</t>
        </is>
      </c>
      <c r="E1028" s="37" t="inlineStr">
        <is>
          <t>Aspirant Interaction</t>
        </is>
      </c>
      <c r="F1028" s="37" t="inlineStr">
        <is>
          <t>Ask to show their mobile phones — are they enrolled on Skillfy? If not, get them enrolled and give written feedback to trainers and the AH in your presence.</t>
        </is>
      </c>
      <c r="G1028" s="37" t="inlineStr">
        <is>
          <t>All is Well</t>
        </is>
      </c>
    </row>
    <row r="1029">
      <c r="A1029" s="37" t="inlineStr">
        <is>
          <t>Gagandeep Singh Sachar</t>
        </is>
      </c>
      <c r="B1029" s="37" t="inlineStr">
        <is>
          <t>Thane</t>
        </is>
      </c>
      <c r="C1029" s="37" t="inlineStr">
        <is>
          <t>Youth</t>
        </is>
      </c>
      <c r="D1029" s="37" t="inlineStr">
        <is>
          <t>2026-07-14</t>
        </is>
      </c>
      <c r="E1029" s="37" t="inlineStr">
        <is>
          <t>Aspirant Interaction</t>
        </is>
      </c>
      <c r="F1029" s="37" t="inlineStr">
        <is>
          <t>Ask about the quality of the hostel and any issues they face.</t>
        </is>
      </c>
      <c r="G1029" s="37" t="inlineStr">
        <is>
          <t>Not Applicable</t>
        </is>
      </c>
    </row>
    <row r="1030">
      <c r="A1030" s="37" t="inlineStr">
        <is>
          <t>Gagandeep Singh Sachar</t>
        </is>
      </c>
      <c r="B1030" s="37" t="inlineStr">
        <is>
          <t>Thane</t>
        </is>
      </c>
      <c r="C1030" s="37" t="inlineStr">
        <is>
          <t>Youth</t>
        </is>
      </c>
      <c r="D1030" s="37" t="inlineStr">
        <is>
          <t>2026-07-14</t>
        </is>
      </c>
      <c r="E1030" s="37" t="inlineStr">
        <is>
          <t>Aspirant Interaction</t>
        </is>
      </c>
      <c r="F1030" s="37" t="inlineStr">
        <is>
          <t>Ask a few relevant screening questions to support the 10th-day report and remove non-serious candidates, explaining to them the reasons.</t>
        </is>
      </c>
      <c r="G1030" s="37" t="inlineStr">
        <is>
          <t>All is Well</t>
        </is>
      </c>
    </row>
    <row r="1031">
      <c r="A1031" s="37" t="inlineStr">
        <is>
          <t>Amit Chakraborty</t>
        </is>
      </c>
      <c r="B1031" s="37" t="inlineStr">
        <is>
          <t>Lucknow-Indiranagar</t>
        </is>
      </c>
      <c r="C1031" s="37" t="inlineStr">
        <is>
          <t>GROW Youth-CITI</t>
        </is>
      </c>
      <c r="D1031" s="37" t="inlineStr">
        <is>
          <t>2026-07-14</t>
        </is>
      </c>
      <c r="E1031" s="37" t="inlineStr">
        <is>
          <t>Data Check</t>
        </is>
      </c>
      <c r="F1031" s="37" t="inlineStr">
        <is>
          <t>Reach the centre on time (unannounced) — confirm the centre opened on time.</t>
        </is>
      </c>
      <c r="G1031" s="37" t="inlineStr">
        <is>
          <t>All is Well</t>
        </is>
      </c>
    </row>
    <row r="1032">
      <c r="A1032" s="37" t="inlineStr">
        <is>
          <t>Amit Chakraborty</t>
        </is>
      </c>
      <c r="B1032" s="37" t="inlineStr">
        <is>
          <t>Lucknow-Indiranagar</t>
        </is>
      </c>
      <c r="C1032" s="37" t="inlineStr">
        <is>
          <t>GROW Youth-CITI</t>
        </is>
      </c>
      <c r="D1032" s="37" t="inlineStr">
        <is>
          <t>2026-07-14</t>
        </is>
      </c>
      <c r="E1032" s="37" t="inlineStr">
        <is>
          <t>Data Check</t>
        </is>
      </c>
      <c r="F1032" s="37" t="inlineStr">
        <is>
          <t>Check the staff attendance register, the Google Sheet, and geo-tagged photos for aspirants.</t>
        </is>
      </c>
      <c r="G1032" s="37" t="inlineStr">
        <is>
          <t>Need Improvement</t>
        </is>
      </c>
    </row>
    <row r="1033">
      <c r="A1033" s="37" t="inlineStr">
        <is>
          <t>Amit Chakraborty</t>
        </is>
      </c>
      <c r="B1033" s="37" t="inlineStr">
        <is>
          <t>Lucknow-Indiranagar</t>
        </is>
      </c>
      <c r="C1033" s="37" t="inlineStr">
        <is>
          <t>GROW Youth-CITI</t>
        </is>
      </c>
      <c r="D1033" s="37" t="inlineStr">
        <is>
          <t>2026-07-14</t>
        </is>
      </c>
      <c r="E1033" s="37" t="inlineStr">
        <is>
          <t>Data Check</t>
        </is>
      </c>
      <c r="F1033" s="37" t="inlineStr">
        <is>
          <t>Check Counselling and Screening Forms of recently started batches.</t>
        </is>
      </c>
      <c r="G1033" s="37" t="inlineStr">
        <is>
          <t>All is Well</t>
        </is>
      </c>
    </row>
    <row r="1034">
      <c r="A1034" s="37" t="inlineStr">
        <is>
          <t>Amit Chakraborty</t>
        </is>
      </c>
      <c r="B1034" s="37" t="inlineStr">
        <is>
          <t>Lucknow-Indiranagar</t>
        </is>
      </c>
      <c r="C1034" s="37" t="inlineStr">
        <is>
          <t>GROW Youth-CITI</t>
        </is>
      </c>
      <c r="D1034" s="37" t="inlineStr">
        <is>
          <t>2026-07-14</t>
        </is>
      </c>
      <c r="E1034" s="37" t="inlineStr">
        <is>
          <t>Data Check</t>
        </is>
      </c>
      <c r="F1034" s="37" t="inlineStr">
        <is>
          <t>Check Aspirant Registration Forms and related documents.</t>
        </is>
      </c>
      <c r="G1034" s="37" t="inlineStr">
        <is>
          <t>All is Well</t>
        </is>
      </c>
    </row>
    <row r="1035">
      <c r="A1035" s="37" t="inlineStr">
        <is>
          <t>Amit Chakraborty</t>
        </is>
      </c>
      <c r="B1035" s="37" t="inlineStr">
        <is>
          <t>Lucknow-Indiranagar</t>
        </is>
      </c>
      <c r="C1035" s="37" t="inlineStr">
        <is>
          <t>GROW Youth-CITI</t>
        </is>
      </c>
      <c r="D1035" s="37" t="inlineStr">
        <is>
          <t>2026-07-14</t>
        </is>
      </c>
      <c r="E1035" s="37" t="inlineStr">
        <is>
          <t>Data Check</t>
        </is>
      </c>
      <c r="F1035" s="37" t="inlineStr">
        <is>
          <t>On the GROW portal, confirm all student profile details and batch updates are currect.</t>
        </is>
      </c>
      <c r="G1035" s="37" t="inlineStr">
        <is>
          <t>All is Well</t>
        </is>
      </c>
    </row>
    <row r="1036">
      <c r="A1036" s="37" t="inlineStr">
        <is>
          <t>Amit Chakraborty</t>
        </is>
      </c>
      <c r="B1036" s="37" t="inlineStr">
        <is>
          <t>Lucknow-Indiranagar</t>
        </is>
      </c>
      <c r="C1036" s="37" t="inlineStr">
        <is>
          <t>GROW Youth-CITI</t>
        </is>
      </c>
      <c r="D1036" s="37" t="inlineStr">
        <is>
          <t>2026-07-14</t>
        </is>
      </c>
      <c r="E1036" s="37" t="inlineStr">
        <is>
          <t>Data Check</t>
        </is>
      </c>
      <c r="F1036" s="37" t="inlineStr">
        <is>
          <t>Verify placement data — randomly call 3–4 alumni placed in the last 3 months to confirm veracity (random selection is essential).</t>
        </is>
      </c>
      <c r="G1036" s="37" t="inlineStr">
        <is>
          <t>All is Well</t>
        </is>
      </c>
    </row>
    <row r="1037">
      <c r="A1037" s="37" t="inlineStr">
        <is>
          <t>Amit Chakraborty</t>
        </is>
      </c>
      <c r="B1037" s="37" t="inlineStr">
        <is>
          <t>Lucknow-Indiranagar</t>
        </is>
      </c>
      <c r="C1037" s="37" t="inlineStr">
        <is>
          <t>GROW Youth-CITI</t>
        </is>
      </c>
      <c r="D1037" s="37" t="inlineStr">
        <is>
          <t>2026-07-14</t>
        </is>
      </c>
      <c r="E1037" s="37" t="inlineStr">
        <is>
          <t>Data Check</t>
        </is>
      </c>
      <c r="F1037" s="37" t="inlineStr">
        <is>
          <t>Verify retention — check the Alumni Hand-holding Format is being updated as designed.</t>
        </is>
      </c>
      <c r="G1037" s="37" t="inlineStr">
        <is>
          <t>All is Well</t>
        </is>
      </c>
    </row>
    <row r="1038">
      <c r="A1038" s="37" t="inlineStr">
        <is>
          <t>Amit Chakraborty</t>
        </is>
      </c>
      <c r="B1038" s="37" t="inlineStr">
        <is>
          <t>Lucknow-Indiranagar</t>
        </is>
      </c>
      <c r="C1038" s="37" t="inlineStr">
        <is>
          <t>GROW Youth-CITI</t>
        </is>
      </c>
      <c r="D1038" s="37" t="inlineStr">
        <is>
          <t>2026-07-14</t>
        </is>
      </c>
      <c r="E1038" s="37" t="inlineStr">
        <is>
          <t>Data Check</t>
        </is>
      </c>
      <c r="F1038" s="37" t="inlineStr">
        <is>
          <t>Check aspirant Hostel Forms are properly filled or not.</t>
        </is>
      </c>
      <c r="G1038" s="37" t="inlineStr">
        <is>
          <t>Not Applicable</t>
        </is>
      </c>
    </row>
    <row r="1039">
      <c r="A1039" s="37" t="inlineStr">
        <is>
          <t>Amit Chakraborty</t>
        </is>
      </c>
      <c r="B1039" s="37" t="inlineStr">
        <is>
          <t>Lucknow-Indiranagar</t>
        </is>
      </c>
      <c r="C1039" s="37" t="inlineStr">
        <is>
          <t>GROW Youth-CITI</t>
        </is>
      </c>
      <c r="D1039" s="37" t="inlineStr">
        <is>
          <t>2026-07-14</t>
        </is>
      </c>
      <c r="E1039" s="37" t="inlineStr">
        <is>
          <t>Infra Check</t>
        </is>
      </c>
      <c r="F1039" s="37" t="inlineStr">
        <is>
          <t>Check all CCTV cameras; if any are not working, ask the AH to troubleshoot or call the vendor.</t>
        </is>
      </c>
      <c r="G1039" s="37" t="inlineStr">
        <is>
          <t>All is Well</t>
        </is>
      </c>
    </row>
    <row r="1040">
      <c r="A1040" s="37" t="inlineStr">
        <is>
          <t>Amit Chakraborty</t>
        </is>
      </c>
      <c r="B1040" s="37" t="inlineStr">
        <is>
          <t>Lucknow-Indiranagar</t>
        </is>
      </c>
      <c r="C1040" s="37" t="inlineStr">
        <is>
          <t>GROW Youth-CITI</t>
        </is>
      </c>
      <c r="D1040" s="37" t="inlineStr">
        <is>
          <t>2026-07-14</t>
        </is>
      </c>
      <c r="E1040" s="37" t="inlineStr">
        <is>
          <t>Infra Check</t>
        </is>
      </c>
      <c r="F1040" s="37" t="inlineStr">
        <is>
          <t>Check for any scrap material and get it cleared, with support of Admin</t>
        </is>
      </c>
      <c r="G1040" s="37" t="inlineStr">
        <is>
          <t>All is Well</t>
        </is>
      </c>
    </row>
    <row r="1041">
      <c r="A1041" s="37" t="inlineStr">
        <is>
          <t>Amit Chakraborty</t>
        </is>
      </c>
      <c r="B1041" s="37" t="inlineStr">
        <is>
          <t>Lucknow-Indiranagar</t>
        </is>
      </c>
      <c r="C1041" s="37" t="inlineStr">
        <is>
          <t>GROW Youth-CITI</t>
        </is>
      </c>
      <c r="D1041" s="37" t="inlineStr">
        <is>
          <t>2026-07-14</t>
        </is>
      </c>
      <c r="E1041" s="37" t="inlineStr">
        <is>
          <t>Infra Check</t>
        </is>
      </c>
      <c r="F1041" s="37" t="inlineStr">
        <is>
          <t>Check for any pending infra repairs.</t>
        </is>
      </c>
      <c r="G1041" s="37" t="inlineStr">
        <is>
          <t>All is Well</t>
        </is>
      </c>
    </row>
    <row r="1042">
      <c r="A1042" s="37" t="inlineStr">
        <is>
          <t>Amit Chakraborty</t>
        </is>
      </c>
      <c r="B1042" s="37" t="inlineStr">
        <is>
          <t>Lucknow-Indiranagar</t>
        </is>
      </c>
      <c r="C1042" s="37" t="inlineStr">
        <is>
          <t>GROW Youth-CITI</t>
        </is>
      </c>
      <c r="D1042" s="37" t="inlineStr">
        <is>
          <t>2026-07-14</t>
        </is>
      </c>
      <c r="E1042" s="37" t="inlineStr">
        <is>
          <t>Infra Check</t>
        </is>
      </c>
      <c r="F1042" s="37" t="inlineStr">
        <is>
          <t>Check whether any fire extinguishers have expired (check the needle and expiry date both).</t>
        </is>
      </c>
      <c r="G1042" s="37" t="inlineStr">
        <is>
          <t>All is Well</t>
        </is>
      </c>
    </row>
    <row r="1043">
      <c r="A1043" s="37" t="inlineStr">
        <is>
          <t>Amit Chakraborty</t>
        </is>
      </c>
      <c r="B1043" s="37" t="inlineStr">
        <is>
          <t>Lucknow-Indiranagar</t>
        </is>
      </c>
      <c r="C1043" s="37" t="inlineStr">
        <is>
          <t>GROW Youth-CITI</t>
        </is>
      </c>
      <c r="D1043" s="37" t="inlineStr">
        <is>
          <t>2026-07-14</t>
        </is>
      </c>
      <c r="E1043" s="37" t="inlineStr">
        <is>
          <t>Infra Check</t>
        </is>
      </c>
      <c r="F1043" s="37" t="inlineStr">
        <is>
          <t>Check basic cleanliness of the washrooms and the centre.</t>
        </is>
      </c>
      <c r="G1043" s="37" t="inlineStr">
        <is>
          <t>All is Well</t>
        </is>
      </c>
    </row>
    <row r="1044">
      <c r="A1044" s="37" t="inlineStr">
        <is>
          <t>Amit Chakraborty</t>
        </is>
      </c>
      <c r="B1044" s="37" t="inlineStr">
        <is>
          <t>Lucknow-Indiranagar</t>
        </is>
      </c>
      <c r="C1044" s="37" t="inlineStr">
        <is>
          <t>GROW Youth-CITI</t>
        </is>
      </c>
      <c r="D1044" s="37" t="inlineStr">
        <is>
          <t>2026-07-14</t>
        </is>
      </c>
      <c r="E1044" s="37" t="inlineStr">
        <is>
          <t>Infra Check</t>
        </is>
      </c>
      <c r="F1044" s="37" t="inlineStr">
        <is>
          <t>Confirm the correct program and partner logos are displayed.</t>
        </is>
      </c>
      <c r="G1044" s="37" t="inlineStr">
        <is>
          <t>All is Well</t>
        </is>
      </c>
    </row>
    <row r="1045">
      <c r="A1045" s="37" t="inlineStr">
        <is>
          <t>Amit Chakraborty</t>
        </is>
      </c>
      <c r="B1045" s="37" t="inlineStr">
        <is>
          <t>Lucknow-Indiranagar</t>
        </is>
      </c>
      <c r="C1045" s="37" t="inlineStr">
        <is>
          <t>GROW Youth-CITI</t>
        </is>
      </c>
      <c r="D1045" s="37" t="inlineStr">
        <is>
          <t>2026-07-14</t>
        </is>
      </c>
      <c r="E1045" s="37" t="inlineStr">
        <is>
          <t>Infra Check</t>
        </is>
      </c>
      <c r="F1045" s="37" t="inlineStr">
        <is>
          <t>Check the status of digital infra — PCs, smartboards, tablets, laptops, etc.</t>
        </is>
      </c>
      <c r="G1045" s="37" t="inlineStr">
        <is>
          <t>All is Well</t>
        </is>
      </c>
    </row>
    <row r="1046">
      <c r="A1046" s="37" t="inlineStr">
        <is>
          <t>Amit Chakraborty</t>
        </is>
      </c>
      <c r="B1046" s="37" t="inlineStr">
        <is>
          <t>Lucknow-Indiranagar</t>
        </is>
      </c>
      <c r="C1046" s="37" t="inlineStr">
        <is>
          <t>GROW Youth-CITI</t>
        </is>
      </c>
      <c r="D1046" s="37" t="inlineStr">
        <is>
          <t>2026-07-14</t>
        </is>
      </c>
      <c r="E1046" s="37" t="inlineStr">
        <is>
          <t>Infra Check</t>
        </is>
      </c>
      <c r="F1046" s="37" t="inlineStr">
        <is>
          <t>Make a quick hostel visit; have lunch there if possible to test the food quality.</t>
        </is>
      </c>
      <c r="G1046" s="37" t="inlineStr">
        <is>
          <t>Not Applicable</t>
        </is>
      </c>
    </row>
    <row r="1047">
      <c r="A1047" s="37" t="inlineStr">
        <is>
          <t>Amit Chakraborty</t>
        </is>
      </c>
      <c r="B1047" s="37" t="inlineStr">
        <is>
          <t>Lucknow-Indiranagar</t>
        </is>
      </c>
      <c r="C1047" s="37" t="inlineStr">
        <is>
          <t>GROW Youth-CITI</t>
        </is>
      </c>
      <c r="D1047" s="37" t="inlineStr">
        <is>
          <t>2026-07-14</t>
        </is>
      </c>
      <c r="E1047" s="37" t="inlineStr">
        <is>
          <t>Process Check</t>
        </is>
      </c>
      <c r="F1047" s="37" t="inlineStr">
        <is>
          <t>Refer to the activity planner — check if any activities are delayed.</t>
        </is>
      </c>
      <c r="G1047" s="37" t="inlineStr">
        <is>
          <t>All is Well</t>
        </is>
      </c>
    </row>
    <row r="1048">
      <c r="A1048" s="37" t="inlineStr">
        <is>
          <t>Amit Chakraborty</t>
        </is>
      </c>
      <c r="B1048" s="37" t="inlineStr">
        <is>
          <t>Lucknow-Indiranagar</t>
        </is>
      </c>
      <c r="C1048" s="37" t="inlineStr">
        <is>
          <t>GROW Youth-CITI</t>
        </is>
      </c>
      <c r="D1048" s="37" t="inlineStr">
        <is>
          <t>2026-07-14</t>
        </is>
      </c>
      <c r="E1048" s="37" t="inlineStr">
        <is>
          <t>Process Check</t>
        </is>
      </c>
      <c r="F1048" s="37" t="inlineStr">
        <is>
          <t>Check planning for the next batch-start announcement.</t>
        </is>
      </c>
      <c r="G1048" s="37" t="inlineStr">
        <is>
          <t>All is Well</t>
        </is>
      </c>
    </row>
    <row r="1049">
      <c r="A1049" s="37" t="inlineStr">
        <is>
          <t>Amit Chakraborty</t>
        </is>
      </c>
      <c r="B1049" s="37" t="inlineStr">
        <is>
          <t>Lucknow-Indiranagar</t>
        </is>
      </c>
      <c r="C1049" s="37" t="inlineStr">
        <is>
          <t>GROW Youth-CITI</t>
        </is>
      </c>
      <c r="D1049" s="37" t="inlineStr">
        <is>
          <t>2026-07-14</t>
        </is>
      </c>
      <c r="E1049" s="37" t="inlineStr">
        <is>
          <t>Process Check</t>
        </is>
      </c>
      <c r="F1049" s="37" t="inlineStr">
        <is>
          <t>Check if any hiring is delayed and plan a resolution.</t>
        </is>
      </c>
      <c r="G1049" s="37" t="inlineStr">
        <is>
          <t>All is Well</t>
        </is>
      </c>
    </row>
    <row r="1050">
      <c r="A1050" s="37" t="inlineStr">
        <is>
          <t>Amit Chakraborty</t>
        </is>
      </c>
      <c r="B1050" s="37" t="inlineStr">
        <is>
          <t>Lucknow-Indiranagar</t>
        </is>
      </c>
      <c r="C1050" s="37" t="inlineStr">
        <is>
          <t>GROW Youth-CITI</t>
        </is>
      </c>
      <c r="D1050" s="37" t="inlineStr">
        <is>
          <t>2026-07-14</t>
        </is>
      </c>
      <c r="E1050" s="37" t="inlineStr">
        <is>
          <t>Process Check</t>
        </is>
      </c>
      <c r="F1050" s="37" t="inlineStr">
        <is>
          <t>Check the CA’s diary — is CA guided daily by the AH during planning days?</t>
        </is>
      </c>
      <c r="G1050" s="37" t="inlineStr">
        <is>
          <t>All is Well</t>
        </is>
      </c>
    </row>
    <row r="1051">
      <c r="A1051" s="37" t="inlineStr">
        <is>
          <t>Amit Chakraborty</t>
        </is>
      </c>
      <c r="B1051" s="37" t="inlineStr">
        <is>
          <t>Lucknow-Indiranagar</t>
        </is>
      </c>
      <c r="C1051" s="37" t="inlineStr">
        <is>
          <t>GROW Youth-CITI</t>
        </is>
      </c>
      <c r="D1051" s="37" t="inlineStr">
        <is>
          <t>2026-07-14</t>
        </is>
      </c>
      <c r="E1051" s="37" t="inlineStr">
        <is>
          <t>Process Check</t>
        </is>
      </c>
      <c r="F1051" s="37" t="inlineStr">
        <is>
          <t>Check the AH is regularly meeting employers (in person and online) and updating the centre’s Top 20 Employer format.</t>
        </is>
      </c>
      <c r="G1051" s="37" t="inlineStr">
        <is>
          <t>All is Well</t>
        </is>
      </c>
    </row>
    <row r="1052">
      <c r="A1052" s="37" t="inlineStr">
        <is>
          <t>Amit Chakraborty</t>
        </is>
      </c>
      <c r="B1052" s="37" t="inlineStr">
        <is>
          <t>Lucknow-Indiranagar</t>
        </is>
      </c>
      <c r="C1052" s="37" t="inlineStr">
        <is>
          <t>GROW Youth-CITI</t>
        </is>
      </c>
      <c r="D1052" s="37" t="inlineStr">
        <is>
          <t>2026-07-14</t>
        </is>
      </c>
      <c r="E1052" s="37" t="inlineStr">
        <is>
          <t>Process Check</t>
        </is>
      </c>
      <c r="F1052" s="37" t="inlineStr">
        <is>
          <t>Confirm all new employers are registered on portal as per new process.</t>
        </is>
      </c>
      <c r="G1052" s="37" t="inlineStr">
        <is>
          <t>All is Well</t>
        </is>
      </c>
    </row>
    <row r="1053">
      <c r="A1053" s="37" t="inlineStr">
        <is>
          <t>Amit Chakraborty</t>
        </is>
      </c>
      <c r="B1053" s="37" t="inlineStr">
        <is>
          <t>Lucknow-Indiranagar</t>
        </is>
      </c>
      <c r="C1053" s="37" t="inlineStr">
        <is>
          <t>GROW Youth-CITI</t>
        </is>
      </c>
      <c r="D1053" s="37" t="inlineStr">
        <is>
          <t>2026-07-14</t>
        </is>
      </c>
      <c r="E1053" s="37" t="inlineStr">
        <is>
          <t>Process Check</t>
        </is>
      </c>
      <c r="F1053" s="37" t="inlineStr">
        <is>
          <t>Confirm 100% of enrolled students undergone screening (for technical courses).</t>
        </is>
      </c>
      <c r="G1053" s="37" t="inlineStr">
        <is>
          <t>Not Applicable</t>
        </is>
      </c>
    </row>
    <row r="1054">
      <c r="A1054" s="37" t="inlineStr">
        <is>
          <t>Amit Chakraborty</t>
        </is>
      </c>
      <c r="B1054" s="37" t="inlineStr">
        <is>
          <t>Lucknow-Indiranagar</t>
        </is>
      </c>
      <c r="C1054" s="37" t="inlineStr">
        <is>
          <t>GROW Youth-CITI</t>
        </is>
      </c>
      <c r="D1054" s="37" t="inlineStr">
        <is>
          <t>2026-07-14</t>
        </is>
      </c>
      <c r="E1054" s="37" t="inlineStr">
        <is>
          <t>Process Check</t>
        </is>
      </c>
      <c r="F1054" s="37" t="inlineStr">
        <is>
          <t>Confirm ESA is done (in GROW full ESA and in Technical courses relevant sections of Core Employability Part).</t>
        </is>
      </c>
      <c r="G1054" s="37" t="inlineStr">
        <is>
          <t>All is Well</t>
        </is>
      </c>
    </row>
    <row r="1055">
      <c r="A1055" s="37" t="inlineStr">
        <is>
          <t>Amit Chakraborty</t>
        </is>
      </c>
      <c r="B1055" s="37" t="inlineStr">
        <is>
          <t>Lucknow-Indiranagar</t>
        </is>
      </c>
      <c r="C1055" s="37" t="inlineStr">
        <is>
          <t>GROW Youth-CITI</t>
        </is>
      </c>
      <c r="D1055" s="37" t="inlineStr">
        <is>
          <t>2026-07-14</t>
        </is>
      </c>
      <c r="E1055" s="37" t="inlineStr">
        <is>
          <t>Process Check</t>
        </is>
      </c>
      <c r="F1055" s="37" t="inlineStr">
        <is>
          <t>Check is AH giving capstone project in GROW Tech.</t>
        </is>
      </c>
      <c r="G1055" s="37" t="inlineStr">
        <is>
          <t>Not Applicable</t>
        </is>
      </c>
    </row>
    <row r="1056">
      <c r="A1056" s="37" t="inlineStr">
        <is>
          <t>Amit Chakraborty</t>
        </is>
      </c>
      <c r="B1056" s="37" t="inlineStr">
        <is>
          <t>Lucknow-Indiranagar</t>
        </is>
      </c>
      <c r="C1056" s="37" t="inlineStr">
        <is>
          <t>GROW Youth-CITI</t>
        </is>
      </c>
      <c r="D1056" s="37" t="inlineStr">
        <is>
          <t>2026-07-14</t>
        </is>
      </c>
      <c r="E1056" s="37" t="inlineStr">
        <is>
          <t>Process Check</t>
        </is>
      </c>
      <c r="F1056" s="37" t="inlineStr">
        <is>
          <t>Check is AH planning OJT as per guidelines and proofs are collected for technical courses.</t>
        </is>
      </c>
      <c r="G1056" s="37" t="inlineStr">
        <is>
          <t>Not Applicable</t>
        </is>
      </c>
    </row>
    <row r="1057">
      <c r="A1057" s="37" t="inlineStr">
        <is>
          <t>Amit Chakraborty</t>
        </is>
      </c>
      <c r="B1057" s="37" t="inlineStr">
        <is>
          <t>Lucknow-Indiranagar</t>
        </is>
      </c>
      <c r="C1057" s="37" t="inlineStr">
        <is>
          <t>GROW Youth-CITI</t>
        </is>
      </c>
      <c r="D1057" s="37" t="inlineStr">
        <is>
          <t>2026-07-14</t>
        </is>
      </c>
      <c r="E1057" s="37" t="inlineStr">
        <is>
          <t>Process Check</t>
        </is>
      </c>
      <c r="F1057" s="37" t="inlineStr">
        <is>
          <t>Check are trainers contacting aspirants to find reason for their absenteeism of more than 1 day.</t>
        </is>
      </c>
      <c r="G1057" s="37" t="inlineStr">
        <is>
          <t>All is Well</t>
        </is>
      </c>
    </row>
    <row r="1058">
      <c r="A1058" s="37" t="inlineStr">
        <is>
          <t>Amit Chakraborty</t>
        </is>
      </c>
      <c r="B1058" s="37" t="inlineStr">
        <is>
          <t>Lucknow-Indiranagar</t>
        </is>
      </c>
      <c r="C1058" s="37" t="inlineStr">
        <is>
          <t>GROW Youth-CITI</t>
        </is>
      </c>
      <c r="D1058" s="37" t="inlineStr">
        <is>
          <t>2026-07-14</t>
        </is>
      </c>
      <c r="E1058" s="37" t="inlineStr">
        <is>
          <t>Process Check</t>
        </is>
      </c>
      <c r="F1058" s="37" t="inlineStr">
        <is>
          <t>Check the AH plans monthly enrolment and placement numbers by the 3rd of each month and shares them with second level managers.</t>
        </is>
      </c>
      <c r="G1058" s="37" t="inlineStr">
        <is>
          <t>All is Well</t>
        </is>
      </c>
    </row>
    <row r="1059">
      <c r="A1059" s="37" t="inlineStr">
        <is>
          <t>Amit Chakraborty</t>
        </is>
      </c>
      <c r="B1059" s="37" t="inlineStr">
        <is>
          <t>Lucknow-Indiranagar</t>
        </is>
      </c>
      <c r="C1059" s="37" t="inlineStr">
        <is>
          <t>GROW Youth-CITI</t>
        </is>
      </c>
      <c r="D1059" s="37" t="inlineStr">
        <is>
          <t>2026-07-14</t>
        </is>
      </c>
      <c r="E1059" s="37" t="inlineStr">
        <is>
          <t>Process Check</t>
        </is>
      </c>
      <c r="F1059" s="37" t="inlineStr">
        <is>
          <t>Check trainers submit aspirants’ placement interest areas to the AH by the batch’s 25th day (in GROW).</t>
        </is>
      </c>
      <c r="G1059" s="37" t="inlineStr">
        <is>
          <t>All is Well</t>
        </is>
      </c>
    </row>
    <row r="1060">
      <c r="A1060" s="37" t="inlineStr">
        <is>
          <t>Amit Chakraborty</t>
        </is>
      </c>
      <c r="B1060" s="37" t="inlineStr">
        <is>
          <t>Lucknow-Indiranagar</t>
        </is>
      </c>
      <c r="C1060" s="37" t="inlineStr">
        <is>
          <t>GROW Youth-CITI</t>
        </is>
      </c>
      <c r="D1060" s="37" t="inlineStr">
        <is>
          <t>2026-07-14</t>
        </is>
      </c>
      <c r="E1060" s="37" t="inlineStr">
        <is>
          <t>Process Check</t>
        </is>
      </c>
      <c r="F1060" s="37" t="inlineStr">
        <is>
          <t>Ckeck For technical programs, placement is done only in technical jobs,on which aspirants are trained and relevant emplyers are identified by 45th day.</t>
        </is>
      </c>
      <c r="G1060" s="37" t="inlineStr">
        <is>
          <t>Not Applicable</t>
        </is>
      </c>
    </row>
    <row r="1061">
      <c r="A1061" s="37" t="inlineStr">
        <is>
          <t>Amit Chakraborty</t>
        </is>
      </c>
      <c r="B1061" s="37" t="inlineStr">
        <is>
          <t>Lucknow-Indiranagar</t>
        </is>
      </c>
      <c r="C1061" s="37" t="inlineStr">
        <is>
          <t>GROW Youth-CITI</t>
        </is>
      </c>
      <c r="D1061" s="37" t="inlineStr">
        <is>
          <t>2026-07-14</t>
        </is>
      </c>
      <c r="E1061" s="37" t="inlineStr">
        <is>
          <t>Process Check</t>
        </is>
      </c>
      <c r="F1061" s="37" t="inlineStr">
        <is>
          <t>Check the AH follows EP guidelines and minimum benchmark salary guidelines.</t>
        </is>
      </c>
      <c r="G1061" s="37" t="inlineStr">
        <is>
          <t>All is Well</t>
        </is>
      </c>
    </row>
    <row r="1062">
      <c r="A1062" s="37" t="inlineStr">
        <is>
          <t>Amit Chakraborty</t>
        </is>
      </c>
      <c r="B1062" s="37" t="inlineStr">
        <is>
          <t>Lucknow-Indiranagar</t>
        </is>
      </c>
      <c r="C1062" s="37" t="inlineStr">
        <is>
          <t>GROW Youth-CITI</t>
        </is>
      </c>
      <c r="D1062" s="37" t="inlineStr">
        <is>
          <t>2026-07-14</t>
        </is>
      </c>
      <c r="E1062" s="37" t="inlineStr">
        <is>
          <t>Process Check</t>
        </is>
      </c>
      <c r="F1062" s="37" t="inlineStr">
        <is>
          <t>Check that AH is enrolling only the right traget group in the program -as per the defined target.</t>
        </is>
      </c>
      <c r="G1062" s="37" t="inlineStr">
        <is>
          <t>All is Well</t>
        </is>
      </c>
    </row>
    <row r="1063">
      <c r="A1063" s="37" t="inlineStr">
        <is>
          <t>Amit Chakraborty</t>
        </is>
      </c>
      <c r="B1063" s="37" t="inlineStr">
        <is>
          <t>Lucknow-Indiranagar</t>
        </is>
      </c>
      <c r="C1063" s="37" t="inlineStr">
        <is>
          <t>GROW Youth-CITI</t>
        </is>
      </c>
      <c r="D1063" s="37" t="inlineStr">
        <is>
          <t>2026-07-14</t>
        </is>
      </c>
      <c r="E1063" s="37" t="inlineStr">
        <is>
          <t>Process Check</t>
        </is>
      </c>
      <c r="F1063" s="37" t="inlineStr">
        <is>
          <t>Check the AH announces the next batch-start date by the 3rd of the month on all notice boards — focus on Zero-Day start.</t>
        </is>
      </c>
      <c r="G1063" s="37" t="inlineStr">
        <is>
          <t>All is Well</t>
        </is>
      </c>
    </row>
    <row r="1064">
      <c r="A1064" s="37" t="inlineStr">
        <is>
          <t>Amit Chakraborty</t>
        </is>
      </c>
      <c r="B1064" s="37" t="inlineStr">
        <is>
          <t>Lucknow-Indiranagar</t>
        </is>
      </c>
      <c r="C1064" s="37" t="inlineStr">
        <is>
          <t>GROW Youth-CITI</t>
        </is>
      </c>
      <c r="D1064" s="37" t="inlineStr">
        <is>
          <t>2026-07-14</t>
        </is>
      </c>
      <c r="E1064" s="37" t="inlineStr">
        <is>
          <t>Process Check</t>
        </is>
      </c>
      <c r="F1064" s="37" t="inlineStr">
        <is>
          <t>Check the Aspirant Mock Interview Score Tracker is updated after every mock interview in the L&amp;D Google Sheet.</t>
        </is>
      </c>
      <c r="G1064" s="37" t="inlineStr">
        <is>
          <t>All is Well</t>
        </is>
      </c>
    </row>
    <row r="1065">
      <c r="A1065" s="37" t="inlineStr">
        <is>
          <t>Amit Chakraborty</t>
        </is>
      </c>
      <c r="B1065" s="37" t="inlineStr">
        <is>
          <t>Lucknow-Indiranagar</t>
        </is>
      </c>
      <c r="C1065" s="37" t="inlineStr">
        <is>
          <t>GROW Youth-CITI</t>
        </is>
      </c>
      <c r="D1065" s="37" t="inlineStr">
        <is>
          <t>2026-07-14</t>
        </is>
      </c>
      <c r="E1065" s="37" t="inlineStr">
        <is>
          <t>Process Check</t>
        </is>
      </c>
      <c r="F1065" s="37" t="inlineStr">
        <is>
          <t>Confirm NPS (Net Promoter Score) is collected at MSDF centres.</t>
        </is>
      </c>
      <c r="G1065" s="37" t="inlineStr">
        <is>
          <t>Not Applicable</t>
        </is>
      </c>
    </row>
    <row r="1066">
      <c r="A1066" s="37" t="inlineStr">
        <is>
          <t>Amit Chakraborty</t>
        </is>
      </c>
      <c r="B1066" s="37" t="inlineStr">
        <is>
          <t>Lucknow-Indiranagar</t>
        </is>
      </c>
      <c r="C1066" s="37" t="inlineStr">
        <is>
          <t>GROW Youth-CITI</t>
        </is>
      </c>
      <c r="D1066" s="37" t="inlineStr">
        <is>
          <t>2026-07-14</t>
        </is>
      </c>
      <c r="E1066" s="37" t="inlineStr">
        <is>
          <t>Process Check</t>
        </is>
      </c>
      <c r="F1066" s="37" t="inlineStr">
        <is>
          <t>Confirm that QAE is collecting student feedback for every batch.</t>
        </is>
      </c>
      <c r="G1066" s="37" t="inlineStr">
        <is>
          <t>All is Well</t>
        </is>
      </c>
    </row>
    <row r="1067">
      <c r="A1067" s="37" t="inlineStr">
        <is>
          <t>Amit Chakraborty</t>
        </is>
      </c>
      <c r="B1067" s="37" t="inlineStr">
        <is>
          <t>Lucknow-Indiranagar</t>
        </is>
      </c>
      <c r="C1067" s="37" t="inlineStr">
        <is>
          <t>GROW Youth-CITI</t>
        </is>
      </c>
      <c r="D1067" s="37" t="inlineStr">
        <is>
          <t>2026-07-14</t>
        </is>
      </c>
      <c r="E1067" s="37" t="inlineStr">
        <is>
          <t>Process Check</t>
        </is>
      </c>
      <c r="F1067" s="37" t="inlineStr">
        <is>
          <t>Confirm all centre teams have completed the GROW Manual Course on Skillfy — ask for achievement certificates.</t>
        </is>
      </c>
      <c r="G1067" s="37" t="inlineStr">
        <is>
          <t>All is Well</t>
        </is>
      </c>
    </row>
    <row r="1068">
      <c r="A1068" s="37" t="inlineStr">
        <is>
          <t>Amit Chakraborty</t>
        </is>
      </c>
      <c r="B1068" s="37" t="inlineStr">
        <is>
          <t>Lucknow-Indiranagar</t>
        </is>
      </c>
      <c r="C1068" s="37" t="inlineStr">
        <is>
          <t>GROW Youth-CITI</t>
        </is>
      </c>
      <c r="D1068" s="37" t="inlineStr">
        <is>
          <t>2026-07-14</t>
        </is>
      </c>
      <c r="E1068" s="37" t="inlineStr">
        <is>
          <t>Process Check</t>
        </is>
      </c>
      <c r="F1068" s="37" t="inlineStr">
        <is>
          <t>Check AH holds a quality weekly team meeting, documents action points in the weekly meeting format, and sends you a photo on WhatsApp.</t>
        </is>
      </c>
      <c r="G1068" s="37" t="inlineStr">
        <is>
          <t>All is Well</t>
        </is>
      </c>
    </row>
    <row r="1069">
      <c r="A1069" s="37" t="inlineStr">
        <is>
          <t>Amit Chakraborty</t>
        </is>
      </c>
      <c r="B1069" s="37" t="inlineStr">
        <is>
          <t>Lucknow-Indiranagar</t>
        </is>
      </c>
      <c r="C1069" s="37" t="inlineStr">
        <is>
          <t>GROW Youth-CITI</t>
        </is>
      </c>
      <c r="D1069" s="37" t="inlineStr">
        <is>
          <t>2026-07-14</t>
        </is>
      </c>
      <c r="E1069" s="37" t="inlineStr">
        <is>
          <t>Aspirant Interaction</t>
        </is>
      </c>
      <c r="F1069" s="37" t="inlineStr">
        <is>
          <t>Ask aspirants about the session plan — confirm training is happening as planned?</t>
        </is>
      </c>
      <c r="G1069" s="37" t="inlineStr">
        <is>
          <t>All is Well</t>
        </is>
      </c>
    </row>
    <row r="1070">
      <c r="A1070" s="37" t="inlineStr">
        <is>
          <t>Amit Chakraborty</t>
        </is>
      </c>
      <c r="B1070" s="37" t="inlineStr">
        <is>
          <t>Lucknow-Indiranagar</t>
        </is>
      </c>
      <c r="C1070" s="37" t="inlineStr">
        <is>
          <t>GROW Youth-CITI</t>
        </is>
      </c>
      <c r="D1070" s="37" t="inlineStr">
        <is>
          <t>2026-07-14</t>
        </is>
      </c>
      <c r="E1070" s="37" t="inlineStr">
        <is>
          <t>Aspirant Interaction</t>
        </is>
      </c>
      <c r="F1070" s="37" t="inlineStr">
        <is>
          <t>Ask about the quality of Core Employability component delivery (technical centres) and who delivers it.</t>
        </is>
      </c>
      <c r="G1070" s="37" t="inlineStr">
        <is>
          <t>Not Applicable</t>
        </is>
      </c>
    </row>
    <row r="1071">
      <c r="A1071" s="37" t="inlineStr">
        <is>
          <t>Amit Chakraborty</t>
        </is>
      </c>
      <c r="B1071" s="37" t="inlineStr">
        <is>
          <t>Lucknow-Indiranagar</t>
        </is>
      </c>
      <c r="C1071" s="37" t="inlineStr">
        <is>
          <t>GROW Youth-CITI</t>
        </is>
      </c>
      <c r="D1071" s="37" t="inlineStr">
        <is>
          <t>2026-07-14</t>
        </is>
      </c>
      <c r="E1071" s="37" t="inlineStr">
        <is>
          <t>Aspirant Interaction</t>
        </is>
      </c>
      <c r="F1071" s="37" t="inlineStr">
        <is>
          <t>Ask whether they are aware of the referral scheme?</t>
        </is>
      </c>
      <c r="G1071" s="37" t="inlineStr">
        <is>
          <t>All is Well</t>
        </is>
      </c>
    </row>
    <row r="1072">
      <c r="A1072" s="37" t="inlineStr">
        <is>
          <t>Amit Chakraborty</t>
        </is>
      </c>
      <c r="B1072" s="37" t="inlineStr">
        <is>
          <t>Lucknow-Indiranagar</t>
        </is>
      </c>
      <c r="C1072" s="37" t="inlineStr">
        <is>
          <t>GROW Youth-CITI</t>
        </is>
      </c>
      <c r="D1072" s="37" t="inlineStr">
        <is>
          <t>2026-07-14</t>
        </is>
      </c>
      <c r="E1072" s="37" t="inlineStr">
        <is>
          <t>Aspirant Interaction</t>
        </is>
      </c>
      <c r="F1072" s="37" t="inlineStr">
        <is>
          <t>Ask whether the AH explained the importance of the offer letter and sharing it with us once received for reporting purposes?</t>
        </is>
      </c>
      <c r="G1072" s="37" t="inlineStr">
        <is>
          <t>All is Well</t>
        </is>
      </c>
    </row>
    <row r="1073">
      <c r="A1073" s="37" t="inlineStr">
        <is>
          <t>Amit Chakraborty</t>
        </is>
      </c>
      <c r="B1073" s="37" t="inlineStr">
        <is>
          <t>Lucknow-Indiranagar</t>
        </is>
      </c>
      <c r="C1073" s="37" t="inlineStr">
        <is>
          <t>GROW Youth-CITI</t>
        </is>
      </c>
      <c r="D1073" s="37" t="inlineStr">
        <is>
          <t>2026-07-14</t>
        </is>
      </c>
      <c r="E1073" s="37" t="inlineStr">
        <is>
          <t>Aspirant Interaction</t>
        </is>
      </c>
      <c r="F1073" s="37" t="inlineStr">
        <is>
          <t>Ask how many are not interested in jobs — and if so, why they enrolled in the programme?</t>
        </is>
      </c>
      <c r="G1073" s="37" t="inlineStr">
        <is>
          <t>All is Well</t>
        </is>
      </c>
    </row>
    <row r="1074">
      <c r="A1074" s="37" t="inlineStr">
        <is>
          <t>Amit Chakraborty</t>
        </is>
      </c>
      <c r="B1074" s="37" t="inlineStr">
        <is>
          <t>Lucknow-Indiranagar</t>
        </is>
      </c>
      <c r="C1074" s="37" t="inlineStr">
        <is>
          <t>GROW Youth-CITI</t>
        </is>
      </c>
      <c r="D1074" s="37" t="inlineStr">
        <is>
          <t>2026-07-14</t>
        </is>
      </c>
      <c r="E1074" s="37" t="inlineStr">
        <is>
          <t>Aspirant Interaction</t>
        </is>
      </c>
      <c r="F1074" s="37" t="inlineStr">
        <is>
          <t>Ask whether they were told the kind of job they would get during counselling?</t>
        </is>
      </c>
      <c r="G1074" s="37" t="inlineStr">
        <is>
          <t>All is Well</t>
        </is>
      </c>
    </row>
    <row r="1075">
      <c r="A1075" s="37" t="inlineStr">
        <is>
          <t>Amit Chakraborty</t>
        </is>
      </c>
      <c r="B1075" s="37" t="inlineStr">
        <is>
          <t>Lucknow-Indiranagar</t>
        </is>
      </c>
      <c r="C1075" s="37" t="inlineStr">
        <is>
          <t>GROW Youth-CITI</t>
        </is>
      </c>
      <c r="D1075" s="37" t="inlineStr">
        <is>
          <t>2026-07-14</t>
        </is>
      </c>
      <c r="E1075" s="37" t="inlineStr">
        <is>
          <t>Aspirant Interaction</t>
        </is>
      </c>
      <c r="F1075" s="37" t="inlineStr">
        <is>
          <t>Ask whether they have been given LMS access?</t>
        </is>
      </c>
      <c r="G1075" s="37" t="inlineStr">
        <is>
          <t>All is Well</t>
        </is>
      </c>
    </row>
    <row r="1076">
      <c r="A1076" s="37" t="inlineStr">
        <is>
          <t>Amit Chakraborty</t>
        </is>
      </c>
      <c r="B1076" s="37" t="inlineStr">
        <is>
          <t>Lucknow-Indiranagar</t>
        </is>
      </c>
      <c r="C1076" s="37" t="inlineStr">
        <is>
          <t>GROW Youth-CITI</t>
        </is>
      </c>
      <c r="D1076" s="37" t="inlineStr">
        <is>
          <t>2026-07-14</t>
        </is>
      </c>
      <c r="E1076" s="37" t="inlineStr">
        <is>
          <t>Aspirant Interaction</t>
        </is>
      </c>
      <c r="F1076" s="37" t="inlineStr">
        <is>
          <t>Ask whether anyone asked them for money for training or placement?</t>
        </is>
      </c>
      <c r="G1076" s="37" t="inlineStr">
        <is>
          <t>All is Well</t>
        </is>
      </c>
    </row>
    <row r="1077">
      <c r="A1077" s="37" t="inlineStr">
        <is>
          <t>Amit Chakraborty</t>
        </is>
      </c>
      <c r="B1077" s="37" t="inlineStr">
        <is>
          <t>Lucknow-Indiranagar</t>
        </is>
      </c>
      <c r="C1077" s="37" t="inlineStr">
        <is>
          <t>GROW Youth-CITI</t>
        </is>
      </c>
      <c r="D1077" s="37" t="inlineStr">
        <is>
          <t>2026-07-14</t>
        </is>
      </c>
      <c r="E1077" s="37" t="inlineStr">
        <is>
          <t>Aspirant Interaction</t>
        </is>
      </c>
      <c r="F1077" s="37" t="inlineStr">
        <is>
          <t>Ask to show their mobile phones — are they enrolled on Skillfy? If not, get them enrolled and give written feedback to trainers and the AH in your presence.</t>
        </is>
      </c>
      <c r="G1077" s="37" t="inlineStr">
        <is>
          <t>All is Well</t>
        </is>
      </c>
    </row>
    <row r="1078">
      <c r="A1078" s="37" t="inlineStr">
        <is>
          <t>Amit Chakraborty</t>
        </is>
      </c>
      <c r="B1078" s="37" t="inlineStr">
        <is>
          <t>Lucknow-Indiranagar</t>
        </is>
      </c>
      <c r="C1078" s="37" t="inlineStr">
        <is>
          <t>GROW Youth-CITI</t>
        </is>
      </c>
      <c r="D1078" s="37" t="inlineStr">
        <is>
          <t>2026-07-14</t>
        </is>
      </c>
      <c r="E1078" s="37" t="inlineStr">
        <is>
          <t>Aspirant Interaction</t>
        </is>
      </c>
      <c r="F1078" s="37" t="inlineStr">
        <is>
          <t>Ask about the quality of the hostel and any issues they face.</t>
        </is>
      </c>
      <c r="G1078" s="37" t="inlineStr">
        <is>
          <t>Not Applicable</t>
        </is>
      </c>
    </row>
    <row r="1079">
      <c r="A1079" s="37" t="inlineStr">
        <is>
          <t>Amit Chakraborty</t>
        </is>
      </c>
      <c r="B1079" s="37" t="inlineStr">
        <is>
          <t>Lucknow-Indiranagar</t>
        </is>
      </c>
      <c r="C1079" s="37" t="inlineStr">
        <is>
          <t>GROW Youth-CITI</t>
        </is>
      </c>
      <c r="D1079" s="37" t="inlineStr">
        <is>
          <t>2026-07-14</t>
        </is>
      </c>
      <c r="E1079" s="37" t="inlineStr">
        <is>
          <t>Aspirant Interaction</t>
        </is>
      </c>
      <c r="F1079" s="37" t="inlineStr">
        <is>
          <t>Ask a few relevant screening questions to support the 10th-day report and remove non-serious candidates, explaining to them the reasons.</t>
        </is>
      </c>
      <c r="G1079" s="37" t="inlineStr">
        <is>
          <t>All is Well</t>
        </is>
      </c>
    </row>
    <row r="1080">
      <c r="A1080" s="37" t="inlineStr">
        <is>
          <t>Mahaboob Basha</t>
        </is>
      </c>
      <c r="B1080" s="37" t="inlineStr">
        <is>
          <t xml:space="preserve">Velachery-Accenture Additional Grant </t>
        </is>
      </c>
      <c r="C1080" s="37" t="inlineStr">
        <is>
          <t>GROW-Youth</t>
        </is>
      </c>
      <c r="D1080" s="37" t="inlineStr">
        <is>
          <t>2026-07-15</t>
        </is>
      </c>
      <c r="E1080" s="37" t="inlineStr">
        <is>
          <t>Data Check</t>
        </is>
      </c>
      <c r="F1080" s="37" t="inlineStr">
        <is>
          <t>Reach the centre on time (unannounced) — confirm the centre opened on time.</t>
        </is>
      </c>
      <c r="G1080" s="37" t="inlineStr">
        <is>
          <t>All is Well</t>
        </is>
      </c>
    </row>
    <row r="1081">
      <c r="A1081" s="37" t="inlineStr">
        <is>
          <t>Mahaboob Basha</t>
        </is>
      </c>
      <c r="B1081" s="37" t="inlineStr">
        <is>
          <t xml:space="preserve">Velachery-Accenture Additional Grant </t>
        </is>
      </c>
      <c r="C1081" s="37" t="inlineStr">
        <is>
          <t>GROW-Youth</t>
        </is>
      </c>
      <c r="D1081" s="37" t="inlineStr">
        <is>
          <t>2026-07-15</t>
        </is>
      </c>
      <c r="E1081" s="37" t="inlineStr">
        <is>
          <t>Data Check</t>
        </is>
      </c>
      <c r="F1081" s="37" t="inlineStr">
        <is>
          <t>Check the staff attendance register, the Google Sheet, and geo-tagged photos for aspirants.</t>
        </is>
      </c>
      <c r="G1081" s="37" t="inlineStr">
        <is>
          <t>All is Well</t>
        </is>
      </c>
    </row>
    <row r="1082">
      <c r="A1082" s="37" t="inlineStr">
        <is>
          <t>Mahaboob Basha</t>
        </is>
      </c>
      <c r="B1082" s="37" t="inlineStr">
        <is>
          <t xml:space="preserve">Velachery-Accenture Additional Grant </t>
        </is>
      </c>
      <c r="C1082" s="37" t="inlineStr">
        <is>
          <t>GROW-Youth</t>
        </is>
      </c>
      <c r="D1082" s="37" t="inlineStr">
        <is>
          <t>2026-07-15</t>
        </is>
      </c>
      <c r="E1082" s="37" t="inlineStr">
        <is>
          <t>Data Check</t>
        </is>
      </c>
      <c r="F1082" s="37" t="inlineStr">
        <is>
          <t>Check Counselling and Screening Forms of recently started batches.</t>
        </is>
      </c>
      <c r="G1082" s="37" t="inlineStr">
        <is>
          <t>All is Well</t>
        </is>
      </c>
    </row>
    <row r="1083">
      <c r="A1083" s="37" t="inlineStr">
        <is>
          <t>Mahaboob Basha</t>
        </is>
      </c>
      <c r="B1083" s="37" t="inlineStr">
        <is>
          <t xml:space="preserve">Velachery-Accenture Additional Grant </t>
        </is>
      </c>
      <c r="C1083" s="37" t="inlineStr">
        <is>
          <t>GROW-Youth</t>
        </is>
      </c>
      <c r="D1083" s="37" t="inlineStr">
        <is>
          <t>2026-07-15</t>
        </is>
      </c>
      <c r="E1083" s="37" t="inlineStr">
        <is>
          <t>Data Check</t>
        </is>
      </c>
      <c r="F1083" s="37" t="inlineStr">
        <is>
          <t>Check Aspirant Registration Forms and related documents.</t>
        </is>
      </c>
      <c r="G1083" s="37" t="inlineStr">
        <is>
          <t>All is Well</t>
        </is>
      </c>
    </row>
    <row r="1084">
      <c r="A1084" s="37" t="inlineStr">
        <is>
          <t>Mahaboob Basha</t>
        </is>
      </c>
      <c r="B1084" s="37" t="inlineStr">
        <is>
          <t xml:space="preserve">Velachery-Accenture Additional Grant </t>
        </is>
      </c>
      <c r="C1084" s="37" t="inlineStr">
        <is>
          <t>GROW-Youth</t>
        </is>
      </c>
      <c r="D1084" s="37" t="inlineStr">
        <is>
          <t>2026-07-15</t>
        </is>
      </c>
      <c r="E1084" s="37" t="inlineStr">
        <is>
          <t>Data Check</t>
        </is>
      </c>
      <c r="F1084" s="37" t="inlineStr">
        <is>
          <t>On the GROW portal, confirm all student profile details and batch updates are currect.</t>
        </is>
      </c>
      <c r="G1084" s="37" t="inlineStr">
        <is>
          <t>All is Well</t>
        </is>
      </c>
    </row>
    <row r="1085">
      <c r="A1085" s="37" t="inlineStr">
        <is>
          <t>Mahaboob Basha</t>
        </is>
      </c>
      <c r="B1085" s="37" t="inlineStr">
        <is>
          <t xml:space="preserve">Velachery-Accenture Additional Grant </t>
        </is>
      </c>
      <c r="C1085" s="37" t="inlineStr">
        <is>
          <t>GROW-Youth</t>
        </is>
      </c>
      <c r="D1085" s="37" t="inlineStr">
        <is>
          <t>2026-07-15</t>
        </is>
      </c>
      <c r="E1085" s="37" t="inlineStr">
        <is>
          <t>Data Check</t>
        </is>
      </c>
      <c r="F1085" s="37" t="inlineStr">
        <is>
          <t>Verify placement data — randomly call 3–4 alumni placed in the last 3 months to confirm veracity (random selection is essential).</t>
        </is>
      </c>
      <c r="G1085" s="37" t="inlineStr">
        <is>
          <t>All is Well</t>
        </is>
      </c>
    </row>
    <row r="1086">
      <c r="A1086" s="37" t="inlineStr">
        <is>
          <t>Mahaboob Basha</t>
        </is>
      </c>
      <c r="B1086" s="37" t="inlineStr">
        <is>
          <t xml:space="preserve">Velachery-Accenture Additional Grant </t>
        </is>
      </c>
      <c r="C1086" s="37" t="inlineStr">
        <is>
          <t>GROW-Youth</t>
        </is>
      </c>
      <c r="D1086" s="37" t="inlineStr">
        <is>
          <t>2026-07-15</t>
        </is>
      </c>
      <c r="E1086" s="37" t="inlineStr">
        <is>
          <t>Data Check</t>
        </is>
      </c>
      <c r="F1086" s="37" t="inlineStr">
        <is>
          <t>Verify retention — check the Alumni Hand-holding Format is being updated as designed.</t>
        </is>
      </c>
      <c r="G1086" s="37" t="inlineStr">
        <is>
          <t>All is Well</t>
        </is>
      </c>
    </row>
    <row r="1087">
      <c r="A1087" s="37" t="inlineStr">
        <is>
          <t>Mahaboob Basha</t>
        </is>
      </c>
      <c r="B1087" s="37" t="inlineStr">
        <is>
          <t xml:space="preserve">Velachery-Accenture Additional Grant </t>
        </is>
      </c>
      <c r="C1087" s="37" t="inlineStr">
        <is>
          <t>GROW-Youth</t>
        </is>
      </c>
      <c r="D1087" s="37" t="inlineStr">
        <is>
          <t>2026-07-15</t>
        </is>
      </c>
      <c r="E1087" s="37" t="inlineStr">
        <is>
          <t>Data Check</t>
        </is>
      </c>
      <c r="F1087" s="37" t="inlineStr">
        <is>
          <t>Check aspirant Hostel Forms are properly filled or not.</t>
        </is>
      </c>
      <c r="G1087" s="37" t="inlineStr">
        <is>
          <t>Not Applicable</t>
        </is>
      </c>
    </row>
    <row r="1088">
      <c r="A1088" s="37" t="inlineStr">
        <is>
          <t>Mahaboob Basha</t>
        </is>
      </c>
      <c r="B1088" s="37" t="inlineStr">
        <is>
          <t xml:space="preserve">Velachery-Accenture Additional Grant </t>
        </is>
      </c>
      <c r="C1088" s="37" t="inlineStr">
        <is>
          <t>GROW-Youth</t>
        </is>
      </c>
      <c r="D1088" s="37" t="inlineStr">
        <is>
          <t>2026-07-15</t>
        </is>
      </c>
      <c r="E1088" s="37" t="inlineStr">
        <is>
          <t>Infra Check</t>
        </is>
      </c>
      <c r="F1088" s="37" t="inlineStr">
        <is>
          <t>Check all CCTV cameras; if any are not working, ask the AH to troubleshoot or call the vendor.</t>
        </is>
      </c>
      <c r="G1088" s="37" t="inlineStr">
        <is>
          <t>Not Applicable</t>
        </is>
      </c>
    </row>
    <row r="1089">
      <c r="A1089" s="37" t="inlineStr">
        <is>
          <t>Mahaboob Basha</t>
        </is>
      </c>
      <c r="B1089" s="37" t="inlineStr">
        <is>
          <t xml:space="preserve">Velachery-Accenture Additional Grant </t>
        </is>
      </c>
      <c r="C1089" s="37" t="inlineStr">
        <is>
          <t>GROW-Youth</t>
        </is>
      </c>
      <c r="D1089" s="37" t="inlineStr">
        <is>
          <t>2026-07-15</t>
        </is>
      </c>
      <c r="E1089" s="37" t="inlineStr">
        <is>
          <t>Infra Check</t>
        </is>
      </c>
      <c r="F1089" s="37" t="inlineStr">
        <is>
          <t>Check for any scrap material and get it cleared, with support of Admin</t>
        </is>
      </c>
      <c r="G1089" s="37" t="inlineStr">
        <is>
          <t>Need Improvement</t>
        </is>
      </c>
    </row>
    <row r="1090">
      <c r="A1090" s="37" t="inlineStr">
        <is>
          <t>Mahaboob Basha</t>
        </is>
      </c>
      <c r="B1090" s="37" t="inlineStr">
        <is>
          <t xml:space="preserve">Velachery-Accenture Additional Grant </t>
        </is>
      </c>
      <c r="C1090" s="37" t="inlineStr">
        <is>
          <t>GROW-Youth</t>
        </is>
      </c>
      <c r="D1090" s="37" t="inlineStr">
        <is>
          <t>2026-07-15</t>
        </is>
      </c>
      <c r="E1090" s="37" t="inlineStr">
        <is>
          <t>Infra Check</t>
        </is>
      </c>
      <c r="F1090" s="37" t="inlineStr">
        <is>
          <t>Check for any pending infra repairs.</t>
        </is>
      </c>
      <c r="G1090" s="37" t="inlineStr">
        <is>
          <t>All is Well</t>
        </is>
      </c>
    </row>
    <row r="1091">
      <c r="A1091" s="37" t="inlineStr">
        <is>
          <t>Mahaboob Basha</t>
        </is>
      </c>
      <c r="B1091" s="37" t="inlineStr">
        <is>
          <t xml:space="preserve">Velachery-Accenture Additional Grant </t>
        </is>
      </c>
      <c r="C1091" s="37" t="inlineStr">
        <is>
          <t>GROW-Youth</t>
        </is>
      </c>
      <c r="D1091" s="37" t="inlineStr">
        <is>
          <t>2026-07-15</t>
        </is>
      </c>
      <c r="E1091" s="37" t="inlineStr">
        <is>
          <t>Infra Check</t>
        </is>
      </c>
      <c r="F1091" s="37" t="inlineStr">
        <is>
          <t>Check whether any fire extinguishers have expired (check the needle and expiry date both).</t>
        </is>
      </c>
      <c r="G1091" s="37" t="inlineStr">
        <is>
          <t>All is Well</t>
        </is>
      </c>
    </row>
    <row r="1092">
      <c r="A1092" s="37" t="inlineStr">
        <is>
          <t>Mahaboob Basha</t>
        </is>
      </c>
      <c r="B1092" s="37" t="inlineStr">
        <is>
          <t xml:space="preserve">Velachery-Accenture Additional Grant </t>
        </is>
      </c>
      <c r="C1092" s="37" t="inlineStr">
        <is>
          <t>GROW-Youth</t>
        </is>
      </c>
      <c r="D1092" s="37" t="inlineStr">
        <is>
          <t>2026-07-15</t>
        </is>
      </c>
      <c r="E1092" s="37" t="inlineStr">
        <is>
          <t>Infra Check</t>
        </is>
      </c>
      <c r="F1092" s="37" t="inlineStr">
        <is>
          <t>Check basic cleanliness of the washrooms and the centre.</t>
        </is>
      </c>
      <c r="G1092" s="37" t="inlineStr">
        <is>
          <t>All is Well</t>
        </is>
      </c>
    </row>
    <row r="1093">
      <c r="A1093" s="37" t="inlineStr">
        <is>
          <t>Mahaboob Basha</t>
        </is>
      </c>
      <c r="B1093" s="37" t="inlineStr">
        <is>
          <t xml:space="preserve">Velachery-Accenture Additional Grant </t>
        </is>
      </c>
      <c r="C1093" s="37" t="inlineStr">
        <is>
          <t>GROW-Youth</t>
        </is>
      </c>
      <c r="D1093" s="37" t="inlineStr">
        <is>
          <t>2026-07-15</t>
        </is>
      </c>
      <c r="E1093" s="37" t="inlineStr">
        <is>
          <t>Infra Check</t>
        </is>
      </c>
      <c r="F1093" s="37" t="inlineStr">
        <is>
          <t>Confirm the correct program and partner logos are displayed.</t>
        </is>
      </c>
      <c r="G1093" s="37" t="inlineStr">
        <is>
          <t>All is Well</t>
        </is>
      </c>
    </row>
    <row r="1094">
      <c r="A1094" s="37" t="inlineStr">
        <is>
          <t>Mahaboob Basha</t>
        </is>
      </c>
      <c r="B1094" s="37" t="inlineStr">
        <is>
          <t xml:space="preserve">Velachery-Accenture Additional Grant </t>
        </is>
      </c>
      <c r="C1094" s="37" t="inlineStr">
        <is>
          <t>GROW-Youth</t>
        </is>
      </c>
      <c r="D1094" s="37" t="inlineStr">
        <is>
          <t>2026-07-15</t>
        </is>
      </c>
      <c r="E1094" s="37" t="inlineStr">
        <is>
          <t>Infra Check</t>
        </is>
      </c>
      <c r="F1094" s="37" t="inlineStr">
        <is>
          <t>Check the status of digital infra — PCs, smartboards, tablets, laptops, etc.</t>
        </is>
      </c>
      <c r="G1094" s="37" t="inlineStr">
        <is>
          <t>All is Well</t>
        </is>
      </c>
    </row>
    <row r="1095">
      <c r="A1095" s="37" t="inlineStr">
        <is>
          <t>Mahaboob Basha</t>
        </is>
      </c>
      <c r="B1095" s="37" t="inlineStr">
        <is>
          <t xml:space="preserve">Velachery-Accenture Additional Grant </t>
        </is>
      </c>
      <c r="C1095" s="37" t="inlineStr">
        <is>
          <t>GROW-Youth</t>
        </is>
      </c>
      <c r="D1095" s="37" t="inlineStr">
        <is>
          <t>2026-07-15</t>
        </is>
      </c>
      <c r="E1095" s="37" t="inlineStr">
        <is>
          <t>Infra Check</t>
        </is>
      </c>
      <c r="F1095" s="37" t="inlineStr">
        <is>
          <t>Make a quick hostel visit; have lunch there if possible to test the food quality.</t>
        </is>
      </c>
      <c r="G1095" s="37" t="inlineStr">
        <is>
          <t>Not Applicable</t>
        </is>
      </c>
    </row>
    <row r="1096">
      <c r="A1096" s="37" t="inlineStr">
        <is>
          <t>Mahaboob Basha</t>
        </is>
      </c>
      <c r="B1096" s="37" t="inlineStr">
        <is>
          <t xml:space="preserve">Velachery-Accenture Additional Grant </t>
        </is>
      </c>
      <c r="C1096" s="37" t="inlineStr">
        <is>
          <t>GROW-Youth</t>
        </is>
      </c>
      <c r="D1096" s="37" t="inlineStr">
        <is>
          <t>2026-07-15</t>
        </is>
      </c>
      <c r="E1096" s="37" t="inlineStr">
        <is>
          <t>Process Check</t>
        </is>
      </c>
      <c r="F1096" s="37" t="inlineStr">
        <is>
          <t>Refer to the activity planner — check if any activities are delayed.</t>
        </is>
      </c>
      <c r="G1096" s="37" t="inlineStr">
        <is>
          <t>Not Applicable</t>
        </is>
      </c>
    </row>
    <row r="1097">
      <c r="A1097" s="37" t="inlineStr">
        <is>
          <t>Mahaboob Basha</t>
        </is>
      </c>
      <c r="B1097" s="37" t="inlineStr">
        <is>
          <t xml:space="preserve">Velachery-Accenture Additional Grant </t>
        </is>
      </c>
      <c r="C1097" s="37" t="inlineStr">
        <is>
          <t>GROW-Youth</t>
        </is>
      </c>
      <c r="D1097" s="37" t="inlineStr">
        <is>
          <t>2026-07-15</t>
        </is>
      </c>
      <c r="E1097" s="37" t="inlineStr">
        <is>
          <t>Process Check</t>
        </is>
      </c>
      <c r="F1097" s="37" t="inlineStr">
        <is>
          <t>Check planning for the next batch-start announcement.</t>
        </is>
      </c>
      <c r="G1097" s="37" t="inlineStr">
        <is>
          <t>All is Well</t>
        </is>
      </c>
    </row>
    <row r="1098">
      <c r="A1098" s="37" t="inlineStr">
        <is>
          <t>Mahaboob Basha</t>
        </is>
      </c>
      <c r="B1098" s="37" t="inlineStr">
        <is>
          <t xml:space="preserve">Velachery-Accenture Additional Grant </t>
        </is>
      </c>
      <c r="C1098" s="37" t="inlineStr">
        <is>
          <t>GROW-Youth</t>
        </is>
      </c>
      <c r="D1098" s="37" t="inlineStr">
        <is>
          <t>2026-07-15</t>
        </is>
      </c>
      <c r="E1098" s="37" t="inlineStr">
        <is>
          <t>Process Check</t>
        </is>
      </c>
      <c r="F1098" s="37" t="inlineStr">
        <is>
          <t>Check if any hiring is delayed and plan a resolution.</t>
        </is>
      </c>
      <c r="G1098" s="37" t="inlineStr">
        <is>
          <t>All is Well</t>
        </is>
      </c>
    </row>
    <row r="1099">
      <c r="A1099" s="37" t="inlineStr">
        <is>
          <t>Mahaboob Basha</t>
        </is>
      </c>
      <c r="B1099" s="37" t="inlineStr">
        <is>
          <t xml:space="preserve">Velachery-Accenture Additional Grant </t>
        </is>
      </c>
      <c r="C1099" s="37" t="inlineStr">
        <is>
          <t>GROW-Youth</t>
        </is>
      </c>
      <c r="D1099" s="37" t="inlineStr">
        <is>
          <t>2026-07-15</t>
        </is>
      </c>
      <c r="E1099" s="37" t="inlineStr">
        <is>
          <t>Process Check</t>
        </is>
      </c>
      <c r="F1099" s="37" t="inlineStr">
        <is>
          <t>Check the CA’s diary — is CA guided daily by the AH during planning days?</t>
        </is>
      </c>
      <c r="G1099" s="37" t="inlineStr">
        <is>
          <t>Need Improvement</t>
        </is>
      </c>
    </row>
    <row r="1100">
      <c r="A1100" s="37" t="inlineStr">
        <is>
          <t>Mahaboob Basha</t>
        </is>
      </c>
      <c r="B1100" s="37" t="inlineStr">
        <is>
          <t xml:space="preserve">Velachery-Accenture Additional Grant </t>
        </is>
      </c>
      <c r="C1100" s="37" t="inlineStr">
        <is>
          <t>GROW-Youth</t>
        </is>
      </c>
      <c r="D1100" s="37" t="inlineStr">
        <is>
          <t>2026-07-15</t>
        </is>
      </c>
      <c r="E1100" s="37" t="inlineStr">
        <is>
          <t>Process Check</t>
        </is>
      </c>
      <c r="F1100" s="37" t="inlineStr">
        <is>
          <t>Check the AH is regularly meeting employers (in person and online) and updating the centre’s Top 20 Employer format.</t>
        </is>
      </c>
      <c r="G1100" s="37" t="inlineStr">
        <is>
          <t>All is Well</t>
        </is>
      </c>
    </row>
    <row r="1101">
      <c r="A1101" s="37" t="inlineStr">
        <is>
          <t>Mahaboob Basha</t>
        </is>
      </c>
      <c r="B1101" s="37" t="inlineStr">
        <is>
          <t xml:space="preserve">Velachery-Accenture Additional Grant </t>
        </is>
      </c>
      <c r="C1101" s="37" t="inlineStr">
        <is>
          <t>GROW-Youth</t>
        </is>
      </c>
      <c r="D1101" s="37" t="inlineStr">
        <is>
          <t>2026-07-15</t>
        </is>
      </c>
      <c r="E1101" s="37" t="inlineStr">
        <is>
          <t>Process Check</t>
        </is>
      </c>
      <c r="F1101" s="37" t="inlineStr">
        <is>
          <t>Confirm all new employers are registered on portal as per new process.</t>
        </is>
      </c>
      <c r="G1101" s="37" t="inlineStr">
        <is>
          <t>All is Well</t>
        </is>
      </c>
    </row>
    <row r="1102">
      <c r="A1102" s="37" t="inlineStr">
        <is>
          <t>Mahaboob Basha</t>
        </is>
      </c>
      <c r="B1102" s="37" t="inlineStr">
        <is>
          <t xml:space="preserve">Velachery-Accenture Additional Grant </t>
        </is>
      </c>
      <c r="C1102" s="37" t="inlineStr">
        <is>
          <t>GROW-Youth</t>
        </is>
      </c>
      <c r="D1102" s="37" t="inlineStr">
        <is>
          <t>2026-07-15</t>
        </is>
      </c>
      <c r="E1102" s="37" t="inlineStr">
        <is>
          <t>Process Check</t>
        </is>
      </c>
      <c r="F1102" s="37" t="inlineStr">
        <is>
          <t>Confirm 100% of enrolled students undergone screening (for technical courses).</t>
        </is>
      </c>
      <c r="G1102" s="37" t="inlineStr">
        <is>
          <t>All is Well</t>
        </is>
      </c>
    </row>
    <row r="1103">
      <c r="A1103" s="37" t="inlineStr">
        <is>
          <t>Mahaboob Basha</t>
        </is>
      </c>
      <c r="B1103" s="37" t="inlineStr">
        <is>
          <t xml:space="preserve">Velachery-Accenture Additional Grant </t>
        </is>
      </c>
      <c r="C1103" s="37" t="inlineStr">
        <is>
          <t>GROW-Youth</t>
        </is>
      </c>
      <c r="D1103" s="37" t="inlineStr">
        <is>
          <t>2026-07-15</t>
        </is>
      </c>
      <c r="E1103" s="37" t="inlineStr">
        <is>
          <t>Process Check</t>
        </is>
      </c>
      <c r="F1103" s="37" t="inlineStr">
        <is>
          <t>Confirm ESA is done (in GROW full ESA and in Technical courses relevant sections of Core Employability Part).</t>
        </is>
      </c>
      <c r="G1103" s="37" t="inlineStr">
        <is>
          <t>Need Improvement</t>
        </is>
      </c>
    </row>
    <row r="1104">
      <c r="A1104" s="37" t="inlineStr">
        <is>
          <t>Mahaboob Basha</t>
        </is>
      </c>
      <c r="B1104" s="37" t="inlineStr">
        <is>
          <t xml:space="preserve">Velachery-Accenture Additional Grant </t>
        </is>
      </c>
      <c r="C1104" s="37" t="inlineStr">
        <is>
          <t>GROW-Youth</t>
        </is>
      </c>
      <c r="D1104" s="37" t="inlineStr">
        <is>
          <t>2026-07-15</t>
        </is>
      </c>
      <c r="E1104" s="37" t="inlineStr">
        <is>
          <t>Process Check</t>
        </is>
      </c>
      <c r="F1104" s="37" t="inlineStr">
        <is>
          <t>Check is AH giving capstone project in GROW Tech.</t>
        </is>
      </c>
      <c r="G1104" s="37" t="inlineStr">
        <is>
          <t>Need Improvement</t>
        </is>
      </c>
    </row>
    <row r="1105">
      <c r="A1105" s="37" t="inlineStr">
        <is>
          <t>Mahaboob Basha</t>
        </is>
      </c>
      <c r="B1105" s="37" t="inlineStr">
        <is>
          <t xml:space="preserve">Velachery-Accenture Additional Grant </t>
        </is>
      </c>
      <c r="C1105" s="37" t="inlineStr">
        <is>
          <t>GROW-Youth</t>
        </is>
      </c>
      <c r="D1105" s="37" t="inlineStr">
        <is>
          <t>2026-07-15</t>
        </is>
      </c>
      <c r="E1105" s="37" t="inlineStr">
        <is>
          <t>Process Check</t>
        </is>
      </c>
      <c r="F1105" s="37" t="inlineStr">
        <is>
          <t>Check is AH planning OJT as per guidelines and proofs are collected for technical courses.</t>
        </is>
      </c>
      <c r="G1105" s="37" t="inlineStr">
        <is>
          <t>Not Applicable</t>
        </is>
      </c>
    </row>
    <row r="1106">
      <c r="A1106" s="37" t="inlineStr">
        <is>
          <t>Mahaboob Basha</t>
        </is>
      </c>
      <c r="B1106" s="37" t="inlineStr">
        <is>
          <t xml:space="preserve">Velachery-Accenture Additional Grant </t>
        </is>
      </c>
      <c r="C1106" s="37" t="inlineStr">
        <is>
          <t>GROW-Youth</t>
        </is>
      </c>
      <c r="D1106" s="37" t="inlineStr">
        <is>
          <t>2026-07-15</t>
        </is>
      </c>
      <c r="E1106" s="37" t="inlineStr">
        <is>
          <t>Process Check</t>
        </is>
      </c>
      <c r="F1106" s="37" t="inlineStr">
        <is>
          <t>Check are trainers contacting aspirants to find reason for their absenteeism of more than 1 day.</t>
        </is>
      </c>
      <c r="G1106" s="37" t="inlineStr">
        <is>
          <t>All is Well</t>
        </is>
      </c>
    </row>
    <row r="1107">
      <c r="A1107" s="37" t="inlineStr">
        <is>
          <t>Mahaboob Basha</t>
        </is>
      </c>
      <c r="B1107" s="37" t="inlineStr">
        <is>
          <t xml:space="preserve">Velachery-Accenture Additional Grant </t>
        </is>
      </c>
      <c r="C1107" s="37" t="inlineStr">
        <is>
          <t>GROW-Youth</t>
        </is>
      </c>
      <c r="D1107" s="37" t="inlineStr">
        <is>
          <t>2026-07-15</t>
        </is>
      </c>
      <c r="E1107" s="37" t="inlineStr">
        <is>
          <t>Process Check</t>
        </is>
      </c>
      <c r="F1107" s="37" t="inlineStr">
        <is>
          <t>Check the AH plans monthly enrolment and placement numbers by the 3rd of each month and shares them with second level managers.</t>
        </is>
      </c>
      <c r="G1107" s="37" t="inlineStr">
        <is>
          <t>All is Well</t>
        </is>
      </c>
    </row>
    <row r="1108">
      <c r="A1108" s="37" t="inlineStr">
        <is>
          <t>Mahaboob Basha</t>
        </is>
      </c>
      <c r="B1108" s="37" t="inlineStr">
        <is>
          <t xml:space="preserve">Velachery-Accenture Additional Grant </t>
        </is>
      </c>
      <c r="C1108" s="37" t="inlineStr">
        <is>
          <t>GROW-Youth</t>
        </is>
      </c>
      <c r="D1108" s="37" t="inlineStr">
        <is>
          <t>2026-07-15</t>
        </is>
      </c>
      <c r="E1108" s="37" t="inlineStr">
        <is>
          <t>Process Check</t>
        </is>
      </c>
      <c r="F1108" s="37" t="inlineStr">
        <is>
          <t>Check trainers submit aspirants’ placement interest areas to the AH by the batch’s 25th day (in GROW).</t>
        </is>
      </c>
      <c r="G1108" s="37" t="inlineStr">
        <is>
          <t>All is Well</t>
        </is>
      </c>
    </row>
    <row r="1109">
      <c r="A1109" s="37" t="inlineStr">
        <is>
          <t>Mahaboob Basha</t>
        </is>
      </c>
      <c r="B1109" s="37" t="inlineStr">
        <is>
          <t xml:space="preserve">Velachery-Accenture Additional Grant </t>
        </is>
      </c>
      <c r="C1109" s="37" t="inlineStr">
        <is>
          <t>GROW-Youth</t>
        </is>
      </c>
      <c r="D1109" s="37" t="inlineStr">
        <is>
          <t>2026-07-15</t>
        </is>
      </c>
      <c r="E1109" s="37" t="inlineStr">
        <is>
          <t>Process Check</t>
        </is>
      </c>
      <c r="F1109" s="37" t="inlineStr">
        <is>
          <t>Ckeck For technical programs, placement is done only in technical jobs,on which aspirants are trained and relevant emplyers are identified by 45th day.</t>
        </is>
      </c>
      <c r="G1109" s="37" t="inlineStr">
        <is>
          <t>All is Well</t>
        </is>
      </c>
    </row>
    <row r="1110">
      <c r="A1110" s="37" t="inlineStr">
        <is>
          <t>Mahaboob Basha</t>
        </is>
      </c>
      <c r="B1110" s="37" t="inlineStr">
        <is>
          <t xml:space="preserve">Velachery-Accenture Additional Grant </t>
        </is>
      </c>
      <c r="C1110" s="37" t="inlineStr">
        <is>
          <t>GROW-Youth</t>
        </is>
      </c>
      <c r="D1110" s="37" t="inlineStr">
        <is>
          <t>2026-07-15</t>
        </is>
      </c>
      <c r="E1110" s="37" t="inlineStr">
        <is>
          <t>Process Check</t>
        </is>
      </c>
      <c r="F1110" s="37" t="inlineStr">
        <is>
          <t>Check the AH follows EP guidelines and minimum benchmark salary guidelines.</t>
        </is>
      </c>
      <c r="G1110" s="37" t="inlineStr">
        <is>
          <t>All is Well</t>
        </is>
      </c>
    </row>
    <row r="1111">
      <c r="A1111" s="37" t="inlineStr">
        <is>
          <t>Mahaboob Basha</t>
        </is>
      </c>
      <c r="B1111" s="37" t="inlineStr">
        <is>
          <t xml:space="preserve">Velachery-Accenture Additional Grant </t>
        </is>
      </c>
      <c r="C1111" s="37" t="inlineStr">
        <is>
          <t>GROW-Youth</t>
        </is>
      </c>
      <c r="D1111" s="37" t="inlineStr">
        <is>
          <t>2026-07-15</t>
        </is>
      </c>
      <c r="E1111" s="37" t="inlineStr">
        <is>
          <t>Process Check</t>
        </is>
      </c>
      <c r="F1111" s="37" t="inlineStr">
        <is>
          <t>Check that AH is enrolling only the right traget group in the program -as per the defined target.</t>
        </is>
      </c>
      <c r="G1111" s="37" t="inlineStr">
        <is>
          <t>All is Well</t>
        </is>
      </c>
    </row>
    <row r="1112">
      <c r="A1112" s="37" t="inlineStr">
        <is>
          <t>Mahaboob Basha</t>
        </is>
      </c>
      <c r="B1112" s="37" t="inlineStr">
        <is>
          <t xml:space="preserve">Velachery-Accenture Additional Grant </t>
        </is>
      </c>
      <c r="C1112" s="37" t="inlineStr">
        <is>
          <t>GROW-Youth</t>
        </is>
      </c>
      <c r="D1112" s="37" t="inlineStr">
        <is>
          <t>2026-07-15</t>
        </is>
      </c>
      <c r="E1112" s="37" t="inlineStr">
        <is>
          <t>Process Check</t>
        </is>
      </c>
      <c r="F1112" s="37" t="inlineStr">
        <is>
          <t>Check the AH announces the next batch-start date by the 3rd of the month on all notice boards — focus on Zero-Day start.</t>
        </is>
      </c>
      <c r="G1112" s="37" t="inlineStr">
        <is>
          <t>All is Well</t>
        </is>
      </c>
    </row>
    <row r="1113">
      <c r="A1113" s="37" t="inlineStr">
        <is>
          <t>Mahaboob Basha</t>
        </is>
      </c>
      <c r="B1113" s="37" t="inlineStr">
        <is>
          <t xml:space="preserve">Velachery-Accenture Additional Grant </t>
        </is>
      </c>
      <c r="C1113" s="37" t="inlineStr">
        <is>
          <t>GROW-Youth</t>
        </is>
      </c>
      <c r="D1113" s="37" t="inlineStr">
        <is>
          <t>2026-07-15</t>
        </is>
      </c>
      <c r="E1113" s="37" t="inlineStr">
        <is>
          <t>Process Check</t>
        </is>
      </c>
      <c r="F1113" s="37" t="inlineStr">
        <is>
          <t>Check the Aspirant Mock Interview Score Tracker is updated after every mock interview in the L&amp;D Google Sheet.</t>
        </is>
      </c>
      <c r="G1113" s="37" t="inlineStr">
        <is>
          <t>Need Improvement</t>
        </is>
      </c>
    </row>
    <row r="1114">
      <c r="A1114" s="37" t="inlineStr">
        <is>
          <t>Mahaboob Basha</t>
        </is>
      </c>
      <c r="B1114" s="37" t="inlineStr">
        <is>
          <t xml:space="preserve">Velachery-Accenture Additional Grant </t>
        </is>
      </c>
      <c r="C1114" s="37" t="inlineStr">
        <is>
          <t>GROW-Youth</t>
        </is>
      </c>
      <c r="D1114" s="37" t="inlineStr">
        <is>
          <t>2026-07-15</t>
        </is>
      </c>
      <c r="E1114" s="37" t="inlineStr">
        <is>
          <t>Process Check</t>
        </is>
      </c>
      <c r="F1114" s="37" t="inlineStr">
        <is>
          <t>Confirm NPS (Net Promoter Score) is collected at MSDF centres.</t>
        </is>
      </c>
      <c r="G1114" s="37" t="inlineStr">
        <is>
          <t>Not Applicable</t>
        </is>
      </c>
    </row>
    <row r="1115">
      <c r="A1115" s="37" t="inlineStr">
        <is>
          <t>Mahaboob Basha</t>
        </is>
      </c>
      <c r="B1115" s="37" t="inlineStr">
        <is>
          <t xml:space="preserve">Velachery-Accenture Additional Grant </t>
        </is>
      </c>
      <c r="C1115" s="37" t="inlineStr">
        <is>
          <t>GROW-Youth</t>
        </is>
      </c>
      <c r="D1115" s="37" t="inlineStr">
        <is>
          <t>2026-07-15</t>
        </is>
      </c>
      <c r="E1115" s="37" t="inlineStr">
        <is>
          <t>Process Check</t>
        </is>
      </c>
      <c r="F1115" s="37" t="inlineStr">
        <is>
          <t>Confirm that QAE is collecting student feedback for every batch.</t>
        </is>
      </c>
      <c r="G1115" s="37" t="inlineStr">
        <is>
          <t>All is Well</t>
        </is>
      </c>
    </row>
    <row r="1116">
      <c r="A1116" s="37" t="inlineStr">
        <is>
          <t>Mahaboob Basha</t>
        </is>
      </c>
      <c r="B1116" s="37" t="inlineStr">
        <is>
          <t xml:space="preserve">Velachery-Accenture Additional Grant </t>
        </is>
      </c>
      <c r="C1116" s="37" t="inlineStr">
        <is>
          <t>GROW-Youth</t>
        </is>
      </c>
      <c r="D1116" s="37" t="inlineStr">
        <is>
          <t>2026-07-15</t>
        </is>
      </c>
      <c r="E1116" s="37" t="inlineStr">
        <is>
          <t>Process Check</t>
        </is>
      </c>
      <c r="F1116" s="37" t="inlineStr">
        <is>
          <t>Confirm all centre teams have completed the GROW Manual Course on Skillfy — ask for achievement certificates.</t>
        </is>
      </c>
      <c r="G1116" s="37" t="inlineStr">
        <is>
          <t>All is Well</t>
        </is>
      </c>
    </row>
    <row r="1117">
      <c r="A1117" s="37" t="inlineStr">
        <is>
          <t>Mahaboob Basha</t>
        </is>
      </c>
      <c r="B1117" s="37" t="inlineStr">
        <is>
          <t xml:space="preserve">Velachery-Accenture Additional Grant </t>
        </is>
      </c>
      <c r="C1117" s="37" t="inlineStr">
        <is>
          <t>GROW-Youth</t>
        </is>
      </c>
      <c r="D1117" s="37" t="inlineStr">
        <is>
          <t>2026-07-15</t>
        </is>
      </c>
      <c r="E1117" s="37" t="inlineStr">
        <is>
          <t>Process Check</t>
        </is>
      </c>
      <c r="F1117" s="37" t="inlineStr">
        <is>
          <t>Check AH holds a quality weekly team meeting, documents action points in the weekly meeting format, and sends you a photo on WhatsApp.</t>
        </is>
      </c>
      <c r="G1117" s="37" t="inlineStr">
        <is>
          <t>All is Well</t>
        </is>
      </c>
    </row>
    <row r="1118">
      <c r="A1118" s="37" t="inlineStr">
        <is>
          <t>Mahaboob Basha</t>
        </is>
      </c>
      <c r="B1118" s="37" t="inlineStr">
        <is>
          <t xml:space="preserve">Velachery-Accenture Additional Grant </t>
        </is>
      </c>
      <c r="C1118" s="37" t="inlineStr">
        <is>
          <t>GROW-Youth</t>
        </is>
      </c>
      <c r="D1118" s="37" t="inlineStr">
        <is>
          <t>2026-07-15</t>
        </is>
      </c>
      <c r="E1118" s="37" t="inlineStr">
        <is>
          <t>Aspirant Interaction</t>
        </is>
      </c>
      <c r="F1118" s="37" t="inlineStr">
        <is>
          <t>Ask aspirants about the session plan — confirm training is happening as planned?</t>
        </is>
      </c>
      <c r="G1118" s="37" t="inlineStr">
        <is>
          <t>Need Improvement</t>
        </is>
      </c>
    </row>
    <row r="1119">
      <c r="A1119" s="37" t="inlineStr">
        <is>
          <t>Mahaboob Basha</t>
        </is>
      </c>
      <c r="B1119" s="37" t="inlineStr">
        <is>
          <t xml:space="preserve">Velachery-Accenture Additional Grant </t>
        </is>
      </c>
      <c r="C1119" s="37" t="inlineStr">
        <is>
          <t>GROW-Youth</t>
        </is>
      </c>
      <c r="D1119" s="37" t="inlineStr">
        <is>
          <t>2026-07-15</t>
        </is>
      </c>
      <c r="E1119" s="37" t="inlineStr">
        <is>
          <t>Aspirant Interaction</t>
        </is>
      </c>
      <c r="F1119" s="37" t="inlineStr">
        <is>
          <t>Ask about the quality of Core Employability component delivery (technical centres) and who delivers it.</t>
        </is>
      </c>
      <c r="G1119" s="37" t="inlineStr">
        <is>
          <t>Need Improvement</t>
        </is>
      </c>
    </row>
    <row r="1120">
      <c r="A1120" s="37" t="inlineStr">
        <is>
          <t>Mahaboob Basha</t>
        </is>
      </c>
      <c r="B1120" s="37" t="inlineStr">
        <is>
          <t xml:space="preserve">Velachery-Accenture Additional Grant </t>
        </is>
      </c>
      <c r="C1120" s="37" t="inlineStr">
        <is>
          <t>GROW-Youth</t>
        </is>
      </c>
      <c r="D1120" s="37" t="inlineStr">
        <is>
          <t>2026-07-15</t>
        </is>
      </c>
      <c r="E1120" s="37" t="inlineStr">
        <is>
          <t>Aspirant Interaction</t>
        </is>
      </c>
      <c r="F1120" s="37" t="inlineStr">
        <is>
          <t>Ask whether they are aware of the referral scheme?</t>
        </is>
      </c>
      <c r="G1120" s="37" t="inlineStr">
        <is>
          <t>All is Well</t>
        </is>
      </c>
    </row>
    <row r="1121">
      <c r="A1121" s="37" t="inlineStr">
        <is>
          <t>Mahaboob Basha</t>
        </is>
      </c>
      <c r="B1121" s="37" t="inlineStr">
        <is>
          <t xml:space="preserve">Velachery-Accenture Additional Grant </t>
        </is>
      </c>
      <c r="C1121" s="37" t="inlineStr">
        <is>
          <t>GROW-Youth</t>
        </is>
      </c>
      <c r="D1121" s="37" t="inlineStr">
        <is>
          <t>2026-07-15</t>
        </is>
      </c>
      <c r="E1121" s="37" t="inlineStr">
        <is>
          <t>Aspirant Interaction</t>
        </is>
      </c>
      <c r="F1121" s="37" t="inlineStr">
        <is>
          <t>Ask whether the AH explained the importance of the offer letter and sharing it with us once received for reporting purposes?</t>
        </is>
      </c>
      <c r="G1121" s="37" t="inlineStr">
        <is>
          <t>All is Well</t>
        </is>
      </c>
    </row>
    <row r="1122">
      <c r="A1122" s="37" t="inlineStr">
        <is>
          <t>Mahaboob Basha</t>
        </is>
      </c>
      <c r="B1122" s="37" t="inlineStr">
        <is>
          <t xml:space="preserve">Velachery-Accenture Additional Grant </t>
        </is>
      </c>
      <c r="C1122" s="37" t="inlineStr">
        <is>
          <t>GROW-Youth</t>
        </is>
      </c>
      <c r="D1122" s="37" t="inlineStr">
        <is>
          <t>2026-07-15</t>
        </is>
      </c>
      <c r="E1122" s="37" t="inlineStr">
        <is>
          <t>Aspirant Interaction</t>
        </is>
      </c>
      <c r="F1122" s="37" t="inlineStr">
        <is>
          <t>Ask how many are not interested in jobs — and if so, why they enrolled in the programme?</t>
        </is>
      </c>
      <c r="G1122" s="37" t="inlineStr">
        <is>
          <t>All is Well</t>
        </is>
      </c>
    </row>
    <row r="1123">
      <c r="A1123" s="37" t="inlineStr">
        <is>
          <t>Mahaboob Basha</t>
        </is>
      </c>
      <c r="B1123" s="37" t="inlineStr">
        <is>
          <t xml:space="preserve">Velachery-Accenture Additional Grant </t>
        </is>
      </c>
      <c r="C1123" s="37" t="inlineStr">
        <is>
          <t>GROW-Youth</t>
        </is>
      </c>
      <c r="D1123" s="37" t="inlineStr">
        <is>
          <t>2026-07-15</t>
        </is>
      </c>
      <c r="E1123" s="37" t="inlineStr">
        <is>
          <t>Aspirant Interaction</t>
        </is>
      </c>
      <c r="F1123" s="37" t="inlineStr">
        <is>
          <t>Ask whether they were told the kind of job they would get during counselling?</t>
        </is>
      </c>
      <c r="G1123" s="37" t="inlineStr">
        <is>
          <t>All is Well</t>
        </is>
      </c>
    </row>
    <row r="1124">
      <c r="A1124" s="37" t="inlineStr">
        <is>
          <t>Mahaboob Basha</t>
        </is>
      </c>
      <c r="B1124" s="37" t="inlineStr">
        <is>
          <t xml:space="preserve">Velachery-Accenture Additional Grant </t>
        </is>
      </c>
      <c r="C1124" s="37" t="inlineStr">
        <is>
          <t>GROW-Youth</t>
        </is>
      </c>
      <c r="D1124" s="37" t="inlineStr">
        <is>
          <t>2026-07-15</t>
        </is>
      </c>
      <c r="E1124" s="37" t="inlineStr">
        <is>
          <t>Aspirant Interaction</t>
        </is>
      </c>
      <c r="F1124" s="37" t="inlineStr">
        <is>
          <t>Ask whether they have been given LMS access?</t>
        </is>
      </c>
      <c r="G1124" s="37" t="inlineStr">
        <is>
          <t>All is Well</t>
        </is>
      </c>
    </row>
    <row r="1125">
      <c r="A1125" s="37" t="inlineStr">
        <is>
          <t>Mahaboob Basha</t>
        </is>
      </c>
      <c r="B1125" s="37" t="inlineStr">
        <is>
          <t xml:space="preserve">Velachery-Accenture Additional Grant </t>
        </is>
      </c>
      <c r="C1125" s="37" t="inlineStr">
        <is>
          <t>GROW-Youth</t>
        </is>
      </c>
      <c r="D1125" s="37" t="inlineStr">
        <is>
          <t>2026-07-15</t>
        </is>
      </c>
      <c r="E1125" s="37" t="inlineStr">
        <is>
          <t>Aspirant Interaction</t>
        </is>
      </c>
      <c r="F1125" s="37" t="inlineStr">
        <is>
          <t>Ask whether anyone asked them for money for training or placement?</t>
        </is>
      </c>
      <c r="G1125" s="37" t="inlineStr">
        <is>
          <t>All is Well</t>
        </is>
      </c>
    </row>
    <row r="1126">
      <c r="A1126" s="37" t="inlineStr">
        <is>
          <t>Mahaboob Basha</t>
        </is>
      </c>
      <c r="B1126" s="37" t="inlineStr">
        <is>
          <t xml:space="preserve">Velachery-Accenture Additional Grant </t>
        </is>
      </c>
      <c r="C1126" s="37" t="inlineStr">
        <is>
          <t>GROW-Youth</t>
        </is>
      </c>
      <c r="D1126" s="37" t="inlineStr">
        <is>
          <t>2026-07-15</t>
        </is>
      </c>
      <c r="E1126" s="37" t="inlineStr">
        <is>
          <t>Aspirant Interaction</t>
        </is>
      </c>
      <c r="F1126" s="37" t="inlineStr">
        <is>
          <t>Ask to show their mobile phones — are they enrolled on Skillfy? If not, get them enrolled and give written feedback to trainers and the AH in your presence.</t>
        </is>
      </c>
      <c r="G1126" s="37" t="inlineStr">
        <is>
          <t>All is Well</t>
        </is>
      </c>
    </row>
    <row r="1127">
      <c r="A1127" s="37" t="inlineStr">
        <is>
          <t>Mahaboob Basha</t>
        </is>
      </c>
      <c r="B1127" s="37" t="inlineStr">
        <is>
          <t xml:space="preserve">Velachery-Accenture Additional Grant </t>
        </is>
      </c>
      <c r="C1127" s="37" t="inlineStr">
        <is>
          <t>GROW-Youth</t>
        </is>
      </c>
      <c r="D1127" s="37" t="inlineStr">
        <is>
          <t>2026-07-15</t>
        </is>
      </c>
      <c r="E1127" s="37" t="inlineStr">
        <is>
          <t>Aspirant Interaction</t>
        </is>
      </c>
      <c r="F1127" s="37" t="inlineStr">
        <is>
          <t>Ask about the quality of the hostel and any issues they face.</t>
        </is>
      </c>
      <c r="G1127" s="37" t="inlineStr">
        <is>
          <t>All is Well</t>
        </is>
      </c>
    </row>
    <row r="1128">
      <c r="A1128" s="37" t="inlineStr">
        <is>
          <t>Mahaboob Basha</t>
        </is>
      </c>
      <c r="B1128" s="37" t="inlineStr">
        <is>
          <t xml:space="preserve">Velachery-Accenture Additional Grant </t>
        </is>
      </c>
      <c r="C1128" s="37" t="inlineStr">
        <is>
          <t>GROW-Youth</t>
        </is>
      </c>
      <c r="D1128" s="37" t="inlineStr">
        <is>
          <t>2026-07-15</t>
        </is>
      </c>
      <c r="E1128" s="37" t="inlineStr">
        <is>
          <t>Aspirant Interaction</t>
        </is>
      </c>
      <c r="F1128" s="37" t="inlineStr">
        <is>
          <t>Ask a few relevant screening questions to support the 10th-day report and remove non-serious candidates, explaining to them the reasons.</t>
        </is>
      </c>
      <c r="G1128" s="37" t="inlineStr">
        <is>
          <t>All is Well</t>
        </is>
      </c>
    </row>
    <row r="1129">
      <c r="A1129" s="37" t="inlineStr">
        <is>
          <t>Gagandeep Singh Sachar</t>
        </is>
      </c>
      <c r="B1129" s="37" t="inlineStr">
        <is>
          <t>Swargate</t>
        </is>
      </c>
      <c r="C1129" s="37" t="inlineStr">
        <is>
          <t>GROW</t>
        </is>
      </c>
      <c r="D1129" s="37" t="inlineStr">
        <is>
          <t>2026-07-15</t>
        </is>
      </c>
      <c r="E1129" s="37" t="inlineStr">
        <is>
          <t>Data Check</t>
        </is>
      </c>
      <c r="F1129" s="37" t="inlineStr">
        <is>
          <t>Reach the centre on time (unannounced) — confirm the centre opened on time.</t>
        </is>
      </c>
      <c r="G1129" s="37" t="inlineStr">
        <is>
          <t>All is Well</t>
        </is>
      </c>
    </row>
    <row r="1130">
      <c r="A1130" s="37" t="inlineStr">
        <is>
          <t>Gagandeep Singh Sachar</t>
        </is>
      </c>
      <c r="B1130" s="37" t="inlineStr">
        <is>
          <t>Swargate</t>
        </is>
      </c>
      <c r="C1130" s="37" t="inlineStr">
        <is>
          <t>GROW</t>
        </is>
      </c>
      <c r="D1130" s="37" t="inlineStr">
        <is>
          <t>2026-07-15</t>
        </is>
      </c>
      <c r="E1130" s="37" t="inlineStr">
        <is>
          <t>Data Check</t>
        </is>
      </c>
      <c r="F1130" s="37" t="inlineStr">
        <is>
          <t>Check the staff attendance register, the Google Sheet, and geo-tagged photos for aspirants.</t>
        </is>
      </c>
      <c r="G1130" s="37" t="inlineStr">
        <is>
          <t>All is Well</t>
        </is>
      </c>
    </row>
    <row r="1131">
      <c r="A1131" s="37" t="inlineStr">
        <is>
          <t>Gagandeep Singh Sachar</t>
        </is>
      </c>
      <c r="B1131" s="37" t="inlineStr">
        <is>
          <t>Swargate</t>
        </is>
      </c>
      <c r="C1131" s="37" t="inlineStr">
        <is>
          <t>GROW</t>
        </is>
      </c>
      <c r="D1131" s="37" t="inlineStr">
        <is>
          <t>2026-07-15</t>
        </is>
      </c>
      <c r="E1131" s="37" t="inlineStr">
        <is>
          <t>Data Check</t>
        </is>
      </c>
      <c r="F1131" s="37" t="inlineStr">
        <is>
          <t>Check Counselling and Screening Forms of recently started batches.</t>
        </is>
      </c>
      <c r="G1131" s="37" t="inlineStr">
        <is>
          <t>All is Well</t>
        </is>
      </c>
    </row>
    <row r="1132">
      <c r="A1132" s="37" t="inlineStr">
        <is>
          <t>Gagandeep Singh Sachar</t>
        </is>
      </c>
      <c r="B1132" s="37" t="inlineStr">
        <is>
          <t>Swargate</t>
        </is>
      </c>
      <c r="C1132" s="37" t="inlineStr">
        <is>
          <t>GROW</t>
        </is>
      </c>
      <c r="D1132" s="37" t="inlineStr">
        <is>
          <t>2026-07-15</t>
        </is>
      </c>
      <c r="E1132" s="37" t="inlineStr">
        <is>
          <t>Data Check</t>
        </is>
      </c>
      <c r="F1132" s="37" t="inlineStr">
        <is>
          <t>Check Aspirant Registration Forms and related documents.</t>
        </is>
      </c>
      <c r="G1132" s="37" t="inlineStr">
        <is>
          <t>All is Well</t>
        </is>
      </c>
    </row>
    <row r="1133">
      <c r="A1133" s="37" t="inlineStr">
        <is>
          <t>Gagandeep Singh Sachar</t>
        </is>
      </c>
      <c r="B1133" s="37" t="inlineStr">
        <is>
          <t>Swargate</t>
        </is>
      </c>
      <c r="C1133" s="37" t="inlineStr">
        <is>
          <t>GROW</t>
        </is>
      </c>
      <c r="D1133" s="37" t="inlineStr">
        <is>
          <t>2026-07-15</t>
        </is>
      </c>
      <c r="E1133" s="37" t="inlineStr">
        <is>
          <t>Data Check</t>
        </is>
      </c>
      <c r="F1133" s="37" t="inlineStr">
        <is>
          <t>On the GROW portal, confirm all student profile details and batch updates are currect.</t>
        </is>
      </c>
      <c r="G1133" s="37" t="inlineStr">
        <is>
          <t>All is Well</t>
        </is>
      </c>
    </row>
    <row r="1134">
      <c r="A1134" s="37" t="inlineStr">
        <is>
          <t>Gagandeep Singh Sachar</t>
        </is>
      </c>
      <c r="B1134" s="37" t="inlineStr">
        <is>
          <t>Swargate</t>
        </is>
      </c>
      <c r="C1134" s="37" t="inlineStr">
        <is>
          <t>GROW</t>
        </is>
      </c>
      <c r="D1134" s="37" t="inlineStr">
        <is>
          <t>2026-07-15</t>
        </is>
      </c>
      <c r="E1134" s="37" t="inlineStr">
        <is>
          <t>Data Check</t>
        </is>
      </c>
      <c r="F1134" s="37" t="inlineStr">
        <is>
          <t>Verify placement data — randomly call 3–4 alumni placed in the last 3 months to confirm veracity (random selection is essential).</t>
        </is>
      </c>
      <c r="G1134" s="37" t="inlineStr">
        <is>
          <t>All is Well</t>
        </is>
      </c>
    </row>
    <row r="1135">
      <c r="A1135" s="37" t="inlineStr">
        <is>
          <t>Gagandeep Singh Sachar</t>
        </is>
      </c>
      <c r="B1135" s="37" t="inlineStr">
        <is>
          <t>Swargate</t>
        </is>
      </c>
      <c r="C1135" s="37" t="inlineStr">
        <is>
          <t>GROW</t>
        </is>
      </c>
      <c r="D1135" s="37" t="inlineStr">
        <is>
          <t>2026-07-15</t>
        </is>
      </c>
      <c r="E1135" s="37" t="inlineStr">
        <is>
          <t>Data Check</t>
        </is>
      </c>
      <c r="F1135" s="37" t="inlineStr">
        <is>
          <t>Verify retention — check the Alumni Hand-holding Format is being updated as designed.</t>
        </is>
      </c>
      <c r="G1135" s="37" t="inlineStr">
        <is>
          <t>Need Improvement</t>
        </is>
      </c>
    </row>
    <row r="1136">
      <c r="A1136" s="37" t="inlineStr">
        <is>
          <t>Gagandeep Singh Sachar</t>
        </is>
      </c>
      <c r="B1136" s="37" t="inlineStr">
        <is>
          <t>Swargate</t>
        </is>
      </c>
      <c r="C1136" s="37" t="inlineStr">
        <is>
          <t>GROW</t>
        </is>
      </c>
      <c r="D1136" s="37" t="inlineStr">
        <is>
          <t>2026-07-15</t>
        </is>
      </c>
      <c r="E1136" s="37" t="inlineStr">
        <is>
          <t>Data Check</t>
        </is>
      </c>
      <c r="F1136" s="37" t="inlineStr">
        <is>
          <t>Check aspirant Hostel Forms are properly filled or not.</t>
        </is>
      </c>
      <c r="G1136" s="37" t="inlineStr">
        <is>
          <t>Not Applicable</t>
        </is>
      </c>
    </row>
    <row r="1137">
      <c r="A1137" s="37" t="inlineStr">
        <is>
          <t>Gagandeep Singh Sachar</t>
        </is>
      </c>
      <c r="B1137" s="37" t="inlineStr">
        <is>
          <t>Swargate</t>
        </is>
      </c>
      <c r="C1137" s="37" t="inlineStr">
        <is>
          <t>GROW</t>
        </is>
      </c>
      <c r="D1137" s="37" t="inlineStr">
        <is>
          <t>2026-07-15</t>
        </is>
      </c>
      <c r="E1137" s="37" t="inlineStr">
        <is>
          <t>Infra Check</t>
        </is>
      </c>
      <c r="F1137" s="37" t="inlineStr">
        <is>
          <t>Check all CCTV cameras; if any are not working, ask the AH to troubleshoot or call the vendor.</t>
        </is>
      </c>
      <c r="G1137" s="37" t="inlineStr">
        <is>
          <t>All is Well</t>
        </is>
      </c>
    </row>
    <row r="1138">
      <c r="A1138" s="37" t="inlineStr">
        <is>
          <t>Gagandeep Singh Sachar</t>
        </is>
      </c>
      <c r="B1138" s="37" t="inlineStr">
        <is>
          <t>Swargate</t>
        </is>
      </c>
      <c r="C1138" s="37" t="inlineStr">
        <is>
          <t>GROW</t>
        </is>
      </c>
      <c r="D1138" s="37" t="inlineStr">
        <is>
          <t>2026-07-15</t>
        </is>
      </c>
      <c r="E1138" s="37" t="inlineStr">
        <is>
          <t>Infra Check</t>
        </is>
      </c>
      <c r="F1138" s="37" t="inlineStr">
        <is>
          <t>Check for any scrap material and get it cleared, with support of Admin</t>
        </is>
      </c>
      <c r="G1138" s="37" t="inlineStr">
        <is>
          <t>All is Well</t>
        </is>
      </c>
    </row>
    <row r="1139">
      <c r="A1139" s="37" t="inlineStr">
        <is>
          <t>Gagandeep Singh Sachar</t>
        </is>
      </c>
      <c r="B1139" s="37" t="inlineStr">
        <is>
          <t>Swargate</t>
        </is>
      </c>
      <c r="C1139" s="37" t="inlineStr">
        <is>
          <t>GROW</t>
        </is>
      </c>
      <c r="D1139" s="37" t="inlineStr">
        <is>
          <t>2026-07-15</t>
        </is>
      </c>
      <c r="E1139" s="37" t="inlineStr">
        <is>
          <t>Infra Check</t>
        </is>
      </c>
      <c r="F1139" s="37" t="inlineStr">
        <is>
          <t>Check for any pending infra repairs.</t>
        </is>
      </c>
      <c r="G1139" s="37" t="inlineStr">
        <is>
          <t>All is Well</t>
        </is>
      </c>
    </row>
    <row r="1140">
      <c r="A1140" s="37" t="inlineStr">
        <is>
          <t>Gagandeep Singh Sachar</t>
        </is>
      </c>
      <c r="B1140" s="37" t="inlineStr">
        <is>
          <t>Swargate</t>
        </is>
      </c>
      <c r="C1140" s="37" t="inlineStr">
        <is>
          <t>GROW</t>
        </is>
      </c>
      <c r="D1140" s="37" t="inlineStr">
        <is>
          <t>2026-07-15</t>
        </is>
      </c>
      <c r="E1140" s="37" t="inlineStr">
        <is>
          <t>Infra Check</t>
        </is>
      </c>
      <c r="F1140" s="37" t="inlineStr">
        <is>
          <t>Check whether any fire extinguishers have expired (check the needle and expiry date both).</t>
        </is>
      </c>
      <c r="G1140" s="37" t="inlineStr">
        <is>
          <t>All is Well</t>
        </is>
      </c>
    </row>
    <row r="1141">
      <c r="A1141" s="37" t="inlineStr">
        <is>
          <t>Gagandeep Singh Sachar</t>
        </is>
      </c>
      <c r="B1141" s="37" t="inlineStr">
        <is>
          <t>Swargate</t>
        </is>
      </c>
      <c r="C1141" s="37" t="inlineStr">
        <is>
          <t>GROW</t>
        </is>
      </c>
      <c r="D1141" s="37" t="inlineStr">
        <is>
          <t>2026-07-15</t>
        </is>
      </c>
      <c r="E1141" s="37" t="inlineStr">
        <is>
          <t>Infra Check</t>
        </is>
      </c>
      <c r="F1141" s="37" t="inlineStr">
        <is>
          <t>Check basic cleanliness of the washrooms and the centre.</t>
        </is>
      </c>
      <c r="G1141" s="37" t="inlineStr">
        <is>
          <t>All is Well</t>
        </is>
      </c>
    </row>
    <row r="1142">
      <c r="A1142" s="37" t="inlineStr">
        <is>
          <t>Gagandeep Singh Sachar</t>
        </is>
      </c>
      <c r="B1142" s="37" t="inlineStr">
        <is>
          <t>Swargate</t>
        </is>
      </c>
      <c r="C1142" s="37" t="inlineStr">
        <is>
          <t>GROW</t>
        </is>
      </c>
      <c r="D1142" s="37" t="inlineStr">
        <is>
          <t>2026-07-15</t>
        </is>
      </c>
      <c r="E1142" s="37" t="inlineStr">
        <is>
          <t>Infra Check</t>
        </is>
      </c>
      <c r="F1142" s="37" t="inlineStr">
        <is>
          <t>Confirm the correct program and partner logos are displayed.</t>
        </is>
      </c>
      <c r="G1142" s="37" t="inlineStr">
        <is>
          <t>All is Well</t>
        </is>
      </c>
    </row>
    <row r="1143">
      <c r="A1143" s="37" t="inlineStr">
        <is>
          <t>Gagandeep Singh Sachar</t>
        </is>
      </c>
      <c r="B1143" s="37" t="inlineStr">
        <is>
          <t>Swargate</t>
        </is>
      </c>
      <c r="C1143" s="37" t="inlineStr">
        <is>
          <t>GROW</t>
        </is>
      </c>
      <c r="D1143" s="37" t="inlineStr">
        <is>
          <t>2026-07-15</t>
        </is>
      </c>
      <c r="E1143" s="37" t="inlineStr">
        <is>
          <t>Infra Check</t>
        </is>
      </c>
      <c r="F1143" s="37" t="inlineStr">
        <is>
          <t>Check the status of digital infra — PCs, smartboards, tablets, laptops, etc.</t>
        </is>
      </c>
      <c r="G1143" s="37" t="inlineStr">
        <is>
          <t>All is Well</t>
        </is>
      </c>
    </row>
    <row r="1144">
      <c r="A1144" s="37" t="inlineStr">
        <is>
          <t>Gagandeep Singh Sachar</t>
        </is>
      </c>
      <c r="B1144" s="37" t="inlineStr">
        <is>
          <t>Swargate</t>
        </is>
      </c>
      <c r="C1144" s="37" t="inlineStr">
        <is>
          <t>GROW</t>
        </is>
      </c>
      <c r="D1144" s="37" t="inlineStr">
        <is>
          <t>2026-07-15</t>
        </is>
      </c>
      <c r="E1144" s="37" t="inlineStr">
        <is>
          <t>Infra Check</t>
        </is>
      </c>
      <c r="F1144" s="37" t="inlineStr">
        <is>
          <t>Make a quick hostel visit; have lunch there if possible to test the food quality.</t>
        </is>
      </c>
      <c r="G1144" s="37" t="inlineStr">
        <is>
          <t>Not Applicable</t>
        </is>
      </c>
    </row>
    <row r="1145">
      <c r="A1145" s="37" t="inlineStr">
        <is>
          <t>Gagandeep Singh Sachar</t>
        </is>
      </c>
      <c r="B1145" s="37" t="inlineStr">
        <is>
          <t>Swargate</t>
        </is>
      </c>
      <c r="C1145" s="37" t="inlineStr">
        <is>
          <t>GROW</t>
        </is>
      </c>
      <c r="D1145" s="37" t="inlineStr">
        <is>
          <t>2026-07-15</t>
        </is>
      </c>
      <c r="E1145" s="37" t="inlineStr">
        <is>
          <t>Process Check</t>
        </is>
      </c>
      <c r="F1145" s="37" t="inlineStr">
        <is>
          <t>Refer to the activity planner — check if any activities are delayed.</t>
        </is>
      </c>
      <c r="G1145" s="37" t="inlineStr">
        <is>
          <t>Not Applicable</t>
        </is>
      </c>
    </row>
    <row r="1146">
      <c r="A1146" s="37" t="inlineStr">
        <is>
          <t>Gagandeep Singh Sachar</t>
        </is>
      </c>
      <c r="B1146" s="37" t="inlineStr">
        <is>
          <t>Swargate</t>
        </is>
      </c>
      <c r="C1146" s="37" t="inlineStr">
        <is>
          <t>GROW</t>
        </is>
      </c>
      <c r="D1146" s="37" t="inlineStr">
        <is>
          <t>2026-07-15</t>
        </is>
      </c>
      <c r="E1146" s="37" t="inlineStr">
        <is>
          <t>Process Check</t>
        </is>
      </c>
      <c r="F1146" s="37" t="inlineStr">
        <is>
          <t>Check planning for the next batch-start announcement.</t>
        </is>
      </c>
      <c r="G1146" s="37" t="inlineStr">
        <is>
          <t>All is Well</t>
        </is>
      </c>
    </row>
    <row r="1147">
      <c r="A1147" s="37" t="inlineStr">
        <is>
          <t>Gagandeep Singh Sachar</t>
        </is>
      </c>
      <c r="B1147" s="37" t="inlineStr">
        <is>
          <t>Swargate</t>
        </is>
      </c>
      <c r="C1147" s="37" t="inlineStr">
        <is>
          <t>GROW</t>
        </is>
      </c>
      <c r="D1147" s="37" t="inlineStr">
        <is>
          <t>2026-07-15</t>
        </is>
      </c>
      <c r="E1147" s="37" t="inlineStr">
        <is>
          <t>Process Check</t>
        </is>
      </c>
      <c r="F1147" s="37" t="inlineStr">
        <is>
          <t>Check if any hiring is delayed and plan a resolution.</t>
        </is>
      </c>
      <c r="G1147" s="37" t="inlineStr">
        <is>
          <t>All is Well</t>
        </is>
      </c>
    </row>
    <row r="1148">
      <c r="A1148" s="37" t="inlineStr">
        <is>
          <t>Gagandeep Singh Sachar</t>
        </is>
      </c>
      <c r="B1148" s="37" t="inlineStr">
        <is>
          <t>Swargate</t>
        </is>
      </c>
      <c r="C1148" s="37" t="inlineStr">
        <is>
          <t>GROW</t>
        </is>
      </c>
      <c r="D1148" s="37" t="inlineStr">
        <is>
          <t>2026-07-15</t>
        </is>
      </c>
      <c r="E1148" s="37" t="inlineStr">
        <is>
          <t>Process Check</t>
        </is>
      </c>
      <c r="F1148" s="37" t="inlineStr">
        <is>
          <t>Check the CA’s diary — is CA guided daily by the AH during planning days?</t>
        </is>
      </c>
      <c r="G1148" s="37" t="inlineStr">
        <is>
          <t>All is Well</t>
        </is>
      </c>
    </row>
    <row r="1149">
      <c r="A1149" s="37" t="inlineStr">
        <is>
          <t>Gagandeep Singh Sachar</t>
        </is>
      </c>
      <c r="B1149" s="37" t="inlineStr">
        <is>
          <t>Swargate</t>
        </is>
      </c>
      <c r="C1149" s="37" t="inlineStr">
        <is>
          <t>GROW</t>
        </is>
      </c>
      <c r="D1149" s="37" t="inlineStr">
        <is>
          <t>2026-07-15</t>
        </is>
      </c>
      <c r="E1149" s="37" t="inlineStr">
        <is>
          <t>Process Check</t>
        </is>
      </c>
      <c r="F1149" s="37" t="inlineStr">
        <is>
          <t>Check the AH is regularly meeting employers (in person and online) and updating the centre’s Top 20 Employer format.</t>
        </is>
      </c>
      <c r="G1149" s="37" t="inlineStr">
        <is>
          <t>All is Well</t>
        </is>
      </c>
    </row>
    <row r="1150">
      <c r="A1150" s="37" t="inlineStr">
        <is>
          <t>Gagandeep Singh Sachar</t>
        </is>
      </c>
      <c r="B1150" s="37" t="inlineStr">
        <is>
          <t>Swargate</t>
        </is>
      </c>
      <c r="C1150" s="37" t="inlineStr">
        <is>
          <t>GROW</t>
        </is>
      </c>
      <c r="D1150" s="37" t="inlineStr">
        <is>
          <t>2026-07-15</t>
        </is>
      </c>
      <c r="E1150" s="37" t="inlineStr">
        <is>
          <t>Process Check</t>
        </is>
      </c>
      <c r="F1150" s="37" t="inlineStr">
        <is>
          <t>Confirm all new employers are registered on portal as per new process.</t>
        </is>
      </c>
      <c r="G1150" s="37" t="inlineStr">
        <is>
          <t>All is Well</t>
        </is>
      </c>
    </row>
    <row r="1151">
      <c r="A1151" s="37" t="inlineStr">
        <is>
          <t>Gagandeep Singh Sachar</t>
        </is>
      </c>
      <c r="B1151" s="37" t="inlineStr">
        <is>
          <t>Swargate</t>
        </is>
      </c>
      <c r="C1151" s="37" t="inlineStr">
        <is>
          <t>GROW</t>
        </is>
      </c>
      <c r="D1151" s="37" t="inlineStr">
        <is>
          <t>2026-07-15</t>
        </is>
      </c>
      <c r="E1151" s="37" t="inlineStr">
        <is>
          <t>Process Check</t>
        </is>
      </c>
      <c r="F1151" s="37" t="inlineStr">
        <is>
          <t>Confirm 100% of enrolled students undergone screening (for technical courses).</t>
        </is>
      </c>
      <c r="G1151" s="37" t="inlineStr">
        <is>
          <t>Not Applicable</t>
        </is>
      </c>
    </row>
    <row r="1152">
      <c r="A1152" s="37" t="inlineStr">
        <is>
          <t>Gagandeep Singh Sachar</t>
        </is>
      </c>
      <c r="B1152" s="37" t="inlineStr">
        <is>
          <t>Swargate</t>
        </is>
      </c>
      <c r="C1152" s="37" t="inlineStr">
        <is>
          <t>GROW</t>
        </is>
      </c>
      <c r="D1152" s="37" t="inlineStr">
        <is>
          <t>2026-07-15</t>
        </is>
      </c>
      <c r="E1152" s="37" t="inlineStr">
        <is>
          <t>Process Check</t>
        </is>
      </c>
      <c r="F1152" s="37" t="inlineStr">
        <is>
          <t>Confirm ESA is done (in GROW full ESA and in Technical courses relevant sections of Core Employability Part).</t>
        </is>
      </c>
      <c r="G1152" s="37" t="inlineStr">
        <is>
          <t>All is Well</t>
        </is>
      </c>
    </row>
    <row r="1153">
      <c r="A1153" s="37" t="inlineStr">
        <is>
          <t>Gagandeep Singh Sachar</t>
        </is>
      </c>
      <c r="B1153" s="37" t="inlineStr">
        <is>
          <t>Swargate</t>
        </is>
      </c>
      <c r="C1153" s="37" t="inlineStr">
        <is>
          <t>GROW</t>
        </is>
      </c>
      <c r="D1153" s="37" t="inlineStr">
        <is>
          <t>2026-07-15</t>
        </is>
      </c>
      <c r="E1153" s="37" t="inlineStr">
        <is>
          <t>Process Check</t>
        </is>
      </c>
      <c r="F1153" s="37" t="inlineStr">
        <is>
          <t>Check is AH giving capstone project in GROW Tech.</t>
        </is>
      </c>
      <c r="G1153" s="37" t="inlineStr">
        <is>
          <t>Not Applicable</t>
        </is>
      </c>
    </row>
    <row r="1154">
      <c r="A1154" s="37" t="inlineStr">
        <is>
          <t>Gagandeep Singh Sachar</t>
        </is>
      </c>
      <c r="B1154" s="37" t="inlineStr">
        <is>
          <t>Swargate</t>
        </is>
      </c>
      <c r="C1154" s="37" t="inlineStr">
        <is>
          <t>GROW</t>
        </is>
      </c>
      <c r="D1154" s="37" t="inlineStr">
        <is>
          <t>2026-07-15</t>
        </is>
      </c>
      <c r="E1154" s="37" t="inlineStr">
        <is>
          <t>Process Check</t>
        </is>
      </c>
      <c r="F1154" s="37" t="inlineStr">
        <is>
          <t>Check is AH planning OJT as per guidelines and proofs are collected for technical courses.</t>
        </is>
      </c>
      <c r="G1154" s="37" t="inlineStr">
        <is>
          <t>Not Applicable</t>
        </is>
      </c>
    </row>
    <row r="1155">
      <c r="A1155" s="37" t="inlineStr">
        <is>
          <t>Gagandeep Singh Sachar</t>
        </is>
      </c>
      <c r="B1155" s="37" t="inlineStr">
        <is>
          <t>Swargate</t>
        </is>
      </c>
      <c r="C1155" s="37" t="inlineStr">
        <is>
          <t>GROW</t>
        </is>
      </c>
      <c r="D1155" s="37" t="inlineStr">
        <is>
          <t>2026-07-15</t>
        </is>
      </c>
      <c r="E1155" s="37" t="inlineStr">
        <is>
          <t>Process Check</t>
        </is>
      </c>
      <c r="F1155" s="37" t="inlineStr">
        <is>
          <t>Check are trainers contacting aspirants to find reason for their absenteeism of more than 1 day.</t>
        </is>
      </c>
      <c r="G1155" s="37" t="inlineStr">
        <is>
          <t>All is Well</t>
        </is>
      </c>
    </row>
    <row r="1156">
      <c r="A1156" s="37" t="inlineStr">
        <is>
          <t>Gagandeep Singh Sachar</t>
        </is>
      </c>
      <c r="B1156" s="37" t="inlineStr">
        <is>
          <t>Swargate</t>
        </is>
      </c>
      <c r="C1156" s="37" t="inlineStr">
        <is>
          <t>GROW</t>
        </is>
      </c>
      <c r="D1156" s="37" t="inlineStr">
        <is>
          <t>2026-07-15</t>
        </is>
      </c>
      <c r="E1156" s="37" t="inlineStr">
        <is>
          <t>Process Check</t>
        </is>
      </c>
      <c r="F1156" s="37" t="inlineStr">
        <is>
          <t>Check the AH plans monthly enrolment and placement numbers by the 3rd of each month and shares them with second level managers.</t>
        </is>
      </c>
      <c r="G1156" s="37" t="inlineStr">
        <is>
          <t>All is Well</t>
        </is>
      </c>
    </row>
    <row r="1157">
      <c r="A1157" s="37" t="inlineStr">
        <is>
          <t>Gagandeep Singh Sachar</t>
        </is>
      </c>
      <c r="B1157" s="37" t="inlineStr">
        <is>
          <t>Swargate</t>
        </is>
      </c>
      <c r="C1157" s="37" t="inlineStr">
        <is>
          <t>GROW</t>
        </is>
      </c>
      <c r="D1157" s="37" t="inlineStr">
        <is>
          <t>2026-07-15</t>
        </is>
      </c>
      <c r="E1157" s="37" t="inlineStr">
        <is>
          <t>Process Check</t>
        </is>
      </c>
      <c r="F1157" s="37" t="inlineStr">
        <is>
          <t>Check trainers submit aspirants’ placement interest areas to the AH by the batch’s 25th day (in GROW).</t>
        </is>
      </c>
      <c r="G1157" s="37" t="inlineStr">
        <is>
          <t>All is Well</t>
        </is>
      </c>
    </row>
    <row r="1158">
      <c r="A1158" s="37" t="inlineStr">
        <is>
          <t>Gagandeep Singh Sachar</t>
        </is>
      </c>
      <c r="B1158" s="37" t="inlineStr">
        <is>
          <t>Swargate</t>
        </is>
      </c>
      <c r="C1158" s="37" t="inlineStr">
        <is>
          <t>GROW</t>
        </is>
      </c>
      <c r="D1158" s="37" t="inlineStr">
        <is>
          <t>2026-07-15</t>
        </is>
      </c>
      <c r="E1158" s="37" t="inlineStr">
        <is>
          <t>Process Check</t>
        </is>
      </c>
      <c r="F1158" s="37" t="inlineStr">
        <is>
          <t>Ckeck For technical programs, placement is done only in technical jobs,on which aspirants are trained and relevant emplyers are identified by 45th day.</t>
        </is>
      </c>
      <c r="G1158" s="37" t="inlineStr">
        <is>
          <t>Not Applicable</t>
        </is>
      </c>
    </row>
    <row r="1159">
      <c r="A1159" s="37" t="inlineStr">
        <is>
          <t>Gagandeep Singh Sachar</t>
        </is>
      </c>
      <c r="B1159" s="37" t="inlineStr">
        <is>
          <t>Swargate</t>
        </is>
      </c>
      <c r="C1159" s="37" t="inlineStr">
        <is>
          <t>GROW</t>
        </is>
      </c>
      <c r="D1159" s="37" t="inlineStr">
        <is>
          <t>2026-07-15</t>
        </is>
      </c>
      <c r="E1159" s="37" t="inlineStr">
        <is>
          <t>Process Check</t>
        </is>
      </c>
      <c r="F1159" s="37" t="inlineStr">
        <is>
          <t>Check the AH follows EP guidelines and minimum benchmark salary guidelines.</t>
        </is>
      </c>
      <c r="G1159" s="37" t="inlineStr">
        <is>
          <t>All is Well</t>
        </is>
      </c>
    </row>
    <row r="1160">
      <c r="A1160" s="37" t="inlineStr">
        <is>
          <t>Gagandeep Singh Sachar</t>
        </is>
      </c>
      <c r="B1160" s="37" t="inlineStr">
        <is>
          <t>Swargate</t>
        </is>
      </c>
      <c r="C1160" s="37" t="inlineStr">
        <is>
          <t>GROW</t>
        </is>
      </c>
      <c r="D1160" s="37" t="inlineStr">
        <is>
          <t>2026-07-15</t>
        </is>
      </c>
      <c r="E1160" s="37" t="inlineStr">
        <is>
          <t>Process Check</t>
        </is>
      </c>
      <c r="F1160" s="37" t="inlineStr">
        <is>
          <t>Check that AH is enrolling only the right traget group in the program -as per the defined target.</t>
        </is>
      </c>
      <c r="G1160" s="37" t="inlineStr">
        <is>
          <t>All is Well</t>
        </is>
      </c>
    </row>
    <row r="1161">
      <c r="A1161" s="37" t="inlineStr">
        <is>
          <t>Gagandeep Singh Sachar</t>
        </is>
      </c>
      <c r="B1161" s="37" t="inlineStr">
        <is>
          <t>Swargate</t>
        </is>
      </c>
      <c r="C1161" s="37" t="inlineStr">
        <is>
          <t>GROW</t>
        </is>
      </c>
      <c r="D1161" s="37" t="inlineStr">
        <is>
          <t>2026-07-15</t>
        </is>
      </c>
      <c r="E1161" s="37" t="inlineStr">
        <is>
          <t>Process Check</t>
        </is>
      </c>
      <c r="F1161" s="37" t="inlineStr">
        <is>
          <t>Check the AH announces the next batch-start date by the 3rd of the month on all notice boards — focus on Zero-Day start.</t>
        </is>
      </c>
      <c r="G1161" s="37" t="inlineStr">
        <is>
          <t>All is Well</t>
        </is>
      </c>
    </row>
    <row r="1162">
      <c r="A1162" s="37" t="inlineStr">
        <is>
          <t>Gagandeep Singh Sachar</t>
        </is>
      </c>
      <c r="B1162" s="37" t="inlineStr">
        <is>
          <t>Swargate</t>
        </is>
      </c>
      <c r="C1162" s="37" t="inlineStr">
        <is>
          <t>GROW</t>
        </is>
      </c>
      <c r="D1162" s="37" t="inlineStr">
        <is>
          <t>2026-07-15</t>
        </is>
      </c>
      <c r="E1162" s="37" t="inlineStr">
        <is>
          <t>Process Check</t>
        </is>
      </c>
      <c r="F1162" s="37" t="inlineStr">
        <is>
          <t>Check the Aspirant Mock Interview Score Tracker is updated after every mock interview in the L&amp;D Google Sheet.</t>
        </is>
      </c>
      <c r="G1162" s="37" t="inlineStr">
        <is>
          <t>All is Well</t>
        </is>
      </c>
    </row>
    <row r="1163">
      <c r="A1163" s="37" t="inlineStr">
        <is>
          <t>Gagandeep Singh Sachar</t>
        </is>
      </c>
      <c r="B1163" s="37" t="inlineStr">
        <is>
          <t>Swargate</t>
        </is>
      </c>
      <c r="C1163" s="37" t="inlineStr">
        <is>
          <t>GROW</t>
        </is>
      </c>
      <c r="D1163" s="37" t="inlineStr">
        <is>
          <t>2026-07-15</t>
        </is>
      </c>
      <c r="E1163" s="37" t="inlineStr">
        <is>
          <t>Process Check</t>
        </is>
      </c>
      <c r="F1163" s="37" t="inlineStr">
        <is>
          <t>Confirm NPS (Net Promoter Score) is collected at MSDF centres.</t>
        </is>
      </c>
      <c r="G1163" s="37" t="inlineStr">
        <is>
          <t>Not Applicable</t>
        </is>
      </c>
    </row>
    <row r="1164">
      <c r="A1164" s="37" t="inlineStr">
        <is>
          <t>Gagandeep Singh Sachar</t>
        </is>
      </c>
      <c r="B1164" s="37" t="inlineStr">
        <is>
          <t>Swargate</t>
        </is>
      </c>
      <c r="C1164" s="37" t="inlineStr">
        <is>
          <t>GROW</t>
        </is>
      </c>
      <c r="D1164" s="37" t="inlineStr">
        <is>
          <t>2026-07-15</t>
        </is>
      </c>
      <c r="E1164" s="37" t="inlineStr">
        <is>
          <t>Process Check</t>
        </is>
      </c>
      <c r="F1164" s="37" t="inlineStr">
        <is>
          <t>Confirm that QAE is collecting student feedback for every batch.</t>
        </is>
      </c>
      <c r="G1164" s="37" t="inlineStr">
        <is>
          <t>All is Well</t>
        </is>
      </c>
    </row>
    <row r="1165">
      <c r="A1165" s="37" t="inlineStr">
        <is>
          <t>Gagandeep Singh Sachar</t>
        </is>
      </c>
      <c r="B1165" s="37" t="inlineStr">
        <is>
          <t>Swargate</t>
        </is>
      </c>
      <c r="C1165" s="37" t="inlineStr">
        <is>
          <t>GROW</t>
        </is>
      </c>
      <c r="D1165" s="37" t="inlineStr">
        <is>
          <t>2026-07-15</t>
        </is>
      </c>
      <c r="E1165" s="37" t="inlineStr">
        <is>
          <t>Process Check</t>
        </is>
      </c>
      <c r="F1165" s="37" t="inlineStr">
        <is>
          <t>Confirm all centre teams have completed the GROW Manual Course on Skillfy — ask for achievement certificates.</t>
        </is>
      </c>
      <c r="G1165" s="37" t="inlineStr">
        <is>
          <t>All is Well</t>
        </is>
      </c>
    </row>
    <row r="1166">
      <c r="A1166" s="37" t="inlineStr">
        <is>
          <t>Gagandeep Singh Sachar</t>
        </is>
      </c>
      <c r="B1166" s="37" t="inlineStr">
        <is>
          <t>Swargate</t>
        </is>
      </c>
      <c r="C1166" s="37" t="inlineStr">
        <is>
          <t>GROW</t>
        </is>
      </c>
      <c r="D1166" s="37" t="inlineStr">
        <is>
          <t>2026-07-15</t>
        </is>
      </c>
      <c r="E1166" s="37" t="inlineStr">
        <is>
          <t>Process Check</t>
        </is>
      </c>
      <c r="F1166" s="37" t="inlineStr">
        <is>
          <t>Check AH holds a quality weekly team meeting, documents action points in the weekly meeting format, and sends you a photo on WhatsApp.</t>
        </is>
      </c>
      <c r="G1166" s="37" t="inlineStr">
        <is>
          <t>All is Well</t>
        </is>
      </c>
    </row>
    <row r="1167">
      <c r="A1167" s="37" t="inlineStr">
        <is>
          <t>Gagandeep Singh Sachar</t>
        </is>
      </c>
      <c r="B1167" s="37" t="inlineStr">
        <is>
          <t>Swargate</t>
        </is>
      </c>
      <c r="C1167" s="37" t="inlineStr">
        <is>
          <t>GROW</t>
        </is>
      </c>
      <c r="D1167" s="37" t="inlineStr">
        <is>
          <t>2026-07-15</t>
        </is>
      </c>
      <c r="E1167" s="37" t="inlineStr">
        <is>
          <t>Aspirant Interaction</t>
        </is>
      </c>
      <c r="F1167" s="37" t="inlineStr">
        <is>
          <t>Ask aspirants about the session plan — confirm training is happening as planned?</t>
        </is>
      </c>
      <c r="G1167" s="37" t="inlineStr">
        <is>
          <t>All is Well</t>
        </is>
      </c>
    </row>
    <row r="1168">
      <c r="A1168" s="37" t="inlineStr">
        <is>
          <t>Gagandeep Singh Sachar</t>
        </is>
      </c>
      <c r="B1168" s="37" t="inlineStr">
        <is>
          <t>Swargate</t>
        </is>
      </c>
      <c r="C1168" s="37" t="inlineStr">
        <is>
          <t>GROW</t>
        </is>
      </c>
      <c r="D1168" s="37" t="inlineStr">
        <is>
          <t>2026-07-15</t>
        </is>
      </c>
      <c r="E1168" s="37" t="inlineStr">
        <is>
          <t>Aspirant Interaction</t>
        </is>
      </c>
      <c r="F1168" s="37" t="inlineStr">
        <is>
          <t>Ask about the quality of Core Employability component delivery (technical centres) and who delivers it.</t>
        </is>
      </c>
      <c r="G1168" s="37" t="inlineStr">
        <is>
          <t>All is Well</t>
        </is>
      </c>
    </row>
    <row r="1169">
      <c r="A1169" s="37" t="inlineStr">
        <is>
          <t>Gagandeep Singh Sachar</t>
        </is>
      </c>
      <c r="B1169" s="37" t="inlineStr">
        <is>
          <t>Swargate</t>
        </is>
      </c>
      <c r="C1169" s="37" t="inlineStr">
        <is>
          <t>GROW</t>
        </is>
      </c>
      <c r="D1169" s="37" t="inlineStr">
        <is>
          <t>2026-07-15</t>
        </is>
      </c>
      <c r="E1169" s="37" t="inlineStr">
        <is>
          <t>Aspirant Interaction</t>
        </is>
      </c>
      <c r="F1169" s="37" t="inlineStr">
        <is>
          <t>Ask whether they are aware of the referral scheme?</t>
        </is>
      </c>
      <c r="G1169" s="37" t="inlineStr">
        <is>
          <t>All is Well</t>
        </is>
      </c>
    </row>
    <row r="1170">
      <c r="A1170" s="37" t="inlineStr">
        <is>
          <t>Gagandeep Singh Sachar</t>
        </is>
      </c>
      <c r="B1170" s="37" t="inlineStr">
        <is>
          <t>Swargate</t>
        </is>
      </c>
      <c r="C1170" s="37" t="inlineStr">
        <is>
          <t>GROW</t>
        </is>
      </c>
      <c r="D1170" s="37" t="inlineStr">
        <is>
          <t>2026-07-15</t>
        </is>
      </c>
      <c r="E1170" s="37" t="inlineStr">
        <is>
          <t>Aspirant Interaction</t>
        </is>
      </c>
      <c r="F1170" s="37" t="inlineStr">
        <is>
          <t>Ask whether the AH explained the importance of the offer letter and sharing it with us once received for reporting purposes?</t>
        </is>
      </c>
      <c r="G1170" s="37" t="inlineStr">
        <is>
          <t>All is Well</t>
        </is>
      </c>
    </row>
    <row r="1171">
      <c r="A1171" s="37" t="inlineStr">
        <is>
          <t>Gagandeep Singh Sachar</t>
        </is>
      </c>
      <c r="B1171" s="37" t="inlineStr">
        <is>
          <t>Swargate</t>
        </is>
      </c>
      <c r="C1171" s="37" t="inlineStr">
        <is>
          <t>GROW</t>
        </is>
      </c>
      <c r="D1171" s="37" t="inlineStr">
        <is>
          <t>2026-07-15</t>
        </is>
      </c>
      <c r="E1171" s="37" t="inlineStr">
        <is>
          <t>Aspirant Interaction</t>
        </is>
      </c>
      <c r="F1171" s="37" t="inlineStr">
        <is>
          <t>Ask how many are not interested in jobs — and if so, why they enrolled in the programme?</t>
        </is>
      </c>
      <c r="G1171" s="37" t="inlineStr">
        <is>
          <t>All is Well</t>
        </is>
      </c>
    </row>
    <row r="1172">
      <c r="A1172" s="37" t="inlineStr">
        <is>
          <t>Gagandeep Singh Sachar</t>
        </is>
      </c>
      <c r="B1172" s="37" t="inlineStr">
        <is>
          <t>Swargate</t>
        </is>
      </c>
      <c r="C1172" s="37" t="inlineStr">
        <is>
          <t>GROW</t>
        </is>
      </c>
      <c r="D1172" s="37" t="inlineStr">
        <is>
          <t>2026-07-15</t>
        </is>
      </c>
      <c r="E1172" s="37" t="inlineStr">
        <is>
          <t>Aspirant Interaction</t>
        </is>
      </c>
      <c r="F1172" s="37" t="inlineStr">
        <is>
          <t>Ask whether they were told the kind of job they would get during counselling?</t>
        </is>
      </c>
      <c r="G1172" s="37" t="inlineStr">
        <is>
          <t>All is Well</t>
        </is>
      </c>
    </row>
    <row r="1173">
      <c r="A1173" s="37" t="inlineStr">
        <is>
          <t>Gagandeep Singh Sachar</t>
        </is>
      </c>
      <c r="B1173" s="37" t="inlineStr">
        <is>
          <t>Swargate</t>
        </is>
      </c>
      <c r="C1173" s="37" t="inlineStr">
        <is>
          <t>GROW</t>
        </is>
      </c>
      <c r="D1173" s="37" t="inlineStr">
        <is>
          <t>2026-07-15</t>
        </is>
      </c>
      <c r="E1173" s="37" t="inlineStr">
        <is>
          <t>Aspirant Interaction</t>
        </is>
      </c>
      <c r="F1173" s="37" t="inlineStr">
        <is>
          <t>Ask whether they have been given LMS access?</t>
        </is>
      </c>
      <c r="G1173" s="37" t="inlineStr">
        <is>
          <t>All is Well</t>
        </is>
      </c>
    </row>
    <row r="1174">
      <c r="A1174" s="37" t="inlineStr">
        <is>
          <t>Gagandeep Singh Sachar</t>
        </is>
      </c>
      <c r="B1174" s="37" t="inlineStr">
        <is>
          <t>Swargate</t>
        </is>
      </c>
      <c r="C1174" s="37" t="inlineStr">
        <is>
          <t>GROW</t>
        </is>
      </c>
      <c r="D1174" s="37" t="inlineStr">
        <is>
          <t>2026-07-15</t>
        </is>
      </c>
      <c r="E1174" s="37" t="inlineStr">
        <is>
          <t>Aspirant Interaction</t>
        </is>
      </c>
      <c r="F1174" s="37" t="inlineStr">
        <is>
          <t>Ask whether anyone asked them for money for training or placement?</t>
        </is>
      </c>
      <c r="G1174" s="37" t="inlineStr">
        <is>
          <t>All is Well</t>
        </is>
      </c>
    </row>
    <row r="1175">
      <c r="A1175" s="37" t="inlineStr">
        <is>
          <t>Gagandeep Singh Sachar</t>
        </is>
      </c>
      <c r="B1175" s="37" t="inlineStr">
        <is>
          <t>Swargate</t>
        </is>
      </c>
      <c r="C1175" s="37" t="inlineStr">
        <is>
          <t>GROW</t>
        </is>
      </c>
      <c r="D1175" s="37" t="inlineStr">
        <is>
          <t>2026-07-15</t>
        </is>
      </c>
      <c r="E1175" s="37" t="inlineStr">
        <is>
          <t>Aspirant Interaction</t>
        </is>
      </c>
      <c r="F1175" s="37" t="inlineStr">
        <is>
          <t>Ask to show their mobile phones — are they enrolled on Skillfy? If not, get them enrolled and give written feedback to trainers and the AH in your presence.</t>
        </is>
      </c>
      <c r="G1175" s="37" t="inlineStr">
        <is>
          <t>All is Well</t>
        </is>
      </c>
    </row>
    <row r="1176">
      <c r="A1176" s="37" t="inlineStr">
        <is>
          <t>Gagandeep Singh Sachar</t>
        </is>
      </c>
      <c r="B1176" s="37" t="inlineStr">
        <is>
          <t>Swargate</t>
        </is>
      </c>
      <c r="C1176" s="37" t="inlineStr">
        <is>
          <t>GROW</t>
        </is>
      </c>
      <c r="D1176" s="37" t="inlineStr">
        <is>
          <t>2026-07-15</t>
        </is>
      </c>
      <c r="E1176" s="37" t="inlineStr">
        <is>
          <t>Aspirant Interaction</t>
        </is>
      </c>
      <c r="F1176" s="37" t="inlineStr">
        <is>
          <t>Ask about the quality of the hostel and any issues they face.</t>
        </is>
      </c>
      <c r="G1176" s="37" t="inlineStr">
        <is>
          <t>Not Applicable</t>
        </is>
      </c>
    </row>
    <row r="1177">
      <c r="A1177" s="37" t="inlineStr">
        <is>
          <t>Gagandeep Singh Sachar</t>
        </is>
      </c>
      <c r="B1177" s="37" t="inlineStr">
        <is>
          <t>Swargate</t>
        </is>
      </c>
      <c r="C1177" s="37" t="inlineStr">
        <is>
          <t>GROW</t>
        </is>
      </c>
      <c r="D1177" s="37" t="inlineStr">
        <is>
          <t>2026-07-15</t>
        </is>
      </c>
      <c r="E1177" s="37" t="inlineStr">
        <is>
          <t>Aspirant Interaction</t>
        </is>
      </c>
      <c r="F1177" s="37" t="inlineStr">
        <is>
          <t>Ask a few relevant screening questions to support the 10th-day report and remove non-serious candidates, explaining to them the reasons.</t>
        </is>
      </c>
      <c r="G1177" s="37" t="inlineStr">
        <is>
          <t>All is Well</t>
        </is>
      </c>
    </row>
    <row r="1178">
      <c r="A1178" s="37" t="inlineStr">
        <is>
          <t>Sanjay Kumar Tarai</t>
        </is>
      </c>
      <c r="B1178" s="37" t="inlineStr">
        <is>
          <t>Berhampur</t>
        </is>
      </c>
      <c r="C1178" s="37" t="inlineStr">
        <is>
          <t>CITI</t>
        </is>
      </c>
      <c r="D1178" s="37" t="inlineStr">
        <is>
          <t>2026-07-14</t>
        </is>
      </c>
      <c r="E1178" s="37" t="inlineStr">
        <is>
          <t>Data Check</t>
        </is>
      </c>
      <c r="F1178" s="37" t="inlineStr">
        <is>
          <t>Reach the centre on time (unannounced) — confirm the centre opened on time.</t>
        </is>
      </c>
      <c r="G1178" s="37" t="inlineStr">
        <is>
          <t>Need Improvement</t>
        </is>
      </c>
    </row>
    <row r="1179">
      <c r="A1179" s="37" t="inlineStr">
        <is>
          <t>Sanjay Kumar Tarai</t>
        </is>
      </c>
      <c r="B1179" s="37" t="inlineStr">
        <is>
          <t>Berhampur</t>
        </is>
      </c>
      <c r="C1179" s="37" t="inlineStr">
        <is>
          <t>CITI</t>
        </is>
      </c>
      <c r="D1179" s="37" t="inlineStr">
        <is>
          <t>2026-07-14</t>
        </is>
      </c>
      <c r="E1179" s="37" t="inlineStr">
        <is>
          <t>Data Check</t>
        </is>
      </c>
      <c r="F1179" s="37" t="inlineStr">
        <is>
          <t>Check the staff attendance register, the Google Sheet, and geo-tagged photos for aspirants.</t>
        </is>
      </c>
      <c r="G1179" s="37" t="inlineStr">
        <is>
          <t>All is Well</t>
        </is>
      </c>
    </row>
    <row r="1180">
      <c r="A1180" s="37" t="inlineStr">
        <is>
          <t>Sanjay Kumar Tarai</t>
        </is>
      </c>
      <c r="B1180" s="37" t="inlineStr">
        <is>
          <t>Berhampur</t>
        </is>
      </c>
      <c r="C1180" s="37" t="inlineStr">
        <is>
          <t>CITI</t>
        </is>
      </c>
      <c r="D1180" s="37" t="inlineStr">
        <is>
          <t>2026-07-14</t>
        </is>
      </c>
      <c r="E1180" s="37" t="inlineStr">
        <is>
          <t>Data Check</t>
        </is>
      </c>
      <c r="F1180" s="37" t="inlineStr">
        <is>
          <t>Check Counselling and Screening Forms of recently started batches.</t>
        </is>
      </c>
      <c r="G1180" s="37" t="inlineStr">
        <is>
          <t>All is Well</t>
        </is>
      </c>
    </row>
    <row r="1181">
      <c r="A1181" s="37" t="inlineStr">
        <is>
          <t>Sanjay Kumar Tarai</t>
        </is>
      </c>
      <c r="B1181" s="37" t="inlineStr">
        <is>
          <t>Berhampur</t>
        </is>
      </c>
      <c r="C1181" s="37" t="inlineStr">
        <is>
          <t>CITI</t>
        </is>
      </c>
      <c r="D1181" s="37" t="inlineStr">
        <is>
          <t>2026-07-14</t>
        </is>
      </c>
      <c r="E1181" s="37" t="inlineStr">
        <is>
          <t>Data Check</t>
        </is>
      </c>
      <c r="F1181" s="37" t="inlineStr">
        <is>
          <t>Check Aspirant Registration Forms and related documents.</t>
        </is>
      </c>
      <c r="G1181" s="37" t="inlineStr">
        <is>
          <t>All is Well</t>
        </is>
      </c>
    </row>
    <row r="1182">
      <c r="A1182" s="37" t="inlineStr">
        <is>
          <t>Sanjay Kumar Tarai</t>
        </is>
      </c>
      <c r="B1182" s="37" t="inlineStr">
        <is>
          <t>Berhampur</t>
        </is>
      </c>
      <c r="C1182" s="37" t="inlineStr">
        <is>
          <t>CITI</t>
        </is>
      </c>
      <c r="D1182" s="37" t="inlineStr">
        <is>
          <t>2026-07-14</t>
        </is>
      </c>
      <c r="E1182" s="37" t="inlineStr">
        <is>
          <t>Data Check</t>
        </is>
      </c>
      <c r="F1182" s="37" t="inlineStr">
        <is>
          <t>On the GROW portal, confirm all student profile details and batch updates are currect.</t>
        </is>
      </c>
      <c r="G1182" s="37" t="inlineStr">
        <is>
          <t>Need Improvement</t>
        </is>
      </c>
    </row>
    <row r="1183">
      <c r="A1183" s="37" t="inlineStr">
        <is>
          <t>Sanjay Kumar Tarai</t>
        </is>
      </c>
      <c r="B1183" s="37" t="inlineStr">
        <is>
          <t>Berhampur</t>
        </is>
      </c>
      <c r="C1183" s="37" t="inlineStr">
        <is>
          <t>CITI</t>
        </is>
      </c>
      <c r="D1183" s="37" t="inlineStr">
        <is>
          <t>2026-07-14</t>
        </is>
      </c>
      <c r="E1183" s="37" t="inlineStr">
        <is>
          <t>Data Check</t>
        </is>
      </c>
      <c r="F1183" s="37" t="inlineStr">
        <is>
          <t>Verify placement data — randomly call 3–4 alumni placed in the last 3 months to confirm veracity (random selection is essential).</t>
        </is>
      </c>
      <c r="G1183" s="37" t="inlineStr">
        <is>
          <t>All is Well</t>
        </is>
      </c>
    </row>
    <row r="1184">
      <c r="A1184" s="37" t="inlineStr">
        <is>
          <t>Sanjay Kumar Tarai</t>
        </is>
      </c>
      <c r="B1184" s="37" t="inlineStr">
        <is>
          <t>Berhampur</t>
        </is>
      </c>
      <c r="C1184" s="37" t="inlineStr">
        <is>
          <t>CITI</t>
        </is>
      </c>
      <c r="D1184" s="37" t="inlineStr">
        <is>
          <t>2026-07-14</t>
        </is>
      </c>
      <c r="E1184" s="37" t="inlineStr">
        <is>
          <t>Data Check</t>
        </is>
      </c>
      <c r="F1184" s="37" t="inlineStr">
        <is>
          <t>Verify retention — check the Alumni Hand-holding Format is being updated as designed.</t>
        </is>
      </c>
      <c r="G1184" s="37" t="inlineStr">
        <is>
          <t>Need Improvement</t>
        </is>
      </c>
    </row>
    <row r="1185">
      <c r="A1185" s="37" t="inlineStr">
        <is>
          <t>Sanjay Kumar Tarai</t>
        </is>
      </c>
      <c r="B1185" s="37" t="inlineStr">
        <is>
          <t>Berhampur</t>
        </is>
      </c>
      <c r="C1185" s="37" t="inlineStr">
        <is>
          <t>CITI</t>
        </is>
      </c>
      <c r="D1185" s="37" t="inlineStr">
        <is>
          <t>2026-07-14</t>
        </is>
      </c>
      <c r="E1185" s="37" t="inlineStr">
        <is>
          <t>Data Check</t>
        </is>
      </c>
      <c r="F1185" s="37" t="inlineStr">
        <is>
          <t>Check aspirant Hostel Forms are properly filled or not.</t>
        </is>
      </c>
      <c r="G1185" s="37" t="inlineStr">
        <is>
          <t>Not Applicable</t>
        </is>
      </c>
    </row>
    <row r="1186">
      <c r="A1186" s="37" t="inlineStr">
        <is>
          <t>Sanjay Kumar Tarai</t>
        </is>
      </c>
      <c r="B1186" s="37" t="inlineStr">
        <is>
          <t>Berhampur</t>
        </is>
      </c>
      <c r="C1186" s="37" t="inlineStr">
        <is>
          <t>CITI</t>
        </is>
      </c>
      <c r="D1186" s="37" t="inlineStr">
        <is>
          <t>2026-07-14</t>
        </is>
      </c>
      <c r="E1186" s="37" t="inlineStr">
        <is>
          <t>Infra Check</t>
        </is>
      </c>
      <c r="F1186" s="37" t="inlineStr">
        <is>
          <t>Check all CCTV cameras; if any are not working, ask the AH to troubleshoot or call the vendor.</t>
        </is>
      </c>
      <c r="G1186" s="37" t="inlineStr">
        <is>
          <t>Need Improvement</t>
        </is>
      </c>
    </row>
    <row r="1187">
      <c r="A1187" s="37" t="inlineStr">
        <is>
          <t>Sanjay Kumar Tarai</t>
        </is>
      </c>
      <c r="B1187" s="37" t="inlineStr">
        <is>
          <t>Berhampur</t>
        </is>
      </c>
      <c r="C1187" s="37" t="inlineStr">
        <is>
          <t>CITI</t>
        </is>
      </c>
      <c r="D1187" s="37" t="inlineStr">
        <is>
          <t>2026-07-14</t>
        </is>
      </c>
      <c r="E1187" s="37" t="inlineStr">
        <is>
          <t>Infra Check</t>
        </is>
      </c>
      <c r="F1187" s="37" t="inlineStr">
        <is>
          <t>Check for any scrap material and get it cleared, with support of Admin</t>
        </is>
      </c>
      <c r="G1187" s="37" t="inlineStr">
        <is>
          <t>All is Well</t>
        </is>
      </c>
    </row>
    <row r="1188">
      <c r="A1188" s="37" t="inlineStr">
        <is>
          <t>Sanjay Kumar Tarai</t>
        </is>
      </c>
      <c r="B1188" s="37" t="inlineStr">
        <is>
          <t>Berhampur</t>
        </is>
      </c>
      <c r="C1188" s="37" t="inlineStr">
        <is>
          <t>CITI</t>
        </is>
      </c>
      <c r="D1188" s="37" t="inlineStr">
        <is>
          <t>2026-07-14</t>
        </is>
      </c>
      <c r="E1188" s="37" t="inlineStr">
        <is>
          <t>Infra Check</t>
        </is>
      </c>
      <c r="F1188" s="37" t="inlineStr">
        <is>
          <t>Check for any pending infra repairs.</t>
        </is>
      </c>
      <c r="G1188" s="37" t="inlineStr">
        <is>
          <t>All is Well</t>
        </is>
      </c>
    </row>
    <row r="1189">
      <c r="A1189" s="37" t="inlineStr">
        <is>
          <t>Sanjay Kumar Tarai</t>
        </is>
      </c>
      <c r="B1189" s="37" t="inlineStr">
        <is>
          <t>Berhampur</t>
        </is>
      </c>
      <c r="C1189" s="37" t="inlineStr">
        <is>
          <t>CITI</t>
        </is>
      </c>
      <c r="D1189" s="37" t="inlineStr">
        <is>
          <t>2026-07-14</t>
        </is>
      </c>
      <c r="E1189" s="37" t="inlineStr">
        <is>
          <t>Infra Check</t>
        </is>
      </c>
      <c r="F1189" s="37" t="inlineStr">
        <is>
          <t>Check whether any fire extinguishers have expired (check the needle and expiry date both).</t>
        </is>
      </c>
      <c r="G1189" s="37" t="inlineStr">
        <is>
          <t>All is Well</t>
        </is>
      </c>
    </row>
    <row r="1190">
      <c r="A1190" s="37" t="inlineStr">
        <is>
          <t>Sanjay Kumar Tarai</t>
        </is>
      </c>
      <c r="B1190" s="37" t="inlineStr">
        <is>
          <t>Berhampur</t>
        </is>
      </c>
      <c r="C1190" s="37" t="inlineStr">
        <is>
          <t>CITI</t>
        </is>
      </c>
      <c r="D1190" s="37" t="inlineStr">
        <is>
          <t>2026-07-14</t>
        </is>
      </c>
      <c r="E1190" s="37" t="inlineStr">
        <is>
          <t>Infra Check</t>
        </is>
      </c>
      <c r="F1190" s="37" t="inlineStr">
        <is>
          <t>Check basic cleanliness of the washrooms and the centre.</t>
        </is>
      </c>
      <c r="G1190" s="37" t="inlineStr">
        <is>
          <t>Need Improvement</t>
        </is>
      </c>
    </row>
    <row r="1191">
      <c r="A1191" s="37" t="inlineStr">
        <is>
          <t>Sanjay Kumar Tarai</t>
        </is>
      </c>
      <c r="B1191" s="37" t="inlineStr">
        <is>
          <t>Berhampur</t>
        </is>
      </c>
      <c r="C1191" s="37" t="inlineStr">
        <is>
          <t>CITI</t>
        </is>
      </c>
      <c r="D1191" s="37" t="inlineStr">
        <is>
          <t>2026-07-14</t>
        </is>
      </c>
      <c r="E1191" s="37" t="inlineStr">
        <is>
          <t>Infra Check</t>
        </is>
      </c>
      <c r="F1191" s="37" t="inlineStr">
        <is>
          <t>Confirm the correct program and partner logos are displayed.</t>
        </is>
      </c>
      <c r="G1191" s="37" t="inlineStr">
        <is>
          <t>All is Well</t>
        </is>
      </c>
    </row>
    <row r="1192">
      <c r="A1192" s="37" t="inlineStr">
        <is>
          <t>Sanjay Kumar Tarai</t>
        </is>
      </c>
      <c r="B1192" s="37" t="inlineStr">
        <is>
          <t>Berhampur</t>
        </is>
      </c>
      <c r="C1192" s="37" t="inlineStr">
        <is>
          <t>CITI</t>
        </is>
      </c>
      <c r="D1192" s="37" t="inlineStr">
        <is>
          <t>2026-07-14</t>
        </is>
      </c>
      <c r="E1192" s="37" t="inlineStr">
        <is>
          <t>Infra Check</t>
        </is>
      </c>
      <c r="F1192" s="37" t="inlineStr">
        <is>
          <t>Check the status of digital infra — PCs, smartboards, tablets, laptops, etc.</t>
        </is>
      </c>
      <c r="G1192" s="37" t="inlineStr">
        <is>
          <t>All is Well</t>
        </is>
      </c>
    </row>
    <row r="1193">
      <c r="A1193" s="37" t="inlineStr">
        <is>
          <t>Sanjay Kumar Tarai</t>
        </is>
      </c>
      <c r="B1193" s="37" t="inlineStr">
        <is>
          <t>Berhampur</t>
        </is>
      </c>
      <c r="C1193" s="37" t="inlineStr">
        <is>
          <t>CITI</t>
        </is>
      </c>
      <c r="D1193" s="37" t="inlineStr">
        <is>
          <t>2026-07-14</t>
        </is>
      </c>
      <c r="E1193" s="37" t="inlineStr">
        <is>
          <t>Infra Check</t>
        </is>
      </c>
      <c r="F1193" s="37" t="inlineStr">
        <is>
          <t>Make a quick hostel visit; have lunch there if possible to test the food quality.</t>
        </is>
      </c>
      <c r="G1193" s="37" t="inlineStr">
        <is>
          <t>Not Applicable</t>
        </is>
      </c>
    </row>
    <row r="1194">
      <c r="A1194" s="37" t="inlineStr">
        <is>
          <t>Sanjay Kumar Tarai</t>
        </is>
      </c>
      <c r="B1194" s="37" t="inlineStr">
        <is>
          <t>Berhampur</t>
        </is>
      </c>
      <c r="C1194" s="37" t="inlineStr">
        <is>
          <t>CITI</t>
        </is>
      </c>
      <c r="D1194" s="37" t="inlineStr">
        <is>
          <t>2026-07-14</t>
        </is>
      </c>
      <c r="E1194" s="37" t="inlineStr">
        <is>
          <t>Process Check</t>
        </is>
      </c>
      <c r="F1194" s="37" t="inlineStr">
        <is>
          <t>Refer to the activity planner — check if any activities are delayed.</t>
        </is>
      </c>
      <c r="G1194" s="37" t="inlineStr">
        <is>
          <t>Need Improvement</t>
        </is>
      </c>
    </row>
    <row r="1195">
      <c r="A1195" s="37" t="inlineStr">
        <is>
          <t>Sanjay Kumar Tarai</t>
        </is>
      </c>
      <c r="B1195" s="37" t="inlineStr">
        <is>
          <t>Berhampur</t>
        </is>
      </c>
      <c r="C1195" s="37" t="inlineStr">
        <is>
          <t>CITI</t>
        </is>
      </c>
      <c r="D1195" s="37" t="inlineStr">
        <is>
          <t>2026-07-14</t>
        </is>
      </c>
      <c r="E1195" s="37" t="inlineStr">
        <is>
          <t>Process Check</t>
        </is>
      </c>
      <c r="F1195" s="37" t="inlineStr">
        <is>
          <t>Check planning for the next batch-start announcement.</t>
        </is>
      </c>
      <c r="G1195" s="37" t="inlineStr">
        <is>
          <t>Need Improvement</t>
        </is>
      </c>
    </row>
    <row r="1196">
      <c r="A1196" s="37" t="inlineStr">
        <is>
          <t>Sanjay Kumar Tarai</t>
        </is>
      </c>
      <c r="B1196" s="37" t="inlineStr">
        <is>
          <t>Berhampur</t>
        </is>
      </c>
      <c r="C1196" s="37" t="inlineStr">
        <is>
          <t>CITI</t>
        </is>
      </c>
      <c r="D1196" s="37" t="inlineStr">
        <is>
          <t>2026-07-14</t>
        </is>
      </c>
      <c r="E1196" s="37" t="inlineStr">
        <is>
          <t>Process Check</t>
        </is>
      </c>
      <c r="F1196" s="37" t="inlineStr">
        <is>
          <t>Check if any hiring is delayed and plan a resolution.</t>
        </is>
      </c>
      <c r="G1196" s="37" t="inlineStr">
        <is>
          <t>Need Improvement</t>
        </is>
      </c>
    </row>
    <row r="1197">
      <c r="A1197" s="37" t="inlineStr">
        <is>
          <t>Sanjay Kumar Tarai</t>
        </is>
      </c>
      <c r="B1197" s="37" t="inlineStr">
        <is>
          <t>Berhampur</t>
        </is>
      </c>
      <c r="C1197" s="37" t="inlineStr">
        <is>
          <t>CITI</t>
        </is>
      </c>
      <c r="D1197" s="37" t="inlineStr">
        <is>
          <t>2026-07-14</t>
        </is>
      </c>
      <c r="E1197" s="37" t="inlineStr">
        <is>
          <t>Process Check</t>
        </is>
      </c>
      <c r="F1197" s="37" t="inlineStr">
        <is>
          <t>Check the CA’s diary — is CA guided daily by the AH during planning days?</t>
        </is>
      </c>
      <c r="G1197" s="37" t="inlineStr">
        <is>
          <t>All is Well</t>
        </is>
      </c>
    </row>
    <row r="1198">
      <c r="A1198" s="37" t="inlineStr">
        <is>
          <t>Sanjay Kumar Tarai</t>
        </is>
      </c>
      <c r="B1198" s="37" t="inlineStr">
        <is>
          <t>Berhampur</t>
        </is>
      </c>
      <c r="C1198" s="37" t="inlineStr">
        <is>
          <t>CITI</t>
        </is>
      </c>
      <c r="D1198" s="37" t="inlineStr">
        <is>
          <t>2026-07-14</t>
        </is>
      </c>
      <c r="E1198" s="37" t="inlineStr">
        <is>
          <t>Process Check</t>
        </is>
      </c>
      <c r="F1198" s="37" t="inlineStr">
        <is>
          <t>Check the AH is regularly meeting employers (in person and online) and updating the centre’s Top 20 Employer format.</t>
        </is>
      </c>
      <c r="G1198" s="37" t="inlineStr">
        <is>
          <t>Need Improvement</t>
        </is>
      </c>
    </row>
    <row r="1199">
      <c r="A1199" s="37" t="inlineStr">
        <is>
          <t>Sanjay Kumar Tarai</t>
        </is>
      </c>
      <c r="B1199" s="37" t="inlineStr">
        <is>
          <t>Berhampur</t>
        </is>
      </c>
      <c r="C1199" s="37" t="inlineStr">
        <is>
          <t>CITI</t>
        </is>
      </c>
      <c r="D1199" s="37" t="inlineStr">
        <is>
          <t>2026-07-14</t>
        </is>
      </c>
      <c r="E1199" s="37" t="inlineStr">
        <is>
          <t>Process Check</t>
        </is>
      </c>
      <c r="F1199" s="37" t="inlineStr">
        <is>
          <t>Confirm all new employers are registered on portal as per new process.</t>
        </is>
      </c>
      <c r="G1199" s="37" t="inlineStr">
        <is>
          <t>All is Well</t>
        </is>
      </c>
    </row>
    <row r="1200">
      <c r="A1200" s="37" t="inlineStr">
        <is>
          <t>Sanjay Kumar Tarai</t>
        </is>
      </c>
      <c r="B1200" s="37" t="inlineStr">
        <is>
          <t>Berhampur</t>
        </is>
      </c>
      <c r="C1200" s="37" t="inlineStr">
        <is>
          <t>CITI</t>
        </is>
      </c>
      <c r="D1200" s="37" t="inlineStr">
        <is>
          <t>2026-07-14</t>
        </is>
      </c>
      <c r="E1200" s="37" t="inlineStr">
        <is>
          <t>Process Check</t>
        </is>
      </c>
      <c r="F1200" s="37" t="inlineStr">
        <is>
          <t>Confirm 100% of enrolled students undergone screening (for technical courses).</t>
        </is>
      </c>
      <c r="G1200" s="37" t="inlineStr">
        <is>
          <t>All is Well</t>
        </is>
      </c>
    </row>
    <row r="1201">
      <c r="A1201" s="37" t="inlineStr">
        <is>
          <t>Sanjay Kumar Tarai</t>
        </is>
      </c>
      <c r="B1201" s="37" t="inlineStr">
        <is>
          <t>Berhampur</t>
        </is>
      </c>
      <c r="C1201" s="37" t="inlineStr">
        <is>
          <t>CITI</t>
        </is>
      </c>
      <c r="D1201" s="37" t="inlineStr">
        <is>
          <t>2026-07-14</t>
        </is>
      </c>
      <c r="E1201" s="37" t="inlineStr">
        <is>
          <t>Process Check</t>
        </is>
      </c>
      <c r="F1201" s="37" t="inlineStr">
        <is>
          <t>Confirm ESA is done (in GROW full ESA and in Technical courses relevant sections of Core Employability Part).</t>
        </is>
      </c>
      <c r="G1201" s="37" t="inlineStr">
        <is>
          <t>All is Well</t>
        </is>
      </c>
    </row>
    <row r="1202">
      <c r="A1202" s="37" t="inlineStr">
        <is>
          <t>Sanjay Kumar Tarai</t>
        </is>
      </c>
      <c r="B1202" s="37" t="inlineStr">
        <is>
          <t>Berhampur</t>
        </is>
      </c>
      <c r="C1202" s="37" t="inlineStr">
        <is>
          <t>CITI</t>
        </is>
      </c>
      <c r="D1202" s="37" t="inlineStr">
        <is>
          <t>2026-07-14</t>
        </is>
      </c>
      <c r="E1202" s="37" t="inlineStr">
        <is>
          <t>Process Check</t>
        </is>
      </c>
      <c r="F1202" s="37" t="inlineStr">
        <is>
          <t>Check is AH giving capstone project in GROW Tech.</t>
        </is>
      </c>
      <c r="G1202" s="37" t="inlineStr">
        <is>
          <t>Not Applicable</t>
        </is>
      </c>
    </row>
    <row r="1203">
      <c r="A1203" s="37" t="inlineStr">
        <is>
          <t>Sanjay Kumar Tarai</t>
        </is>
      </c>
      <c r="B1203" s="37" t="inlineStr">
        <is>
          <t>Berhampur</t>
        </is>
      </c>
      <c r="C1203" s="37" t="inlineStr">
        <is>
          <t>CITI</t>
        </is>
      </c>
      <c r="D1203" s="37" t="inlineStr">
        <is>
          <t>2026-07-14</t>
        </is>
      </c>
      <c r="E1203" s="37" t="inlineStr">
        <is>
          <t>Process Check</t>
        </is>
      </c>
      <c r="F1203" s="37" t="inlineStr">
        <is>
          <t>Check is AH planning OJT as per guidelines and proofs are collected for technical courses.</t>
        </is>
      </c>
      <c r="G1203" s="37" t="inlineStr">
        <is>
          <t>Not Applicable</t>
        </is>
      </c>
    </row>
    <row r="1204">
      <c r="A1204" s="37" t="inlineStr">
        <is>
          <t>Sanjay Kumar Tarai</t>
        </is>
      </c>
      <c r="B1204" s="37" t="inlineStr">
        <is>
          <t>Berhampur</t>
        </is>
      </c>
      <c r="C1204" s="37" t="inlineStr">
        <is>
          <t>CITI</t>
        </is>
      </c>
      <c r="D1204" s="37" t="inlineStr">
        <is>
          <t>2026-07-14</t>
        </is>
      </c>
      <c r="E1204" s="37" t="inlineStr">
        <is>
          <t>Process Check</t>
        </is>
      </c>
      <c r="F1204" s="37" t="inlineStr">
        <is>
          <t>Check are trainers contacting aspirants to find reason for their absenteeism of more than 1 day.</t>
        </is>
      </c>
      <c r="G1204" s="37" t="inlineStr">
        <is>
          <t>All is Well</t>
        </is>
      </c>
    </row>
    <row r="1205">
      <c r="A1205" s="37" t="inlineStr">
        <is>
          <t>Sanjay Kumar Tarai</t>
        </is>
      </c>
      <c r="B1205" s="37" t="inlineStr">
        <is>
          <t>Berhampur</t>
        </is>
      </c>
      <c r="C1205" s="37" t="inlineStr">
        <is>
          <t>CITI</t>
        </is>
      </c>
      <c r="D1205" s="37" t="inlineStr">
        <is>
          <t>2026-07-14</t>
        </is>
      </c>
      <c r="E1205" s="37" t="inlineStr">
        <is>
          <t>Process Check</t>
        </is>
      </c>
      <c r="F1205" s="37" t="inlineStr">
        <is>
          <t>Check the AH plans monthly enrolment and placement numbers by the 3rd of each month and shares them with second level managers.</t>
        </is>
      </c>
      <c r="G1205" s="37" t="inlineStr">
        <is>
          <t>Need Improvement</t>
        </is>
      </c>
    </row>
    <row r="1206">
      <c r="A1206" s="37" t="inlineStr">
        <is>
          <t>Sanjay Kumar Tarai</t>
        </is>
      </c>
      <c r="B1206" s="37" t="inlineStr">
        <is>
          <t>Berhampur</t>
        </is>
      </c>
      <c r="C1206" s="37" t="inlineStr">
        <is>
          <t>CITI</t>
        </is>
      </c>
      <c r="D1206" s="37" t="inlineStr">
        <is>
          <t>2026-07-14</t>
        </is>
      </c>
      <c r="E1206" s="37" t="inlineStr">
        <is>
          <t>Process Check</t>
        </is>
      </c>
      <c r="F1206" s="37" t="inlineStr">
        <is>
          <t>Check trainers submit aspirants’ placement interest areas to the AH by the batch’s 25th day (in GROW).</t>
        </is>
      </c>
      <c r="G1206" s="37" t="inlineStr">
        <is>
          <t>All is Well</t>
        </is>
      </c>
    </row>
    <row r="1207">
      <c r="A1207" s="37" t="inlineStr">
        <is>
          <t>Sanjay Kumar Tarai</t>
        </is>
      </c>
      <c r="B1207" s="37" t="inlineStr">
        <is>
          <t>Berhampur</t>
        </is>
      </c>
      <c r="C1207" s="37" t="inlineStr">
        <is>
          <t>CITI</t>
        </is>
      </c>
      <c r="D1207" s="37" t="inlineStr">
        <is>
          <t>2026-07-14</t>
        </is>
      </c>
      <c r="E1207" s="37" t="inlineStr">
        <is>
          <t>Process Check</t>
        </is>
      </c>
      <c r="F1207" s="37" t="inlineStr">
        <is>
          <t>Ckeck For technical programs, placement is done only in technical jobs,on which aspirants are trained and relevant emplyers are identified by 45th day.</t>
        </is>
      </c>
      <c r="G1207" s="37" t="inlineStr">
        <is>
          <t>Not Applicable</t>
        </is>
      </c>
    </row>
    <row r="1208">
      <c r="A1208" s="37" t="inlineStr">
        <is>
          <t>Sanjay Kumar Tarai</t>
        </is>
      </c>
      <c r="B1208" s="37" t="inlineStr">
        <is>
          <t>Berhampur</t>
        </is>
      </c>
      <c r="C1208" s="37" t="inlineStr">
        <is>
          <t>CITI</t>
        </is>
      </c>
      <c r="D1208" s="37" t="inlineStr">
        <is>
          <t>2026-07-14</t>
        </is>
      </c>
      <c r="E1208" s="37" t="inlineStr">
        <is>
          <t>Process Check</t>
        </is>
      </c>
      <c r="F1208" s="37" t="inlineStr">
        <is>
          <t>Check the AH follows EP guidelines and minimum benchmark salary guidelines.</t>
        </is>
      </c>
      <c r="G1208" s="37" t="inlineStr">
        <is>
          <t>All is Well</t>
        </is>
      </c>
    </row>
    <row r="1209">
      <c r="A1209" s="37" t="inlineStr">
        <is>
          <t>Sanjay Kumar Tarai</t>
        </is>
      </c>
      <c r="B1209" s="37" t="inlineStr">
        <is>
          <t>Berhampur</t>
        </is>
      </c>
      <c r="C1209" s="37" t="inlineStr">
        <is>
          <t>CITI</t>
        </is>
      </c>
      <c r="D1209" s="37" t="inlineStr">
        <is>
          <t>2026-07-14</t>
        </is>
      </c>
      <c r="E1209" s="37" t="inlineStr">
        <is>
          <t>Process Check</t>
        </is>
      </c>
      <c r="F1209" s="37" t="inlineStr">
        <is>
          <t>Check that AH is enrolling only the right traget group in the program -as per the defined target.</t>
        </is>
      </c>
      <c r="G1209" s="37" t="inlineStr">
        <is>
          <t>All is Well</t>
        </is>
      </c>
    </row>
    <row r="1210">
      <c r="A1210" s="37" t="inlineStr">
        <is>
          <t>Sanjay Kumar Tarai</t>
        </is>
      </c>
      <c r="B1210" s="37" t="inlineStr">
        <is>
          <t>Berhampur</t>
        </is>
      </c>
      <c r="C1210" s="37" t="inlineStr">
        <is>
          <t>CITI</t>
        </is>
      </c>
      <c r="D1210" s="37" t="inlineStr">
        <is>
          <t>2026-07-14</t>
        </is>
      </c>
      <c r="E1210" s="37" t="inlineStr">
        <is>
          <t>Process Check</t>
        </is>
      </c>
      <c r="F1210" s="37" t="inlineStr">
        <is>
          <t>Check the AH announces the next batch-start date by the 3rd of the month on all notice boards — focus on Zero-Day start.</t>
        </is>
      </c>
      <c r="G1210" s="37" t="inlineStr">
        <is>
          <t>All is Well</t>
        </is>
      </c>
    </row>
    <row r="1211">
      <c r="A1211" s="37" t="inlineStr">
        <is>
          <t>Sanjay Kumar Tarai</t>
        </is>
      </c>
      <c r="B1211" s="37" t="inlineStr">
        <is>
          <t>Berhampur</t>
        </is>
      </c>
      <c r="C1211" s="37" t="inlineStr">
        <is>
          <t>CITI</t>
        </is>
      </c>
      <c r="D1211" s="37" t="inlineStr">
        <is>
          <t>2026-07-14</t>
        </is>
      </c>
      <c r="E1211" s="37" t="inlineStr">
        <is>
          <t>Process Check</t>
        </is>
      </c>
      <c r="F1211" s="37" t="inlineStr">
        <is>
          <t>Check the Aspirant Mock Interview Score Tracker is updated after every mock interview in the L&amp;D Google Sheet.</t>
        </is>
      </c>
      <c r="G1211" s="37" t="inlineStr">
        <is>
          <t>Need Improvement</t>
        </is>
      </c>
    </row>
    <row r="1212">
      <c r="A1212" s="37" t="inlineStr">
        <is>
          <t>Sanjay Kumar Tarai</t>
        </is>
      </c>
      <c r="B1212" s="37" t="inlineStr">
        <is>
          <t>Berhampur</t>
        </is>
      </c>
      <c r="C1212" s="37" t="inlineStr">
        <is>
          <t>CITI</t>
        </is>
      </c>
      <c r="D1212" s="37" t="inlineStr">
        <is>
          <t>2026-07-14</t>
        </is>
      </c>
      <c r="E1212" s="37" t="inlineStr">
        <is>
          <t>Process Check</t>
        </is>
      </c>
      <c r="F1212" s="37" t="inlineStr">
        <is>
          <t>Confirm NPS (Net Promoter Score) is collected at MSDF centres.</t>
        </is>
      </c>
      <c r="G1212" s="37" t="inlineStr">
        <is>
          <t>Not Applicable</t>
        </is>
      </c>
    </row>
    <row r="1213">
      <c r="A1213" s="37" t="inlineStr">
        <is>
          <t>Sanjay Kumar Tarai</t>
        </is>
      </c>
      <c r="B1213" s="37" t="inlineStr">
        <is>
          <t>Berhampur</t>
        </is>
      </c>
      <c r="C1213" s="37" t="inlineStr">
        <is>
          <t>CITI</t>
        </is>
      </c>
      <c r="D1213" s="37" t="inlineStr">
        <is>
          <t>2026-07-14</t>
        </is>
      </c>
      <c r="E1213" s="37" t="inlineStr">
        <is>
          <t>Process Check</t>
        </is>
      </c>
      <c r="F1213" s="37" t="inlineStr">
        <is>
          <t>Confirm that QAE is collecting student feedback for every batch.</t>
        </is>
      </c>
      <c r="G1213" s="37" t="inlineStr">
        <is>
          <t>All is Well</t>
        </is>
      </c>
    </row>
    <row r="1214">
      <c r="A1214" s="37" t="inlineStr">
        <is>
          <t>Sanjay Kumar Tarai</t>
        </is>
      </c>
      <c r="B1214" s="37" t="inlineStr">
        <is>
          <t>Berhampur</t>
        </is>
      </c>
      <c r="C1214" s="37" t="inlineStr">
        <is>
          <t>CITI</t>
        </is>
      </c>
      <c r="D1214" s="37" t="inlineStr">
        <is>
          <t>2026-07-14</t>
        </is>
      </c>
      <c r="E1214" s="37" t="inlineStr">
        <is>
          <t>Process Check</t>
        </is>
      </c>
      <c r="F1214" s="37" t="inlineStr">
        <is>
          <t>Confirm all centre teams have completed the GROW Manual Course on Skillfy — ask for achievement certificates.</t>
        </is>
      </c>
      <c r="G1214" s="37" t="inlineStr">
        <is>
          <t>Need Improvement</t>
        </is>
      </c>
    </row>
    <row r="1215">
      <c r="A1215" s="37" t="inlineStr">
        <is>
          <t>Sanjay Kumar Tarai</t>
        </is>
      </c>
      <c r="B1215" s="37" t="inlineStr">
        <is>
          <t>Berhampur</t>
        </is>
      </c>
      <c r="C1215" s="37" t="inlineStr">
        <is>
          <t>CITI</t>
        </is>
      </c>
      <c r="D1215" s="37" t="inlineStr">
        <is>
          <t>2026-07-14</t>
        </is>
      </c>
      <c r="E1215" s="37" t="inlineStr">
        <is>
          <t>Process Check</t>
        </is>
      </c>
      <c r="F1215" s="37" t="inlineStr">
        <is>
          <t>Check AH holds a quality weekly team meeting, documents action points in the weekly meeting format, and sends you a photo on WhatsApp.</t>
        </is>
      </c>
      <c r="G1215" s="37" t="inlineStr">
        <is>
          <t>Need Improvement</t>
        </is>
      </c>
    </row>
    <row r="1216">
      <c r="A1216" s="37" t="inlineStr">
        <is>
          <t>Sanjay Kumar Tarai</t>
        </is>
      </c>
      <c r="B1216" s="37" t="inlineStr">
        <is>
          <t>Berhampur</t>
        </is>
      </c>
      <c r="C1216" s="37" t="inlineStr">
        <is>
          <t>CITI</t>
        </is>
      </c>
      <c r="D1216" s="37" t="inlineStr">
        <is>
          <t>2026-07-14</t>
        </is>
      </c>
      <c r="E1216" s="37" t="inlineStr">
        <is>
          <t>Aspirant Interaction</t>
        </is>
      </c>
      <c r="F1216" s="37" t="inlineStr">
        <is>
          <t>Ask aspirants about the session plan — confirm training is happening as planned?</t>
        </is>
      </c>
      <c r="G1216" s="37" t="inlineStr">
        <is>
          <t>Need Improvement</t>
        </is>
      </c>
    </row>
    <row r="1217">
      <c r="A1217" s="37" t="inlineStr">
        <is>
          <t>Sanjay Kumar Tarai</t>
        </is>
      </c>
      <c r="B1217" s="37" t="inlineStr">
        <is>
          <t>Berhampur</t>
        </is>
      </c>
      <c r="C1217" s="37" t="inlineStr">
        <is>
          <t>CITI</t>
        </is>
      </c>
      <c r="D1217" s="37" t="inlineStr">
        <is>
          <t>2026-07-14</t>
        </is>
      </c>
      <c r="E1217" s="37" t="inlineStr">
        <is>
          <t>Aspirant Interaction</t>
        </is>
      </c>
      <c r="F1217" s="37" t="inlineStr">
        <is>
          <t>Ask about the quality of Core Employability component delivery (technical centres) and who delivers it.</t>
        </is>
      </c>
      <c r="G1217" s="37" t="inlineStr">
        <is>
          <t>Not Applicable</t>
        </is>
      </c>
    </row>
    <row r="1218">
      <c r="A1218" s="37" t="inlineStr">
        <is>
          <t>Sanjay Kumar Tarai</t>
        </is>
      </c>
      <c r="B1218" s="37" t="inlineStr">
        <is>
          <t>Berhampur</t>
        </is>
      </c>
      <c r="C1218" s="37" t="inlineStr">
        <is>
          <t>CITI</t>
        </is>
      </c>
      <c r="D1218" s="37" t="inlineStr">
        <is>
          <t>2026-07-14</t>
        </is>
      </c>
      <c r="E1218" s="37" t="inlineStr">
        <is>
          <t>Aspirant Interaction</t>
        </is>
      </c>
      <c r="F1218" s="37" t="inlineStr">
        <is>
          <t>Ask whether they are aware of the referral scheme?</t>
        </is>
      </c>
      <c r="G1218" s="37" t="inlineStr">
        <is>
          <t>All is Well</t>
        </is>
      </c>
    </row>
    <row r="1219">
      <c r="A1219" s="37" t="inlineStr">
        <is>
          <t>Sanjay Kumar Tarai</t>
        </is>
      </c>
      <c r="B1219" s="37" t="inlineStr">
        <is>
          <t>Berhampur</t>
        </is>
      </c>
      <c r="C1219" s="37" t="inlineStr">
        <is>
          <t>CITI</t>
        </is>
      </c>
      <c r="D1219" s="37" t="inlineStr">
        <is>
          <t>2026-07-14</t>
        </is>
      </c>
      <c r="E1219" s="37" t="inlineStr">
        <is>
          <t>Aspirant Interaction</t>
        </is>
      </c>
      <c r="F1219" s="37" t="inlineStr">
        <is>
          <t>Ask whether the AH explained the importance of the offer letter and sharing it with us once received for reporting purposes?</t>
        </is>
      </c>
      <c r="G1219" s="37" t="inlineStr">
        <is>
          <t>All is Well</t>
        </is>
      </c>
    </row>
    <row r="1220">
      <c r="A1220" s="37" t="inlineStr">
        <is>
          <t>Sanjay Kumar Tarai</t>
        </is>
      </c>
      <c r="B1220" s="37" t="inlineStr">
        <is>
          <t>Berhampur</t>
        </is>
      </c>
      <c r="C1220" s="37" t="inlineStr">
        <is>
          <t>CITI</t>
        </is>
      </c>
      <c r="D1220" s="37" t="inlineStr">
        <is>
          <t>2026-07-14</t>
        </is>
      </c>
      <c r="E1220" s="37" t="inlineStr">
        <is>
          <t>Aspirant Interaction</t>
        </is>
      </c>
      <c r="F1220" s="37" t="inlineStr">
        <is>
          <t>Ask how many are not interested in jobs — and if so, why they enrolled in the programme?</t>
        </is>
      </c>
      <c r="G1220" s="37" t="inlineStr">
        <is>
          <t>All is Well</t>
        </is>
      </c>
    </row>
    <row r="1221">
      <c r="A1221" s="37" t="inlineStr">
        <is>
          <t>Sanjay Kumar Tarai</t>
        </is>
      </c>
      <c r="B1221" s="37" t="inlineStr">
        <is>
          <t>Berhampur</t>
        </is>
      </c>
      <c r="C1221" s="37" t="inlineStr">
        <is>
          <t>CITI</t>
        </is>
      </c>
      <c r="D1221" s="37" t="inlineStr">
        <is>
          <t>2026-07-14</t>
        </is>
      </c>
      <c r="E1221" s="37" t="inlineStr">
        <is>
          <t>Aspirant Interaction</t>
        </is>
      </c>
      <c r="F1221" s="37" t="inlineStr">
        <is>
          <t>Ask whether they were told the kind of job they would get during counselling?</t>
        </is>
      </c>
      <c r="G1221" s="37" t="inlineStr">
        <is>
          <t>All is Well</t>
        </is>
      </c>
    </row>
    <row r="1222">
      <c r="A1222" s="37" t="inlineStr">
        <is>
          <t>Sanjay Kumar Tarai</t>
        </is>
      </c>
      <c r="B1222" s="37" t="inlineStr">
        <is>
          <t>Berhampur</t>
        </is>
      </c>
      <c r="C1222" s="37" t="inlineStr">
        <is>
          <t>CITI</t>
        </is>
      </c>
      <c r="D1222" s="37" t="inlineStr">
        <is>
          <t>2026-07-14</t>
        </is>
      </c>
      <c r="E1222" s="37" t="inlineStr">
        <is>
          <t>Aspirant Interaction</t>
        </is>
      </c>
      <c r="F1222" s="37" t="inlineStr">
        <is>
          <t>Ask whether they have been given LMS access?</t>
        </is>
      </c>
      <c r="G1222" s="37" t="inlineStr">
        <is>
          <t>All is Well</t>
        </is>
      </c>
    </row>
    <row r="1223">
      <c r="A1223" s="37" t="inlineStr">
        <is>
          <t>Sanjay Kumar Tarai</t>
        </is>
      </c>
      <c r="B1223" s="37" t="inlineStr">
        <is>
          <t>Berhampur</t>
        </is>
      </c>
      <c r="C1223" s="37" t="inlineStr">
        <is>
          <t>CITI</t>
        </is>
      </c>
      <c r="D1223" s="37" t="inlineStr">
        <is>
          <t>2026-07-14</t>
        </is>
      </c>
      <c r="E1223" s="37" t="inlineStr">
        <is>
          <t>Aspirant Interaction</t>
        </is>
      </c>
      <c r="F1223" s="37" t="inlineStr">
        <is>
          <t>Ask whether anyone asked them for money for training or placement?</t>
        </is>
      </c>
      <c r="G1223" s="37" t="inlineStr">
        <is>
          <t>All is Well</t>
        </is>
      </c>
    </row>
    <row r="1224">
      <c r="A1224" s="37" t="inlineStr">
        <is>
          <t>Sanjay Kumar Tarai</t>
        </is>
      </c>
      <c r="B1224" s="37" t="inlineStr">
        <is>
          <t>Berhampur</t>
        </is>
      </c>
      <c r="C1224" s="37" t="inlineStr">
        <is>
          <t>CITI</t>
        </is>
      </c>
      <c r="D1224" s="37" t="inlineStr">
        <is>
          <t>2026-07-14</t>
        </is>
      </c>
      <c r="E1224" s="37" t="inlineStr">
        <is>
          <t>Aspirant Interaction</t>
        </is>
      </c>
      <c r="F1224" s="37" t="inlineStr">
        <is>
          <t>Ask to show their mobile phones — are they enrolled on Skillfy? If not, get them enrolled and give written feedback to trainers and the AH in your presence.</t>
        </is>
      </c>
      <c r="G1224" s="37" t="inlineStr">
        <is>
          <t>All is Well</t>
        </is>
      </c>
    </row>
    <row r="1225">
      <c r="A1225" s="37" t="inlineStr">
        <is>
          <t>Sanjay Kumar Tarai</t>
        </is>
      </c>
      <c r="B1225" s="37" t="inlineStr">
        <is>
          <t>Berhampur</t>
        </is>
      </c>
      <c r="C1225" s="37" t="inlineStr">
        <is>
          <t>CITI</t>
        </is>
      </c>
      <c r="D1225" s="37" t="inlineStr">
        <is>
          <t>2026-07-14</t>
        </is>
      </c>
      <c r="E1225" s="37" t="inlineStr">
        <is>
          <t>Aspirant Interaction</t>
        </is>
      </c>
      <c r="F1225" s="37" t="inlineStr">
        <is>
          <t>Ask about the quality of the hostel and any issues they face.</t>
        </is>
      </c>
      <c r="G1225" s="37" t="inlineStr">
        <is>
          <t>Not Applicable</t>
        </is>
      </c>
    </row>
    <row r="1226">
      <c r="A1226" s="37" t="inlineStr">
        <is>
          <t>Sanjay Kumar Tarai</t>
        </is>
      </c>
      <c r="B1226" s="37" t="inlineStr">
        <is>
          <t>Berhampur</t>
        </is>
      </c>
      <c r="C1226" s="37" t="inlineStr">
        <is>
          <t>CITI</t>
        </is>
      </c>
      <c r="D1226" s="37" t="inlineStr">
        <is>
          <t>2026-07-14</t>
        </is>
      </c>
      <c r="E1226" s="37" t="inlineStr">
        <is>
          <t>Aspirant Interaction</t>
        </is>
      </c>
      <c r="F1226" s="37" t="inlineStr">
        <is>
          <t>Ask a few relevant screening questions to support the 10th-day report and remove non-serious candidates, explaining to them the reasons.</t>
        </is>
      </c>
      <c r="G1226" s="37" t="inlineStr">
        <is>
          <t>All is Well</t>
        </is>
      </c>
    </row>
    <row r="1227">
      <c r="A1227" s="37" t="inlineStr">
        <is>
          <t>Bhargav Challa</t>
        </is>
      </c>
      <c r="B1227" s="37" t="inlineStr">
        <is>
          <t>Bachupally</t>
        </is>
      </c>
      <c r="C1227" s="37" t="inlineStr">
        <is>
          <t>Grow Youth</t>
        </is>
      </c>
      <c r="D1227" s="37" t="inlineStr">
        <is>
          <t>2026-07-15</t>
        </is>
      </c>
      <c r="E1227" s="37" t="inlineStr">
        <is>
          <t>Data Check</t>
        </is>
      </c>
      <c r="F1227" s="37" t="inlineStr">
        <is>
          <t>Reach the centre on time (unannounced) — confirm the centre opened on time.</t>
        </is>
      </c>
      <c r="G1227" s="37" t="inlineStr">
        <is>
          <t>All is Well</t>
        </is>
      </c>
    </row>
    <row r="1228">
      <c r="A1228" s="37" t="inlineStr">
        <is>
          <t>Bhargav Challa</t>
        </is>
      </c>
      <c r="B1228" s="37" t="inlineStr">
        <is>
          <t>Bachupally</t>
        </is>
      </c>
      <c r="C1228" s="37" t="inlineStr">
        <is>
          <t>Grow Youth</t>
        </is>
      </c>
      <c r="D1228" s="37" t="inlineStr">
        <is>
          <t>2026-07-15</t>
        </is>
      </c>
      <c r="E1228" s="37" t="inlineStr">
        <is>
          <t>Data Check</t>
        </is>
      </c>
      <c r="F1228" s="37" t="inlineStr">
        <is>
          <t>Check the staff attendance register, the Google Sheet, and geo-tagged photos for aspirants.</t>
        </is>
      </c>
      <c r="G1228" s="37" t="inlineStr">
        <is>
          <t>All is Well</t>
        </is>
      </c>
    </row>
    <row r="1229">
      <c r="A1229" s="37" t="inlineStr">
        <is>
          <t>Bhargav Challa</t>
        </is>
      </c>
      <c r="B1229" s="37" t="inlineStr">
        <is>
          <t>Bachupally</t>
        </is>
      </c>
      <c r="C1229" s="37" t="inlineStr">
        <is>
          <t>Grow Youth</t>
        </is>
      </c>
      <c r="D1229" s="37" t="inlineStr">
        <is>
          <t>2026-07-15</t>
        </is>
      </c>
      <c r="E1229" s="37" t="inlineStr">
        <is>
          <t>Data Check</t>
        </is>
      </c>
      <c r="F1229" s="37" t="inlineStr">
        <is>
          <t>Check Counselling and Screening Forms of recently started batches.</t>
        </is>
      </c>
      <c r="G1229" s="37" t="inlineStr">
        <is>
          <t>All is Well</t>
        </is>
      </c>
    </row>
    <row r="1230">
      <c r="A1230" s="37" t="inlineStr">
        <is>
          <t>Bhargav Challa</t>
        </is>
      </c>
      <c r="B1230" s="37" t="inlineStr">
        <is>
          <t>Bachupally</t>
        </is>
      </c>
      <c r="C1230" s="37" t="inlineStr">
        <is>
          <t>Grow Youth</t>
        </is>
      </c>
      <c r="D1230" s="37" t="inlineStr">
        <is>
          <t>2026-07-15</t>
        </is>
      </c>
      <c r="E1230" s="37" t="inlineStr">
        <is>
          <t>Data Check</t>
        </is>
      </c>
      <c r="F1230" s="37" t="inlineStr">
        <is>
          <t>Check Aspirant Registration Forms and related documents.</t>
        </is>
      </c>
      <c r="G1230" s="37" t="inlineStr">
        <is>
          <t>All is Well</t>
        </is>
      </c>
    </row>
    <row r="1231">
      <c r="A1231" s="37" t="inlineStr">
        <is>
          <t>Bhargav Challa</t>
        </is>
      </c>
      <c r="B1231" s="37" t="inlineStr">
        <is>
          <t>Bachupally</t>
        </is>
      </c>
      <c r="C1231" s="37" t="inlineStr">
        <is>
          <t>Grow Youth</t>
        </is>
      </c>
      <c r="D1231" s="37" t="inlineStr">
        <is>
          <t>2026-07-15</t>
        </is>
      </c>
      <c r="E1231" s="37" t="inlineStr">
        <is>
          <t>Data Check</t>
        </is>
      </c>
      <c r="F1231" s="37" t="inlineStr">
        <is>
          <t>On the GROW portal, confirm all student profile details and batch updates are currect.</t>
        </is>
      </c>
      <c r="G1231" s="37" t="inlineStr">
        <is>
          <t>Need Improvement</t>
        </is>
      </c>
    </row>
    <row r="1232">
      <c r="A1232" s="37" t="inlineStr">
        <is>
          <t>Bhargav Challa</t>
        </is>
      </c>
      <c r="B1232" s="37" t="inlineStr">
        <is>
          <t>Bachupally</t>
        </is>
      </c>
      <c r="C1232" s="37" t="inlineStr">
        <is>
          <t>Grow Youth</t>
        </is>
      </c>
      <c r="D1232" s="37" t="inlineStr">
        <is>
          <t>2026-07-15</t>
        </is>
      </c>
      <c r="E1232" s="37" t="inlineStr">
        <is>
          <t>Data Check</t>
        </is>
      </c>
      <c r="F1232" s="37" t="inlineStr">
        <is>
          <t>Verify placement data — randomly call 3–4 alumni placed in the last 3 months to confirm veracity (random selection is essential).</t>
        </is>
      </c>
      <c r="G1232" s="37" t="inlineStr">
        <is>
          <t>All is Well</t>
        </is>
      </c>
    </row>
    <row r="1233">
      <c r="A1233" s="37" t="inlineStr">
        <is>
          <t>Bhargav Challa</t>
        </is>
      </c>
      <c r="B1233" s="37" t="inlineStr">
        <is>
          <t>Bachupally</t>
        </is>
      </c>
      <c r="C1233" s="37" t="inlineStr">
        <is>
          <t>Grow Youth</t>
        </is>
      </c>
      <c r="D1233" s="37" t="inlineStr">
        <is>
          <t>2026-07-15</t>
        </is>
      </c>
      <c r="E1233" s="37" t="inlineStr">
        <is>
          <t>Data Check</t>
        </is>
      </c>
      <c r="F1233" s="37" t="inlineStr">
        <is>
          <t>Verify retention — check the Alumni Hand-holding Format is being updated as designed.</t>
        </is>
      </c>
      <c r="G1233" s="37" t="inlineStr">
        <is>
          <t>Need Improvement</t>
        </is>
      </c>
    </row>
    <row r="1234">
      <c r="A1234" s="37" t="inlineStr">
        <is>
          <t>Bhargav Challa</t>
        </is>
      </c>
      <c r="B1234" s="37" t="inlineStr">
        <is>
          <t>Bachupally</t>
        </is>
      </c>
      <c r="C1234" s="37" t="inlineStr">
        <is>
          <t>Grow Youth</t>
        </is>
      </c>
      <c r="D1234" s="37" t="inlineStr">
        <is>
          <t>2026-07-15</t>
        </is>
      </c>
      <c r="E1234" s="37" t="inlineStr">
        <is>
          <t>Data Check</t>
        </is>
      </c>
      <c r="F1234" s="37" t="inlineStr">
        <is>
          <t>Check aspirant Hostel Forms are properly filled or not.</t>
        </is>
      </c>
      <c r="G1234" s="37" t="inlineStr">
        <is>
          <t>Not Applicable</t>
        </is>
      </c>
    </row>
    <row r="1235">
      <c r="A1235" s="37" t="inlineStr">
        <is>
          <t>Bhargav Challa</t>
        </is>
      </c>
      <c r="B1235" s="37" t="inlineStr">
        <is>
          <t>Bachupally</t>
        </is>
      </c>
      <c r="C1235" s="37" t="inlineStr">
        <is>
          <t>Grow Youth</t>
        </is>
      </c>
      <c r="D1235" s="37" t="inlineStr">
        <is>
          <t>2026-07-15</t>
        </is>
      </c>
      <c r="E1235" s="37" t="inlineStr">
        <is>
          <t>Infra Check</t>
        </is>
      </c>
      <c r="F1235" s="37" t="inlineStr">
        <is>
          <t>Check all CCTV cameras; if any are not working, ask the AH to troubleshoot or call the vendor.</t>
        </is>
      </c>
      <c r="G1235" s="37" t="inlineStr">
        <is>
          <t>All is Well</t>
        </is>
      </c>
    </row>
    <row r="1236">
      <c r="A1236" s="37" t="inlineStr">
        <is>
          <t>Bhargav Challa</t>
        </is>
      </c>
      <c r="B1236" s="37" t="inlineStr">
        <is>
          <t>Bachupally</t>
        </is>
      </c>
      <c r="C1236" s="37" t="inlineStr">
        <is>
          <t>Grow Youth</t>
        </is>
      </c>
      <c r="D1236" s="37" t="inlineStr">
        <is>
          <t>2026-07-15</t>
        </is>
      </c>
      <c r="E1236" s="37" t="inlineStr">
        <is>
          <t>Infra Check</t>
        </is>
      </c>
      <c r="F1236" s="37" t="inlineStr">
        <is>
          <t>Check for any scrap material and get it cleared, with support of Admin</t>
        </is>
      </c>
      <c r="G1236" s="37" t="inlineStr">
        <is>
          <t>All is Well</t>
        </is>
      </c>
    </row>
    <row r="1237">
      <c r="A1237" s="37" t="inlineStr">
        <is>
          <t>Bhargav Challa</t>
        </is>
      </c>
      <c r="B1237" s="37" t="inlineStr">
        <is>
          <t>Bachupally</t>
        </is>
      </c>
      <c r="C1237" s="37" t="inlineStr">
        <is>
          <t>Grow Youth</t>
        </is>
      </c>
      <c r="D1237" s="37" t="inlineStr">
        <is>
          <t>2026-07-15</t>
        </is>
      </c>
      <c r="E1237" s="37" t="inlineStr">
        <is>
          <t>Infra Check</t>
        </is>
      </c>
      <c r="F1237" s="37" t="inlineStr">
        <is>
          <t>Check for any pending infra repairs.</t>
        </is>
      </c>
      <c r="G1237" s="37" t="inlineStr">
        <is>
          <t>Need Improvement</t>
        </is>
      </c>
    </row>
    <row r="1238">
      <c r="A1238" s="37" t="inlineStr">
        <is>
          <t>Bhargav Challa</t>
        </is>
      </c>
      <c r="B1238" s="37" t="inlineStr">
        <is>
          <t>Bachupally</t>
        </is>
      </c>
      <c r="C1238" s="37" t="inlineStr">
        <is>
          <t>Grow Youth</t>
        </is>
      </c>
      <c r="D1238" s="37" t="inlineStr">
        <is>
          <t>2026-07-15</t>
        </is>
      </c>
      <c r="E1238" s="37" t="inlineStr">
        <is>
          <t>Infra Check</t>
        </is>
      </c>
      <c r="F1238" s="37" t="inlineStr">
        <is>
          <t>Check whether any fire extinguishers have expired (check the needle and expiry date both).</t>
        </is>
      </c>
      <c r="G1238" s="37" t="inlineStr">
        <is>
          <t>All is Well</t>
        </is>
      </c>
    </row>
    <row r="1239">
      <c r="A1239" s="37" t="inlineStr">
        <is>
          <t>Bhargav Challa</t>
        </is>
      </c>
      <c r="B1239" s="37" t="inlineStr">
        <is>
          <t>Bachupally</t>
        </is>
      </c>
      <c r="C1239" s="37" t="inlineStr">
        <is>
          <t>Grow Youth</t>
        </is>
      </c>
      <c r="D1239" s="37" t="inlineStr">
        <is>
          <t>2026-07-15</t>
        </is>
      </c>
      <c r="E1239" s="37" t="inlineStr">
        <is>
          <t>Infra Check</t>
        </is>
      </c>
      <c r="F1239" s="37" t="inlineStr">
        <is>
          <t>Check basic cleanliness of the washrooms and the centre.</t>
        </is>
      </c>
      <c r="G1239" s="37" t="inlineStr">
        <is>
          <t>All is Well</t>
        </is>
      </c>
    </row>
    <row r="1240">
      <c r="A1240" s="37" t="inlineStr">
        <is>
          <t>Bhargav Challa</t>
        </is>
      </c>
      <c r="B1240" s="37" t="inlineStr">
        <is>
          <t>Bachupally</t>
        </is>
      </c>
      <c r="C1240" s="37" t="inlineStr">
        <is>
          <t>Grow Youth</t>
        </is>
      </c>
      <c r="D1240" s="37" t="inlineStr">
        <is>
          <t>2026-07-15</t>
        </is>
      </c>
      <c r="E1240" s="37" t="inlineStr">
        <is>
          <t>Infra Check</t>
        </is>
      </c>
      <c r="F1240" s="37" t="inlineStr">
        <is>
          <t>Confirm the correct program and partner logos are displayed.</t>
        </is>
      </c>
      <c r="G1240" s="37" t="inlineStr">
        <is>
          <t>All is Well</t>
        </is>
      </c>
    </row>
    <row r="1241">
      <c r="A1241" s="37" t="inlineStr">
        <is>
          <t>Bhargav Challa</t>
        </is>
      </c>
      <c r="B1241" s="37" t="inlineStr">
        <is>
          <t>Bachupally</t>
        </is>
      </c>
      <c r="C1241" s="37" t="inlineStr">
        <is>
          <t>Grow Youth</t>
        </is>
      </c>
      <c r="D1241" s="37" t="inlineStr">
        <is>
          <t>2026-07-15</t>
        </is>
      </c>
      <c r="E1241" s="37" t="inlineStr">
        <is>
          <t>Infra Check</t>
        </is>
      </c>
      <c r="F1241" s="37" t="inlineStr">
        <is>
          <t>Check the status of digital infra — PCs, smartboards, tablets, laptops, etc.</t>
        </is>
      </c>
      <c r="G1241" s="37" t="inlineStr">
        <is>
          <t>All is Well</t>
        </is>
      </c>
    </row>
    <row r="1242">
      <c r="A1242" s="37" t="inlineStr">
        <is>
          <t>Bhargav Challa</t>
        </is>
      </c>
      <c r="B1242" s="37" t="inlineStr">
        <is>
          <t>Bachupally</t>
        </is>
      </c>
      <c r="C1242" s="37" t="inlineStr">
        <is>
          <t>Grow Youth</t>
        </is>
      </c>
      <c r="D1242" s="37" t="inlineStr">
        <is>
          <t>2026-07-15</t>
        </is>
      </c>
      <c r="E1242" s="37" t="inlineStr">
        <is>
          <t>Infra Check</t>
        </is>
      </c>
      <c r="F1242" s="37" t="inlineStr">
        <is>
          <t>Make a quick hostel visit; have lunch there if possible to test the food quality.</t>
        </is>
      </c>
      <c r="G1242" s="37" t="inlineStr">
        <is>
          <t>Not Applicable</t>
        </is>
      </c>
    </row>
    <row r="1243">
      <c r="A1243" s="37" t="inlineStr">
        <is>
          <t>Bhargav Challa</t>
        </is>
      </c>
      <c r="B1243" s="37" t="inlineStr">
        <is>
          <t>Bachupally</t>
        </is>
      </c>
      <c r="C1243" s="37" t="inlineStr">
        <is>
          <t>Grow Youth</t>
        </is>
      </c>
      <c r="D1243" s="37" t="inlineStr">
        <is>
          <t>2026-07-15</t>
        </is>
      </c>
      <c r="E1243" s="37" t="inlineStr">
        <is>
          <t>Process Check</t>
        </is>
      </c>
      <c r="F1243" s="37" t="inlineStr">
        <is>
          <t>Refer to the activity planner — check if any activities are delayed.</t>
        </is>
      </c>
      <c r="G1243" s="37" t="inlineStr">
        <is>
          <t>Not Applicable</t>
        </is>
      </c>
    </row>
    <row r="1244">
      <c r="A1244" s="37" t="inlineStr">
        <is>
          <t>Bhargav Challa</t>
        </is>
      </c>
      <c r="B1244" s="37" t="inlineStr">
        <is>
          <t>Bachupally</t>
        </is>
      </c>
      <c r="C1244" s="37" t="inlineStr">
        <is>
          <t>Grow Youth</t>
        </is>
      </c>
      <c r="D1244" s="37" t="inlineStr">
        <is>
          <t>2026-07-15</t>
        </is>
      </c>
      <c r="E1244" s="37" t="inlineStr">
        <is>
          <t>Process Check</t>
        </is>
      </c>
      <c r="F1244" s="37" t="inlineStr">
        <is>
          <t>Check planning for the next batch-start announcement.</t>
        </is>
      </c>
      <c r="G1244" s="37" t="inlineStr">
        <is>
          <t>All is Well</t>
        </is>
      </c>
    </row>
    <row r="1245">
      <c r="A1245" s="37" t="inlineStr">
        <is>
          <t>Bhargav Challa</t>
        </is>
      </c>
      <c r="B1245" s="37" t="inlineStr">
        <is>
          <t>Bachupally</t>
        </is>
      </c>
      <c r="C1245" s="37" t="inlineStr">
        <is>
          <t>Grow Youth</t>
        </is>
      </c>
      <c r="D1245" s="37" t="inlineStr">
        <is>
          <t>2026-07-15</t>
        </is>
      </c>
      <c r="E1245" s="37" t="inlineStr">
        <is>
          <t>Process Check</t>
        </is>
      </c>
      <c r="F1245" s="37" t="inlineStr">
        <is>
          <t>Check if any hiring is delayed and plan a resolution.</t>
        </is>
      </c>
      <c r="G1245" s="37" t="inlineStr">
        <is>
          <t>All is Well</t>
        </is>
      </c>
    </row>
    <row r="1246">
      <c r="A1246" s="37" t="inlineStr">
        <is>
          <t>Bhargav Challa</t>
        </is>
      </c>
      <c r="B1246" s="37" t="inlineStr">
        <is>
          <t>Bachupally</t>
        </is>
      </c>
      <c r="C1246" s="37" t="inlineStr">
        <is>
          <t>Grow Youth</t>
        </is>
      </c>
      <c r="D1246" s="37" t="inlineStr">
        <is>
          <t>2026-07-15</t>
        </is>
      </c>
      <c r="E1246" s="37" t="inlineStr">
        <is>
          <t>Process Check</t>
        </is>
      </c>
      <c r="F1246" s="37" t="inlineStr">
        <is>
          <t>Check the CA’s diary — is CA guided daily by the AH during planning days?</t>
        </is>
      </c>
      <c r="G1246" s="37" t="inlineStr">
        <is>
          <t>All is Well</t>
        </is>
      </c>
    </row>
    <row r="1247">
      <c r="A1247" s="37" t="inlineStr">
        <is>
          <t>Bhargav Challa</t>
        </is>
      </c>
      <c r="B1247" s="37" t="inlineStr">
        <is>
          <t>Bachupally</t>
        </is>
      </c>
      <c r="C1247" s="37" t="inlineStr">
        <is>
          <t>Grow Youth</t>
        </is>
      </c>
      <c r="D1247" s="37" t="inlineStr">
        <is>
          <t>2026-07-15</t>
        </is>
      </c>
      <c r="E1247" s="37" t="inlineStr">
        <is>
          <t>Process Check</t>
        </is>
      </c>
      <c r="F1247" s="37" t="inlineStr">
        <is>
          <t>Check the AH is regularly meeting employers (in person and online) and updating the centre’s Top 20 Employer format.</t>
        </is>
      </c>
      <c r="G1247" s="37" t="inlineStr">
        <is>
          <t>All is Well</t>
        </is>
      </c>
    </row>
    <row r="1248">
      <c r="A1248" s="37" t="inlineStr">
        <is>
          <t>Bhargav Challa</t>
        </is>
      </c>
      <c r="B1248" s="37" t="inlineStr">
        <is>
          <t>Bachupally</t>
        </is>
      </c>
      <c r="C1248" s="37" t="inlineStr">
        <is>
          <t>Grow Youth</t>
        </is>
      </c>
      <c r="D1248" s="37" t="inlineStr">
        <is>
          <t>2026-07-15</t>
        </is>
      </c>
      <c r="E1248" s="37" t="inlineStr">
        <is>
          <t>Process Check</t>
        </is>
      </c>
      <c r="F1248" s="37" t="inlineStr">
        <is>
          <t>Confirm all new employers are registered on portal as per new process.</t>
        </is>
      </c>
      <c r="G1248" s="37" t="inlineStr">
        <is>
          <t>All is Well</t>
        </is>
      </c>
    </row>
    <row r="1249">
      <c r="A1249" s="37" t="inlineStr">
        <is>
          <t>Bhargav Challa</t>
        </is>
      </c>
      <c r="B1249" s="37" t="inlineStr">
        <is>
          <t>Bachupally</t>
        </is>
      </c>
      <c r="C1249" s="37" t="inlineStr">
        <is>
          <t>Grow Youth</t>
        </is>
      </c>
      <c r="D1249" s="37" t="inlineStr">
        <is>
          <t>2026-07-15</t>
        </is>
      </c>
      <c r="E1249" s="37" t="inlineStr">
        <is>
          <t>Process Check</t>
        </is>
      </c>
      <c r="F1249" s="37" t="inlineStr">
        <is>
          <t>Confirm 100% of enrolled students undergone screening (for technical courses).</t>
        </is>
      </c>
      <c r="G1249" s="37" t="inlineStr">
        <is>
          <t>Not Applicable</t>
        </is>
      </c>
    </row>
    <row r="1250">
      <c r="A1250" s="37" t="inlineStr">
        <is>
          <t>Bhargav Challa</t>
        </is>
      </c>
      <c r="B1250" s="37" t="inlineStr">
        <is>
          <t>Bachupally</t>
        </is>
      </c>
      <c r="C1250" s="37" t="inlineStr">
        <is>
          <t>Grow Youth</t>
        </is>
      </c>
      <c r="D1250" s="37" t="inlineStr">
        <is>
          <t>2026-07-15</t>
        </is>
      </c>
      <c r="E1250" s="37" t="inlineStr">
        <is>
          <t>Process Check</t>
        </is>
      </c>
      <c r="F1250" s="37" t="inlineStr">
        <is>
          <t>Confirm ESA is done (in GROW full ESA and in Technical courses relevant sections of Core Employability Part).</t>
        </is>
      </c>
      <c r="G1250" s="37" t="inlineStr">
        <is>
          <t>All is Well</t>
        </is>
      </c>
    </row>
    <row r="1251">
      <c r="A1251" s="37" t="inlineStr">
        <is>
          <t>Bhargav Challa</t>
        </is>
      </c>
      <c r="B1251" s="37" t="inlineStr">
        <is>
          <t>Bachupally</t>
        </is>
      </c>
      <c r="C1251" s="37" t="inlineStr">
        <is>
          <t>Grow Youth</t>
        </is>
      </c>
      <c r="D1251" s="37" t="inlineStr">
        <is>
          <t>2026-07-15</t>
        </is>
      </c>
      <c r="E1251" s="37" t="inlineStr">
        <is>
          <t>Process Check</t>
        </is>
      </c>
      <c r="F1251" s="37" t="inlineStr">
        <is>
          <t>Check is AH giving capstone project in GROW Tech.</t>
        </is>
      </c>
      <c r="G1251" s="37" t="inlineStr">
        <is>
          <t>Not Applicable</t>
        </is>
      </c>
    </row>
    <row r="1252">
      <c r="A1252" s="37" t="inlineStr">
        <is>
          <t>Bhargav Challa</t>
        </is>
      </c>
      <c r="B1252" s="37" t="inlineStr">
        <is>
          <t>Bachupally</t>
        </is>
      </c>
      <c r="C1252" s="37" t="inlineStr">
        <is>
          <t>Grow Youth</t>
        </is>
      </c>
      <c r="D1252" s="37" t="inlineStr">
        <is>
          <t>2026-07-15</t>
        </is>
      </c>
      <c r="E1252" s="37" t="inlineStr">
        <is>
          <t>Process Check</t>
        </is>
      </c>
      <c r="F1252" s="37" t="inlineStr">
        <is>
          <t>Check is AH planning OJT as per guidelines and proofs are collected for technical courses.</t>
        </is>
      </c>
      <c r="G1252" s="37" t="inlineStr">
        <is>
          <t>Not Applicable</t>
        </is>
      </c>
    </row>
    <row r="1253">
      <c r="A1253" s="37" t="inlineStr">
        <is>
          <t>Bhargav Challa</t>
        </is>
      </c>
      <c r="B1253" s="37" t="inlineStr">
        <is>
          <t>Bachupally</t>
        </is>
      </c>
      <c r="C1253" s="37" t="inlineStr">
        <is>
          <t>Grow Youth</t>
        </is>
      </c>
      <c r="D1253" s="37" t="inlineStr">
        <is>
          <t>2026-07-15</t>
        </is>
      </c>
      <c r="E1253" s="37" t="inlineStr">
        <is>
          <t>Process Check</t>
        </is>
      </c>
      <c r="F1253" s="37" t="inlineStr">
        <is>
          <t>Check are trainers contacting aspirants to find reason for their absenteeism of more than 1 day.</t>
        </is>
      </c>
      <c r="G1253" s="37" t="inlineStr">
        <is>
          <t>All is Well</t>
        </is>
      </c>
    </row>
    <row r="1254">
      <c r="A1254" s="37" t="inlineStr">
        <is>
          <t>Bhargav Challa</t>
        </is>
      </c>
      <c r="B1254" s="37" t="inlineStr">
        <is>
          <t>Bachupally</t>
        </is>
      </c>
      <c r="C1254" s="37" t="inlineStr">
        <is>
          <t>Grow Youth</t>
        </is>
      </c>
      <c r="D1254" s="37" t="inlineStr">
        <is>
          <t>2026-07-15</t>
        </is>
      </c>
      <c r="E1254" s="37" t="inlineStr">
        <is>
          <t>Process Check</t>
        </is>
      </c>
      <c r="F1254" s="37" t="inlineStr">
        <is>
          <t>Check the AH plans monthly enrolment and placement numbers by the 3rd of each month and shares them with second level managers.</t>
        </is>
      </c>
      <c r="G1254" s="37" t="inlineStr">
        <is>
          <t>All is Well</t>
        </is>
      </c>
    </row>
    <row r="1255">
      <c r="A1255" s="37" t="inlineStr">
        <is>
          <t>Bhargav Challa</t>
        </is>
      </c>
      <c r="B1255" s="37" t="inlineStr">
        <is>
          <t>Bachupally</t>
        </is>
      </c>
      <c r="C1255" s="37" t="inlineStr">
        <is>
          <t>Grow Youth</t>
        </is>
      </c>
      <c r="D1255" s="37" t="inlineStr">
        <is>
          <t>2026-07-15</t>
        </is>
      </c>
      <c r="E1255" s="37" t="inlineStr">
        <is>
          <t>Process Check</t>
        </is>
      </c>
      <c r="F1255" s="37" t="inlineStr">
        <is>
          <t>Check trainers submit aspirants’ placement interest areas to the AH by the batch’s 25th day (in GROW).</t>
        </is>
      </c>
      <c r="G1255" s="37" t="inlineStr">
        <is>
          <t>All is Well</t>
        </is>
      </c>
    </row>
    <row r="1256">
      <c r="A1256" s="37" t="inlineStr">
        <is>
          <t>Bhargav Challa</t>
        </is>
      </c>
      <c r="B1256" s="37" t="inlineStr">
        <is>
          <t>Bachupally</t>
        </is>
      </c>
      <c r="C1256" s="37" t="inlineStr">
        <is>
          <t>Grow Youth</t>
        </is>
      </c>
      <c r="D1256" s="37" t="inlineStr">
        <is>
          <t>2026-07-15</t>
        </is>
      </c>
      <c r="E1256" s="37" t="inlineStr">
        <is>
          <t>Process Check</t>
        </is>
      </c>
      <c r="F1256" s="37" t="inlineStr">
        <is>
          <t>Ckeck For technical programs, placement is done only in technical jobs,on which aspirants are trained and relevant emplyers are identified by 45th day.</t>
        </is>
      </c>
      <c r="G1256" s="37" t="inlineStr">
        <is>
          <t>Not Applicable</t>
        </is>
      </c>
    </row>
    <row r="1257">
      <c r="A1257" s="37" t="inlineStr">
        <is>
          <t>Bhargav Challa</t>
        </is>
      </c>
      <c r="B1257" s="37" t="inlineStr">
        <is>
          <t>Bachupally</t>
        </is>
      </c>
      <c r="C1257" s="37" t="inlineStr">
        <is>
          <t>Grow Youth</t>
        </is>
      </c>
      <c r="D1257" s="37" t="inlineStr">
        <is>
          <t>2026-07-15</t>
        </is>
      </c>
      <c r="E1257" s="37" t="inlineStr">
        <is>
          <t>Process Check</t>
        </is>
      </c>
      <c r="F1257" s="37" t="inlineStr">
        <is>
          <t>Check the AH follows EP guidelines and minimum benchmark salary guidelines.</t>
        </is>
      </c>
      <c r="G1257" s="37" t="inlineStr">
        <is>
          <t>All is Well</t>
        </is>
      </c>
    </row>
    <row r="1258">
      <c r="A1258" s="37" t="inlineStr">
        <is>
          <t>Bhargav Challa</t>
        </is>
      </c>
      <c r="B1258" s="37" t="inlineStr">
        <is>
          <t>Bachupally</t>
        </is>
      </c>
      <c r="C1258" s="37" t="inlineStr">
        <is>
          <t>Grow Youth</t>
        </is>
      </c>
      <c r="D1258" s="37" t="inlineStr">
        <is>
          <t>2026-07-15</t>
        </is>
      </c>
      <c r="E1258" s="37" t="inlineStr">
        <is>
          <t>Process Check</t>
        </is>
      </c>
      <c r="F1258" s="37" t="inlineStr">
        <is>
          <t>Check that AH is enrolling only the right traget group in the program -as per the defined target.</t>
        </is>
      </c>
      <c r="G1258" s="37" t="inlineStr">
        <is>
          <t>Need Improvement</t>
        </is>
      </c>
    </row>
    <row r="1259">
      <c r="A1259" s="37" t="inlineStr">
        <is>
          <t>Bhargav Challa</t>
        </is>
      </c>
      <c r="B1259" s="37" t="inlineStr">
        <is>
          <t>Bachupally</t>
        </is>
      </c>
      <c r="C1259" s="37" t="inlineStr">
        <is>
          <t>Grow Youth</t>
        </is>
      </c>
      <c r="D1259" s="37" t="inlineStr">
        <is>
          <t>2026-07-15</t>
        </is>
      </c>
      <c r="E1259" s="37" t="inlineStr">
        <is>
          <t>Process Check</t>
        </is>
      </c>
      <c r="F1259" s="37" t="inlineStr">
        <is>
          <t>Check the AH announces the next batch-start date by the 3rd of the month on all notice boards — focus on Zero-Day start.</t>
        </is>
      </c>
      <c r="G1259" s="37" t="inlineStr">
        <is>
          <t>All is Well</t>
        </is>
      </c>
    </row>
    <row r="1260">
      <c r="A1260" s="37" t="inlineStr">
        <is>
          <t>Bhargav Challa</t>
        </is>
      </c>
      <c r="B1260" s="37" t="inlineStr">
        <is>
          <t>Bachupally</t>
        </is>
      </c>
      <c r="C1260" s="37" t="inlineStr">
        <is>
          <t>Grow Youth</t>
        </is>
      </c>
      <c r="D1260" s="37" t="inlineStr">
        <is>
          <t>2026-07-15</t>
        </is>
      </c>
      <c r="E1260" s="37" t="inlineStr">
        <is>
          <t>Process Check</t>
        </is>
      </c>
      <c r="F1260" s="37" t="inlineStr">
        <is>
          <t>Check the Aspirant Mock Interview Score Tracker is updated after every mock interview in the L&amp;D Google Sheet.</t>
        </is>
      </c>
      <c r="G1260" s="37" t="inlineStr">
        <is>
          <t>All is Well</t>
        </is>
      </c>
    </row>
    <row r="1261">
      <c r="A1261" s="37" t="inlineStr">
        <is>
          <t>Bhargav Challa</t>
        </is>
      </c>
      <c r="B1261" s="37" t="inlineStr">
        <is>
          <t>Bachupally</t>
        </is>
      </c>
      <c r="C1261" s="37" t="inlineStr">
        <is>
          <t>Grow Youth</t>
        </is>
      </c>
      <c r="D1261" s="37" t="inlineStr">
        <is>
          <t>2026-07-15</t>
        </is>
      </c>
      <c r="E1261" s="37" t="inlineStr">
        <is>
          <t>Process Check</t>
        </is>
      </c>
      <c r="F1261" s="37" t="inlineStr">
        <is>
          <t>Confirm NPS (Net Promoter Score) is collected at MSDF centres.</t>
        </is>
      </c>
      <c r="G1261" s="37" t="inlineStr">
        <is>
          <t>Not Applicable</t>
        </is>
      </c>
    </row>
    <row r="1262">
      <c r="A1262" s="37" t="inlineStr">
        <is>
          <t>Bhargav Challa</t>
        </is>
      </c>
      <c r="B1262" s="37" t="inlineStr">
        <is>
          <t>Bachupally</t>
        </is>
      </c>
      <c r="C1262" s="37" t="inlineStr">
        <is>
          <t>Grow Youth</t>
        </is>
      </c>
      <c r="D1262" s="37" t="inlineStr">
        <is>
          <t>2026-07-15</t>
        </is>
      </c>
      <c r="E1262" s="37" t="inlineStr">
        <is>
          <t>Process Check</t>
        </is>
      </c>
      <c r="F1262" s="37" t="inlineStr">
        <is>
          <t>Confirm that QAE is collecting student feedback for every batch.</t>
        </is>
      </c>
      <c r="G1262" s="37" t="inlineStr">
        <is>
          <t>All is Well</t>
        </is>
      </c>
    </row>
    <row r="1263">
      <c r="A1263" s="37" t="inlineStr">
        <is>
          <t>Bhargav Challa</t>
        </is>
      </c>
      <c r="B1263" s="37" t="inlineStr">
        <is>
          <t>Bachupally</t>
        </is>
      </c>
      <c r="C1263" s="37" t="inlineStr">
        <is>
          <t>Grow Youth</t>
        </is>
      </c>
      <c r="D1263" s="37" t="inlineStr">
        <is>
          <t>2026-07-15</t>
        </is>
      </c>
      <c r="E1263" s="37" t="inlineStr">
        <is>
          <t>Process Check</t>
        </is>
      </c>
      <c r="F1263" s="37" t="inlineStr">
        <is>
          <t>Confirm all centre teams have completed the GROW Manual Course on Skillfy — ask for achievement certificates.</t>
        </is>
      </c>
      <c r="G1263" s="37" t="inlineStr">
        <is>
          <t>All is Well</t>
        </is>
      </c>
    </row>
    <row r="1264">
      <c r="A1264" s="37" t="inlineStr">
        <is>
          <t>Bhargav Challa</t>
        </is>
      </c>
      <c r="B1264" s="37" t="inlineStr">
        <is>
          <t>Bachupally</t>
        </is>
      </c>
      <c r="C1264" s="37" t="inlineStr">
        <is>
          <t>Grow Youth</t>
        </is>
      </c>
      <c r="D1264" s="37" t="inlineStr">
        <is>
          <t>2026-07-15</t>
        </is>
      </c>
      <c r="E1264" s="37" t="inlineStr">
        <is>
          <t>Process Check</t>
        </is>
      </c>
      <c r="F1264" s="37" t="inlineStr">
        <is>
          <t>Check AH holds a quality weekly team meeting, documents action points in the weekly meeting format, and sends you a photo on WhatsApp.</t>
        </is>
      </c>
      <c r="G1264" s="37" t="inlineStr">
        <is>
          <t>Need Improvement</t>
        </is>
      </c>
    </row>
    <row r="1265">
      <c r="A1265" s="37" t="inlineStr">
        <is>
          <t>Bhargav Challa</t>
        </is>
      </c>
      <c r="B1265" s="37" t="inlineStr">
        <is>
          <t>Bachupally</t>
        </is>
      </c>
      <c r="C1265" s="37" t="inlineStr">
        <is>
          <t>Grow Youth</t>
        </is>
      </c>
      <c r="D1265" s="37" t="inlineStr">
        <is>
          <t>2026-07-15</t>
        </is>
      </c>
      <c r="E1265" s="37" t="inlineStr">
        <is>
          <t>Aspirant Interaction</t>
        </is>
      </c>
      <c r="F1265" s="37" t="inlineStr">
        <is>
          <t>Ask aspirants about the session plan — confirm training is happening as planned?</t>
        </is>
      </c>
      <c r="G1265" s="37" t="inlineStr">
        <is>
          <t>All is Well</t>
        </is>
      </c>
    </row>
    <row r="1266">
      <c r="A1266" s="37" t="inlineStr">
        <is>
          <t>Bhargav Challa</t>
        </is>
      </c>
      <c r="B1266" s="37" t="inlineStr">
        <is>
          <t>Bachupally</t>
        </is>
      </c>
      <c r="C1266" s="37" t="inlineStr">
        <is>
          <t>Grow Youth</t>
        </is>
      </c>
      <c r="D1266" s="37" t="inlineStr">
        <is>
          <t>2026-07-15</t>
        </is>
      </c>
      <c r="E1266" s="37" t="inlineStr">
        <is>
          <t>Aspirant Interaction</t>
        </is>
      </c>
      <c r="F1266" s="37" t="inlineStr">
        <is>
          <t>Ask about the quality of Core Employability component delivery (technical centres) and who delivers it.</t>
        </is>
      </c>
      <c r="G1266" s="37" t="inlineStr">
        <is>
          <t>Not Applicable</t>
        </is>
      </c>
    </row>
    <row r="1267">
      <c r="A1267" s="37" t="inlineStr">
        <is>
          <t>Bhargav Challa</t>
        </is>
      </c>
      <c r="B1267" s="37" t="inlineStr">
        <is>
          <t>Bachupally</t>
        </is>
      </c>
      <c r="C1267" s="37" t="inlineStr">
        <is>
          <t>Grow Youth</t>
        </is>
      </c>
      <c r="D1267" s="37" t="inlineStr">
        <is>
          <t>2026-07-15</t>
        </is>
      </c>
      <c r="E1267" s="37" t="inlineStr">
        <is>
          <t>Aspirant Interaction</t>
        </is>
      </c>
      <c r="F1267" s="37" t="inlineStr">
        <is>
          <t>Ask whether they are aware of the referral scheme?</t>
        </is>
      </c>
      <c r="G1267" s="37" t="inlineStr">
        <is>
          <t>Need Improvement</t>
        </is>
      </c>
    </row>
    <row r="1268">
      <c r="A1268" s="37" t="inlineStr">
        <is>
          <t>Bhargav Challa</t>
        </is>
      </c>
      <c r="B1268" s="37" t="inlineStr">
        <is>
          <t>Bachupally</t>
        </is>
      </c>
      <c r="C1268" s="37" t="inlineStr">
        <is>
          <t>Grow Youth</t>
        </is>
      </c>
      <c r="D1268" s="37" t="inlineStr">
        <is>
          <t>2026-07-15</t>
        </is>
      </c>
      <c r="E1268" s="37" t="inlineStr">
        <is>
          <t>Aspirant Interaction</t>
        </is>
      </c>
      <c r="F1268" s="37" t="inlineStr">
        <is>
          <t>Ask whether the AH explained the importance of the offer letter and sharing it with us once received for reporting purposes?</t>
        </is>
      </c>
      <c r="G1268" s="37" t="inlineStr">
        <is>
          <t>All is Well</t>
        </is>
      </c>
    </row>
    <row r="1269">
      <c r="A1269" s="37" t="inlineStr">
        <is>
          <t>Bhargav Challa</t>
        </is>
      </c>
      <c r="B1269" s="37" t="inlineStr">
        <is>
          <t>Bachupally</t>
        </is>
      </c>
      <c r="C1269" s="37" t="inlineStr">
        <is>
          <t>Grow Youth</t>
        </is>
      </c>
      <c r="D1269" s="37" t="inlineStr">
        <is>
          <t>2026-07-15</t>
        </is>
      </c>
      <c r="E1269" s="37" t="inlineStr">
        <is>
          <t>Aspirant Interaction</t>
        </is>
      </c>
      <c r="F1269" s="37" t="inlineStr">
        <is>
          <t>Ask how many are not interested in jobs — and if so, why they enrolled in the programme?</t>
        </is>
      </c>
      <c r="G1269" s="37" t="inlineStr">
        <is>
          <t>All is Well</t>
        </is>
      </c>
    </row>
    <row r="1270">
      <c r="A1270" s="37" t="inlineStr">
        <is>
          <t>Bhargav Challa</t>
        </is>
      </c>
      <c r="B1270" s="37" t="inlineStr">
        <is>
          <t>Bachupally</t>
        </is>
      </c>
      <c r="C1270" s="37" t="inlineStr">
        <is>
          <t>Grow Youth</t>
        </is>
      </c>
      <c r="D1270" s="37" t="inlineStr">
        <is>
          <t>2026-07-15</t>
        </is>
      </c>
      <c r="E1270" s="37" t="inlineStr">
        <is>
          <t>Aspirant Interaction</t>
        </is>
      </c>
      <c r="F1270" s="37" t="inlineStr">
        <is>
          <t>Ask whether they were told the kind of job they would get during counselling?</t>
        </is>
      </c>
      <c r="G1270" s="37" t="inlineStr">
        <is>
          <t>All is Well</t>
        </is>
      </c>
    </row>
    <row r="1271">
      <c r="A1271" s="37" t="inlineStr">
        <is>
          <t>Bhargav Challa</t>
        </is>
      </c>
      <c r="B1271" s="37" t="inlineStr">
        <is>
          <t>Bachupally</t>
        </is>
      </c>
      <c r="C1271" s="37" t="inlineStr">
        <is>
          <t>Grow Youth</t>
        </is>
      </c>
      <c r="D1271" s="37" t="inlineStr">
        <is>
          <t>2026-07-15</t>
        </is>
      </c>
      <c r="E1271" s="37" t="inlineStr">
        <is>
          <t>Aspirant Interaction</t>
        </is>
      </c>
      <c r="F1271" s="37" t="inlineStr">
        <is>
          <t>Ask whether they have been given LMS access?</t>
        </is>
      </c>
      <c r="G1271" s="37" t="inlineStr">
        <is>
          <t>All is Well</t>
        </is>
      </c>
    </row>
    <row r="1272">
      <c r="A1272" s="37" t="inlineStr">
        <is>
          <t>Bhargav Challa</t>
        </is>
      </c>
      <c r="B1272" s="37" t="inlineStr">
        <is>
          <t>Bachupally</t>
        </is>
      </c>
      <c r="C1272" s="37" t="inlineStr">
        <is>
          <t>Grow Youth</t>
        </is>
      </c>
      <c r="D1272" s="37" t="inlineStr">
        <is>
          <t>2026-07-15</t>
        </is>
      </c>
      <c r="E1272" s="37" t="inlineStr">
        <is>
          <t>Aspirant Interaction</t>
        </is>
      </c>
      <c r="F1272" s="37" t="inlineStr">
        <is>
          <t>Ask whether anyone asked them for money for training or placement?</t>
        </is>
      </c>
      <c r="G1272" s="37" t="inlineStr">
        <is>
          <t>All is Well</t>
        </is>
      </c>
    </row>
    <row r="1273">
      <c r="A1273" s="37" t="inlineStr">
        <is>
          <t>Bhargav Challa</t>
        </is>
      </c>
      <c r="B1273" s="37" t="inlineStr">
        <is>
          <t>Bachupally</t>
        </is>
      </c>
      <c r="C1273" s="37" t="inlineStr">
        <is>
          <t>Grow Youth</t>
        </is>
      </c>
      <c r="D1273" s="37" t="inlineStr">
        <is>
          <t>2026-07-15</t>
        </is>
      </c>
      <c r="E1273" s="37" t="inlineStr">
        <is>
          <t>Aspirant Interaction</t>
        </is>
      </c>
      <c r="F1273" s="37" t="inlineStr">
        <is>
          <t>Ask to show their mobile phones — are they enrolled on Skillfy? If not, get them enrolled and give written feedback to trainers and the AH in your presence.</t>
        </is>
      </c>
      <c r="G1273" s="37" t="inlineStr">
        <is>
          <t>Need Improvement</t>
        </is>
      </c>
    </row>
    <row r="1274">
      <c r="A1274" s="37" t="inlineStr">
        <is>
          <t>Bhargav Challa</t>
        </is>
      </c>
      <c r="B1274" s="37" t="inlineStr">
        <is>
          <t>Bachupally</t>
        </is>
      </c>
      <c r="C1274" s="37" t="inlineStr">
        <is>
          <t>Grow Youth</t>
        </is>
      </c>
      <c r="D1274" s="37" t="inlineStr">
        <is>
          <t>2026-07-15</t>
        </is>
      </c>
      <c r="E1274" s="37" t="inlineStr">
        <is>
          <t>Aspirant Interaction</t>
        </is>
      </c>
      <c r="F1274" s="37" t="inlineStr">
        <is>
          <t>Ask about the quality of the hostel and any issues they face.</t>
        </is>
      </c>
      <c r="G1274" s="37" t="inlineStr">
        <is>
          <t>Not Applicable</t>
        </is>
      </c>
    </row>
    <row r="1275">
      <c r="A1275" s="37" t="inlineStr">
        <is>
          <t>Bhargav Challa</t>
        </is>
      </c>
      <c r="B1275" s="37" t="inlineStr">
        <is>
          <t>Bachupally</t>
        </is>
      </c>
      <c r="C1275" s="37" t="inlineStr">
        <is>
          <t>Grow Youth</t>
        </is>
      </c>
      <c r="D1275" s="37" t="inlineStr">
        <is>
          <t>2026-07-15</t>
        </is>
      </c>
      <c r="E1275" s="37" t="inlineStr">
        <is>
          <t>Aspirant Interaction</t>
        </is>
      </c>
      <c r="F1275" s="37" t="inlineStr">
        <is>
          <t>Ask a few relevant screening questions to support the 10th-day report and remove non-serious candidates, explaining to them the reasons.</t>
        </is>
      </c>
      <c r="G1275" s="37" t="inlineStr">
        <is>
          <t>All is Well</t>
        </is>
      </c>
    </row>
    <row r="1276">
      <c r="A1276" s="37" t="inlineStr">
        <is>
          <t>Barna</t>
        </is>
      </c>
      <c r="B1276" s="37" t="inlineStr">
        <is>
          <t>Nehru Nagar Durg</t>
        </is>
      </c>
      <c r="C1276" s="37" t="inlineStr">
        <is>
          <t>Youth Accenture</t>
        </is>
      </c>
      <c r="D1276" s="37" t="inlineStr">
        <is>
          <t>2026-07-15</t>
        </is>
      </c>
      <c r="E1276" s="37" t="inlineStr">
        <is>
          <t>Data Check</t>
        </is>
      </c>
      <c r="F1276" s="37" t="inlineStr">
        <is>
          <t>Reach the centre on time (unannounced) — confirm the centre opened on time.</t>
        </is>
      </c>
      <c r="G1276" s="37" t="inlineStr">
        <is>
          <t>All is Well</t>
        </is>
      </c>
    </row>
    <row r="1277">
      <c r="A1277" s="37" t="inlineStr">
        <is>
          <t>Barna</t>
        </is>
      </c>
      <c r="B1277" s="37" t="inlineStr">
        <is>
          <t>Nehru Nagar Durg</t>
        </is>
      </c>
      <c r="C1277" s="37" t="inlineStr">
        <is>
          <t>Youth Accenture</t>
        </is>
      </c>
      <c r="D1277" s="37" t="inlineStr">
        <is>
          <t>2026-07-15</t>
        </is>
      </c>
      <c r="E1277" s="37" t="inlineStr">
        <is>
          <t>Data Check</t>
        </is>
      </c>
      <c r="F1277" s="37" t="inlineStr">
        <is>
          <t>Check the staff attendance register, the Google Sheet, and geo-tagged photos for aspirants.</t>
        </is>
      </c>
      <c r="G1277" s="37" t="inlineStr">
        <is>
          <t>All is Well</t>
        </is>
      </c>
    </row>
    <row r="1278">
      <c r="A1278" s="37" t="inlineStr">
        <is>
          <t>Barna</t>
        </is>
      </c>
      <c r="B1278" s="37" t="inlineStr">
        <is>
          <t>Nehru Nagar Durg</t>
        </is>
      </c>
      <c r="C1278" s="37" t="inlineStr">
        <is>
          <t>Youth Accenture</t>
        </is>
      </c>
      <c r="D1278" s="37" t="inlineStr">
        <is>
          <t>2026-07-15</t>
        </is>
      </c>
      <c r="E1278" s="37" t="inlineStr">
        <is>
          <t>Data Check</t>
        </is>
      </c>
      <c r="F1278" s="37" t="inlineStr">
        <is>
          <t>Check Counselling and Screening Forms of recently started batches.</t>
        </is>
      </c>
      <c r="G1278" s="37" t="inlineStr">
        <is>
          <t>Need Improvement</t>
        </is>
      </c>
    </row>
    <row r="1279">
      <c r="A1279" s="37" t="inlineStr">
        <is>
          <t>Barna</t>
        </is>
      </c>
      <c r="B1279" s="37" t="inlineStr">
        <is>
          <t>Nehru Nagar Durg</t>
        </is>
      </c>
      <c r="C1279" s="37" t="inlineStr">
        <is>
          <t>Youth Accenture</t>
        </is>
      </c>
      <c r="D1279" s="37" t="inlineStr">
        <is>
          <t>2026-07-15</t>
        </is>
      </c>
      <c r="E1279" s="37" t="inlineStr">
        <is>
          <t>Data Check</t>
        </is>
      </c>
      <c r="F1279" s="37" t="inlineStr">
        <is>
          <t>Check Aspirant Registration Forms and related documents.</t>
        </is>
      </c>
      <c r="G1279" s="37" t="inlineStr">
        <is>
          <t>Need Improvement</t>
        </is>
      </c>
    </row>
    <row r="1280">
      <c r="A1280" s="37" t="inlineStr">
        <is>
          <t>Barna</t>
        </is>
      </c>
      <c r="B1280" s="37" t="inlineStr">
        <is>
          <t>Nehru Nagar Durg</t>
        </is>
      </c>
      <c r="C1280" s="37" t="inlineStr">
        <is>
          <t>Youth Accenture</t>
        </is>
      </c>
      <c r="D1280" s="37" t="inlineStr">
        <is>
          <t>2026-07-15</t>
        </is>
      </c>
      <c r="E1280" s="37" t="inlineStr">
        <is>
          <t>Data Check</t>
        </is>
      </c>
      <c r="F1280" s="37" t="inlineStr">
        <is>
          <t>On the GROW portal, confirm all student profile details and batch updates are currect.</t>
        </is>
      </c>
      <c r="G1280" s="37" t="inlineStr">
        <is>
          <t>All is Well</t>
        </is>
      </c>
    </row>
    <row r="1281">
      <c r="A1281" s="37" t="inlineStr">
        <is>
          <t>Barna</t>
        </is>
      </c>
      <c r="B1281" s="37" t="inlineStr">
        <is>
          <t>Nehru Nagar Durg</t>
        </is>
      </c>
      <c r="C1281" s="37" t="inlineStr">
        <is>
          <t>Youth Accenture</t>
        </is>
      </c>
      <c r="D1281" s="37" t="inlineStr">
        <is>
          <t>2026-07-15</t>
        </is>
      </c>
      <c r="E1281" s="37" t="inlineStr">
        <is>
          <t>Data Check</t>
        </is>
      </c>
      <c r="F1281" s="37" t="inlineStr">
        <is>
          <t>Verify placement data — randomly call 3–4 alumni placed in the last 3 months to confirm veracity (random selection is essential).</t>
        </is>
      </c>
      <c r="G1281" s="37" t="inlineStr">
        <is>
          <t>All is Well</t>
        </is>
      </c>
    </row>
    <row r="1282">
      <c r="A1282" s="37" t="inlineStr">
        <is>
          <t>Barna</t>
        </is>
      </c>
      <c r="B1282" s="37" t="inlineStr">
        <is>
          <t>Nehru Nagar Durg</t>
        </is>
      </c>
      <c r="C1282" s="37" t="inlineStr">
        <is>
          <t>Youth Accenture</t>
        </is>
      </c>
      <c r="D1282" s="37" t="inlineStr">
        <is>
          <t>2026-07-15</t>
        </is>
      </c>
      <c r="E1282" s="37" t="inlineStr">
        <is>
          <t>Data Check</t>
        </is>
      </c>
      <c r="F1282" s="37" t="inlineStr">
        <is>
          <t>Verify retention — check the Alumni Hand-holding Format is being updated as designed.</t>
        </is>
      </c>
      <c r="G1282" s="37" t="inlineStr">
        <is>
          <t>Need Improvement</t>
        </is>
      </c>
    </row>
    <row r="1283">
      <c r="A1283" s="37" t="inlineStr">
        <is>
          <t>Barna</t>
        </is>
      </c>
      <c r="B1283" s="37" t="inlineStr">
        <is>
          <t>Nehru Nagar Durg</t>
        </is>
      </c>
      <c r="C1283" s="37" t="inlineStr">
        <is>
          <t>Youth Accenture</t>
        </is>
      </c>
      <c r="D1283" s="37" t="inlineStr">
        <is>
          <t>2026-07-15</t>
        </is>
      </c>
      <c r="E1283" s="37" t="inlineStr">
        <is>
          <t>Data Check</t>
        </is>
      </c>
      <c r="F1283" s="37" t="inlineStr">
        <is>
          <t>Check aspirant Hostel Forms are properly filled or not.</t>
        </is>
      </c>
      <c r="G1283" s="37" t="inlineStr">
        <is>
          <t>Not Applicable</t>
        </is>
      </c>
    </row>
    <row r="1284">
      <c r="A1284" s="37" t="inlineStr">
        <is>
          <t>Barna</t>
        </is>
      </c>
      <c r="B1284" s="37" t="inlineStr">
        <is>
          <t>Nehru Nagar Durg</t>
        </is>
      </c>
      <c r="C1284" s="37" t="inlineStr">
        <is>
          <t>Youth Accenture</t>
        </is>
      </c>
      <c r="D1284" s="37" t="inlineStr">
        <is>
          <t>2026-07-15</t>
        </is>
      </c>
      <c r="E1284" s="37" t="inlineStr">
        <is>
          <t>Infra Check</t>
        </is>
      </c>
      <c r="F1284" s="37" t="inlineStr">
        <is>
          <t>Check all CCTV cameras; if any are not working, ask the AH to troubleshoot or call the vendor.</t>
        </is>
      </c>
      <c r="G1284" s="37" t="inlineStr">
        <is>
          <t>All is Well</t>
        </is>
      </c>
    </row>
    <row r="1285">
      <c r="A1285" s="37" t="inlineStr">
        <is>
          <t>Barna</t>
        </is>
      </c>
      <c r="B1285" s="37" t="inlineStr">
        <is>
          <t>Nehru Nagar Durg</t>
        </is>
      </c>
      <c r="C1285" s="37" t="inlineStr">
        <is>
          <t>Youth Accenture</t>
        </is>
      </c>
      <c r="D1285" s="37" t="inlineStr">
        <is>
          <t>2026-07-15</t>
        </is>
      </c>
      <c r="E1285" s="37" t="inlineStr">
        <is>
          <t>Infra Check</t>
        </is>
      </c>
      <c r="F1285" s="37" t="inlineStr">
        <is>
          <t>Check for any scrap material and get it cleared, with support of Admin</t>
        </is>
      </c>
      <c r="G1285" s="37" t="inlineStr">
        <is>
          <t>Need Improvement</t>
        </is>
      </c>
    </row>
    <row r="1286">
      <c r="A1286" s="37" t="inlineStr">
        <is>
          <t>Barna</t>
        </is>
      </c>
      <c r="B1286" s="37" t="inlineStr">
        <is>
          <t>Nehru Nagar Durg</t>
        </is>
      </c>
      <c r="C1286" s="37" t="inlineStr">
        <is>
          <t>Youth Accenture</t>
        </is>
      </c>
      <c r="D1286" s="37" t="inlineStr">
        <is>
          <t>2026-07-15</t>
        </is>
      </c>
      <c r="E1286" s="37" t="inlineStr">
        <is>
          <t>Infra Check</t>
        </is>
      </c>
      <c r="F1286" s="37" t="inlineStr">
        <is>
          <t>Check for any pending infra repairs.</t>
        </is>
      </c>
      <c r="G1286" s="37" t="inlineStr">
        <is>
          <t>All is Well</t>
        </is>
      </c>
    </row>
    <row r="1287">
      <c r="A1287" s="37" t="inlineStr">
        <is>
          <t>Barna</t>
        </is>
      </c>
      <c r="B1287" s="37" t="inlineStr">
        <is>
          <t>Nehru Nagar Durg</t>
        </is>
      </c>
      <c r="C1287" s="37" t="inlineStr">
        <is>
          <t>Youth Accenture</t>
        </is>
      </c>
      <c r="D1287" s="37" t="inlineStr">
        <is>
          <t>2026-07-15</t>
        </is>
      </c>
      <c r="E1287" s="37" t="inlineStr">
        <is>
          <t>Infra Check</t>
        </is>
      </c>
      <c r="F1287" s="37" t="inlineStr">
        <is>
          <t>Check whether any fire extinguishers have expired (check the needle and expiry date both).</t>
        </is>
      </c>
      <c r="G1287" s="37" t="inlineStr">
        <is>
          <t>All is Well</t>
        </is>
      </c>
    </row>
    <row r="1288">
      <c r="A1288" s="37" t="inlineStr">
        <is>
          <t>Barna</t>
        </is>
      </c>
      <c r="B1288" s="37" t="inlineStr">
        <is>
          <t>Nehru Nagar Durg</t>
        </is>
      </c>
      <c r="C1288" s="37" t="inlineStr">
        <is>
          <t>Youth Accenture</t>
        </is>
      </c>
      <c r="D1288" s="37" t="inlineStr">
        <is>
          <t>2026-07-15</t>
        </is>
      </c>
      <c r="E1288" s="37" t="inlineStr">
        <is>
          <t>Infra Check</t>
        </is>
      </c>
      <c r="F1288" s="37" t="inlineStr">
        <is>
          <t>Check basic cleanliness of the washrooms and the centre.</t>
        </is>
      </c>
      <c r="G1288" s="37" t="inlineStr">
        <is>
          <t>Need Improvement</t>
        </is>
      </c>
    </row>
    <row r="1289">
      <c r="A1289" s="37" t="inlineStr">
        <is>
          <t>Barna</t>
        </is>
      </c>
      <c r="B1289" s="37" t="inlineStr">
        <is>
          <t>Nehru Nagar Durg</t>
        </is>
      </c>
      <c r="C1289" s="37" t="inlineStr">
        <is>
          <t>Youth Accenture</t>
        </is>
      </c>
      <c r="D1289" s="37" t="inlineStr">
        <is>
          <t>2026-07-15</t>
        </is>
      </c>
      <c r="E1289" s="37" t="inlineStr">
        <is>
          <t>Infra Check</t>
        </is>
      </c>
      <c r="F1289" s="37" t="inlineStr">
        <is>
          <t>Confirm the correct program and partner logos are displayed.</t>
        </is>
      </c>
      <c r="G1289" s="37" t="inlineStr">
        <is>
          <t>All is Well</t>
        </is>
      </c>
    </row>
    <row r="1290">
      <c r="A1290" s="37" t="inlineStr">
        <is>
          <t>Barna</t>
        </is>
      </c>
      <c r="B1290" s="37" t="inlineStr">
        <is>
          <t>Nehru Nagar Durg</t>
        </is>
      </c>
      <c r="C1290" s="37" t="inlineStr">
        <is>
          <t>Youth Accenture</t>
        </is>
      </c>
      <c r="D1290" s="37" t="inlineStr">
        <is>
          <t>2026-07-15</t>
        </is>
      </c>
      <c r="E1290" s="37" t="inlineStr">
        <is>
          <t>Infra Check</t>
        </is>
      </c>
      <c r="F1290" s="37" t="inlineStr">
        <is>
          <t>Check the status of digital infra — PCs, smartboards, tablets, laptops, etc.</t>
        </is>
      </c>
      <c r="G1290" s="37" t="inlineStr">
        <is>
          <t>All is Well</t>
        </is>
      </c>
    </row>
    <row r="1291">
      <c r="A1291" s="37" t="inlineStr">
        <is>
          <t>Barna</t>
        </is>
      </c>
      <c r="B1291" s="37" t="inlineStr">
        <is>
          <t>Nehru Nagar Durg</t>
        </is>
      </c>
      <c r="C1291" s="37" t="inlineStr">
        <is>
          <t>Youth Accenture</t>
        </is>
      </c>
      <c r="D1291" s="37" t="inlineStr">
        <is>
          <t>2026-07-15</t>
        </is>
      </c>
      <c r="E1291" s="37" t="inlineStr">
        <is>
          <t>Infra Check</t>
        </is>
      </c>
      <c r="F1291" s="37" t="inlineStr">
        <is>
          <t>Make a quick hostel visit; have lunch there if possible to test the food quality.</t>
        </is>
      </c>
      <c r="G1291" s="37" t="inlineStr">
        <is>
          <t>Not Applicable</t>
        </is>
      </c>
    </row>
    <row r="1292">
      <c r="A1292" s="37" t="inlineStr">
        <is>
          <t>Barna</t>
        </is>
      </c>
      <c r="B1292" s="37" t="inlineStr">
        <is>
          <t>Nehru Nagar Durg</t>
        </is>
      </c>
      <c r="C1292" s="37" t="inlineStr">
        <is>
          <t>Youth Accenture</t>
        </is>
      </c>
      <c r="D1292" s="37" t="inlineStr">
        <is>
          <t>2026-07-15</t>
        </is>
      </c>
      <c r="E1292" s="37" t="inlineStr">
        <is>
          <t>Process Check</t>
        </is>
      </c>
      <c r="F1292" s="37" t="inlineStr">
        <is>
          <t>Refer to the activity planner — check if any activities are delayed.</t>
        </is>
      </c>
      <c r="G1292" s="37" t="inlineStr">
        <is>
          <t>Not Applicable</t>
        </is>
      </c>
    </row>
    <row r="1293">
      <c r="A1293" s="37" t="inlineStr">
        <is>
          <t>Barna</t>
        </is>
      </c>
      <c r="B1293" s="37" t="inlineStr">
        <is>
          <t>Nehru Nagar Durg</t>
        </is>
      </c>
      <c r="C1293" s="37" t="inlineStr">
        <is>
          <t>Youth Accenture</t>
        </is>
      </c>
      <c r="D1293" s="37" t="inlineStr">
        <is>
          <t>2026-07-15</t>
        </is>
      </c>
      <c r="E1293" s="37" t="inlineStr">
        <is>
          <t>Process Check</t>
        </is>
      </c>
      <c r="F1293" s="37" t="inlineStr">
        <is>
          <t>Check planning for the next batch-start announcement.</t>
        </is>
      </c>
      <c r="G1293" s="37" t="inlineStr">
        <is>
          <t>Need Improvement</t>
        </is>
      </c>
    </row>
    <row r="1294">
      <c r="A1294" s="37" t="inlineStr">
        <is>
          <t>Barna</t>
        </is>
      </c>
      <c r="B1294" s="37" t="inlineStr">
        <is>
          <t>Nehru Nagar Durg</t>
        </is>
      </c>
      <c r="C1294" s="37" t="inlineStr">
        <is>
          <t>Youth Accenture</t>
        </is>
      </c>
      <c r="D1294" s="37" t="inlineStr">
        <is>
          <t>2026-07-15</t>
        </is>
      </c>
      <c r="E1294" s="37" t="inlineStr">
        <is>
          <t>Process Check</t>
        </is>
      </c>
      <c r="F1294" s="37" t="inlineStr">
        <is>
          <t>Check if any hiring is delayed and plan a resolution.</t>
        </is>
      </c>
      <c r="G1294" s="37" t="inlineStr">
        <is>
          <t>All is Well</t>
        </is>
      </c>
    </row>
    <row r="1295">
      <c r="A1295" s="37" t="inlineStr">
        <is>
          <t>Barna</t>
        </is>
      </c>
      <c r="B1295" s="37" t="inlineStr">
        <is>
          <t>Nehru Nagar Durg</t>
        </is>
      </c>
      <c r="C1295" s="37" t="inlineStr">
        <is>
          <t>Youth Accenture</t>
        </is>
      </c>
      <c r="D1295" s="37" t="inlineStr">
        <is>
          <t>2026-07-15</t>
        </is>
      </c>
      <c r="E1295" s="37" t="inlineStr">
        <is>
          <t>Process Check</t>
        </is>
      </c>
      <c r="F1295" s="37" t="inlineStr">
        <is>
          <t>Check the CA’s diary — is CA guided daily by the AH during planning days?</t>
        </is>
      </c>
      <c r="G1295" s="37" t="inlineStr">
        <is>
          <t>Need Improvement</t>
        </is>
      </c>
    </row>
    <row r="1296">
      <c r="A1296" s="37" t="inlineStr">
        <is>
          <t>Barna</t>
        </is>
      </c>
      <c r="B1296" s="37" t="inlineStr">
        <is>
          <t>Nehru Nagar Durg</t>
        </is>
      </c>
      <c r="C1296" s="37" t="inlineStr">
        <is>
          <t>Youth Accenture</t>
        </is>
      </c>
      <c r="D1296" s="37" t="inlineStr">
        <is>
          <t>2026-07-15</t>
        </is>
      </c>
      <c r="E1296" s="37" t="inlineStr">
        <is>
          <t>Process Check</t>
        </is>
      </c>
      <c r="F1296" s="37" t="inlineStr">
        <is>
          <t>Check the AH is regularly meeting employers (in person and online) and updating the centre’s Top 20 Employer format.</t>
        </is>
      </c>
      <c r="G1296" s="37" t="inlineStr">
        <is>
          <t>Need Improvement</t>
        </is>
      </c>
    </row>
    <row r="1297">
      <c r="A1297" s="37" t="inlineStr">
        <is>
          <t>Barna</t>
        </is>
      </c>
      <c r="B1297" s="37" t="inlineStr">
        <is>
          <t>Nehru Nagar Durg</t>
        </is>
      </c>
      <c r="C1297" s="37" t="inlineStr">
        <is>
          <t>Youth Accenture</t>
        </is>
      </c>
      <c r="D1297" s="37" t="inlineStr">
        <is>
          <t>2026-07-15</t>
        </is>
      </c>
      <c r="E1297" s="37" t="inlineStr">
        <is>
          <t>Process Check</t>
        </is>
      </c>
      <c r="F1297" s="37" t="inlineStr">
        <is>
          <t>Confirm all new employers are registered on portal as per new process.</t>
        </is>
      </c>
      <c r="G1297" s="37" t="inlineStr">
        <is>
          <t>All is Well</t>
        </is>
      </c>
    </row>
    <row r="1298">
      <c r="A1298" s="37" t="inlineStr">
        <is>
          <t>Barna</t>
        </is>
      </c>
      <c r="B1298" s="37" t="inlineStr">
        <is>
          <t>Nehru Nagar Durg</t>
        </is>
      </c>
      <c r="C1298" s="37" t="inlineStr">
        <is>
          <t>Youth Accenture</t>
        </is>
      </c>
      <c r="D1298" s="37" t="inlineStr">
        <is>
          <t>2026-07-15</t>
        </is>
      </c>
      <c r="E1298" s="37" t="inlineStr">
        <is>
          <t>Process Check</t>
        </is>
      </c>
      <c r="F1298" s="37" t="inlineStr">
        <is>
          <t>Confirm 100% of enrolled students undergone screening (for technical courses).</t>
        </is>
      </c>
      <c r="G1298" s="37" t="inlineStr">
        <is>
          <t>Not Applicable</t>
        </is>
      </c>
    </row>
    <row r="1299">
      <c r="A1299" s="37" t="inlineStr">
        <is>
          <t>Barna</t>
        </is>
      </c>
      <c r="B1299" s="37" t="inlineStr">
        <is>
          <t>Nehru Nagar Durg</t>
        </is>
      </c>
      <c r="C1299" s="37" t="inlineStr">
        <is>
          <t>Youth Accenture</t>
        </is>
      </c>
      <c r="D1299" s="37" t="inlineStr">
        <is>
          <t>2026-07-15</t>
        </is>
      </c>
      <c r="E1299" s="37" t="inlineStr">
        <is>
          <t>Process Check</t>
        </is>
      </c>
      <c r="F1299" s="37" t="inlineStr">
        <is>
          <t>Confirm ESA is done (in GROW full ESA and in Technical courses relevant sections of Core Employability Part).</t>
        </is>
      </c>
      <c r="G1299" s="37" t="inlineStr">
        <is>
          <t>Not Applicable</t>
        </is>
      </c>
    </row>
    <row r="1300">
      <c r="A1300" s="37" t="inlineStr">
        <is>
          <t>Barna</t>
        </is>
      </c>
      <c r="B1300" s="37" t="inlineStr">
        <is>
          <t>Nehru Nagar Durg</t>
        </is>
      </c>
      <c r="C1300" s="37" t="inlineStr">
        <is>
          <t>Youth Accenture</t>
        </is>
      </c>
      <c r="D1300" s="37" t="inlineStr">
        <is>
          <t>2026-07-15</t>
        </is>
      </c>
      <c r="E1300" s="37" t="inlineStr">
        <is>
          <t>Process Check</t>
        </is>
      </c>
      <c r="F1300" s="37" t="inlineStr">
        <is>
          <t>Check is AH giving capstone project in GROW Tech.</t>
        </is>
      </c>
      <c r="G1300" s="37" t="inlineStr">
        <is>
          <t>Not Applicable</t>
        </is>
      </c>
    </row>
    <row r="1301">
      <c r="A1301" s="37" t="inlineStr">
        <is>
          <t>Barna</t>
        </is>
      </c>
      <c r="B1301" s="37" t="inlineStr">
        <is>
          <t>Nehru Nagar Durg</t>
        </is>
      </c>
      <c r="C1301" s="37" t="inlineStr">
        <is>
          <t>Youth Accenture</t>
        </is>
      </c>
      <c r="D1301" s="37" t="inlineStr">
        <is>
          <t>2026-07-15</t>
        </is>
      </c>
      <c r="E1301" s="37" t="inlineStr">
        <is>
          <t>Process Check</t>
        </is>
      </c>
      <c r="F1301" s="37" t="inlineStr">
        <is>
          <t>Check is AH planning OJT as per guidelines and proofs are collected for technical courses.</t>
        </is>
      </c>
      <c r="G1301" s="37" t="inlineStr">
        <is>
          <t>Not Applicable</t>
        </is>
      </c>
    </row>
    <row r="1302">
      <c r="A1302" s="37" t="inlineStr">
        <is>
          <t>Barna</t>
        </is>
      </c>
      <c r="B1302" s="37" t="inlineStr">
        <is>
          <t>Nehru Nagar Durg</t>
        </is>
      </c>
      <c r="C1302" s="37" t="inlineStr">
        <is>
          <t>Youth Accenture</t>
        </is>
      </c>
      <c r="D1302" s="37" t="inlineStr">
        <is>
          <t>2026-07-15</t>
        </is>
      </c>
      <c r="E1302" s="37" t="inlineStr">
        <is>
          <t>Process Check</t>
        </is>
      </c>
      <c r="F1302" s="37" t="inlineStr">
        <is>
          <t>Check are trainers contacting aspirants to find reason for their absenteeism of more than 1 day.</t>
        </is>
      </c>
      <c r="G1302" s="37" t="inlineStr">
        <is>
          <t>All is Well</t>
        </is>
      </c>
    </row>
    <row r="1303">
      <c r="A1303" s="37" t="inlineStr">
        <is>
          <t>Barna</t>
        </is>
      </c>
      <c r="B1303" s="37" t="inlineStr">
        <is>
          <t>Nehru Nagar Durg</t>
        </is>
      </c>
      <c r="C1303" s="37" t="inlineStr">
        <is>
          <t>Youth Accenture</t>
        </is>
      </c>
      <c r="D1303" s="37" t="inlineStr">
        <is>
          <t>2026-07-15</t>
        </is>
      </c>
      <c r="E1303" s="37" t="inlineStr">
        <is>
          <t>Process Check</t>
        </is>
      </c>
      <c r="F1303" s="37" t="inlineStr">
        <is>
          <t>Check the AH plans monthly enrolment and placement numbers by the 3rd of each month and shares them with second level managers.</t>
        </is>
      </c>
      <c r="G1303" s="37" t="inlineStr">
        <is>
          <t>Need Improvement</t>
        </is>
      </c>
    </row>
    <row r="1304">
      <c r="A1304" s="37" t="inlineStr">
        <is>
          <t>Barna</t>
        </is>
      </c>
      <c r="B1304" s="37" t="inlineStr">
        <is>
          <t>Nehru Nagar Durg</t>
        </is>
      </c>
      <c r="C1304" s="37" t="inlineStr">
        <is>
          <t>Youth Accenture</t>
        </is>
      </c>
      <c r="D1304" s="37" t="inlineStr">
        <is>
          <t>2026-07-15</t>
        </is>
      </c>
      <c r="E1304" s="37" t="inlineStr">
        <is>
          <t>Process Check</t>
        </is>
      </c>
      <c r="F1304" s="37" t="inlineStr">
        <is>
          <t>Check trainers submit aspirants’ placement interest areas to the AH by the batch’s 25th day (in GROW).</t>
        </is>
      </c>
      <c r="G1304" s="37" t="inlineStr">
        <is>
          <t>All is Well</t>
        </is>
      </c>
    </row>
    <row r="1305">
      <c r="A1305" s="37" t="inlineStr">
        <is>
          <t>Barna</t>
        </is>
      </c>
      <c r="B1305" s="37" t="inlineStr">
        <is>
          <t>Nehru Nagar Durg</t>
        </is>
      </c>
      <c r="C1305" s="37" t="inlineStr">
        <is>
          <t>Youth Accenture</t>
        </is>
      </c>
      <c r="D1305" s="37" t="inlineStr">
        <is>
          <t>2026-07-15</t>
        </is>
      </c>
      <c r="E1305" s="37" t="inlineStr">
        <is>
          <t>Process Check</t>
        </is>
      </c>
      <c r="F1305" s="37" t="inlineStr">
        <is>
          <t>Ckeck For technical programs, placement is done only in technical jobs,on which aspirants are trained and relevant emplyers are identified by 45th day.</t>
        </is>
      </c>
      <c r="G1305" s="37" t="inlineStr">
        <is>
          <t>Not Applicable</t>
        </is>
      </c>
    </row>
    <row r="1306">
      <c r="A1306" s="37" t="inlineStr">
        <is>
          <t>Barna</t>
        </is>
      </c>
      <c r="B1306" s="37" t="inlineStr">
        <is>
          <t>Nehru Nagar Durg</t>
        </is>
      </c>
      <c r="C1306" s="37" t="inlineStr">
        <is>
          <t>Youth Accenture</t>
        </is>
      </c>
      <c r="D1306" s="37" t="inlineStr">
        <is>
          <t>2026-07-15</t>
        </is>
      </c>
      <c r="E1306" s="37" t="inlineStr">
        <is>
          <t>Process Check</t>
        </is>
      </c>
      <c r="F1306" s="37" t="inlineStr">
        <is>
          <t>Check the AH follows EP guidelines and minimum benchmark salary guidelines.</t>
        </is>
      </c>
      <c r="G1306" s="37" t="inlineStr">
        <is>
          <t>All is Well</t>
        </is>
      </c>
    </row>
    <row r="1307">
      <c r="A1307" s="37" t="inlineStr">
        <is>
          <t>Barna</t>
        </is>
      </c>
      <c r="B1307" s="37" t="inlineStr">
        <is>
          <t>Nehru Nagar Durg</t>
        </is>
      </c>
      <c r="C1307" s="37" t="inlineStr">
        <is>
          <t>Youth Accenture</t>
        </is>
      </c>
      <c r="D1307" s="37" t="inlineStr">
        <is>
          <t>2026-07-15</t>
        </is>
      </c>
      <c r="E1307" s="37" t="inlineStr">
        <is>
          <t>Process Check</t>
        </is>
      </c>
      <c r="F1307" s="37" t="inlineStr">
        <is>
          <t>Check that AH is enrolling only the right traget group in the program -as per the defined target.</t>
        </is>
      </c>
      <c r="G1307" s="37" t="inlineStr">
        <is>
          <t>All is Well</t>
        </is>
      </c>
    </row>
    <row r="1308">
      <c r="A1308" s="37" t="inlineStr">
        <is>
          <t>Barna</t>
        </is>
      </c>
      <c r="B1308" s="37" t="inlineStr">
        <is>
          <t>Nehru Nagar Durg</t>
        </is>
      </c>
      <c r="C1308" s="37" t="inlineStr">
        <is>
          <t>Youth Accenture</t>
        </is>
      </c>
      <c r="D1308" s="37" t="inlineStr">
        <is>
          <t>2026-07-15</t>
        </is>
      </c>
      <c r="E1308" s="37" t="inlineStr">
        <is>
          <t>Process Check</t>
        </is>
      </c>
      <c r="F1308" s="37" t="inlineStr">
        <is>
          <t>Check the AH announces the next batch-start date by the 3rd of the month on all notice boards — focus on Zero-Day start.</t>
        </is>
      </c>
      <c r="G1308" s="37" t="inlineStr">
        <is>
          <t>Need Improvement</t>
        </is>
      </c>
    </row>
    <row r="1309">
      <c r="A1309" s="37" t="inlineStr">
        <is>
          <t>Barna</t>
        </is>
      </c>
      <c r="B1309" s="37" t="inlineStr">
        <is>
          <t>Nehru Nagar Durg</t>
        </is>
      </c>
      <c r="C1309" s="37" t="inlineStr">
        <is>
          <t>Youth Accenture</t>
        </is>
      </c>
      <c r="D1309" s="37" t="inlineStr">
        <is>
          <t>2026-07-15</t>
        </is>
      </c>
      <c r="E1309" s="37" t="inlineStr">
        <is>
          <t>Process Check</t>
        </is>
      </c>
      <c r="F1309" s="37" t="inlineStr">
        <is>
          <t>Check the Aspirant Mock Interview Score Tracker is updated after every mock interview in the L&amp;D Google Sheet.</t>
        </is>
      </c>
      <c r="G1309" s="37" t="inlineStr">
        <is>
          <t>Need Improvement</t>
        </is>
      </c>
    </row>
    <row r="1310">
      <c r="A1310" s="37" t="inlineStr">
        <is>
          <t>Barna</t>
        </is>
      </c>
      <c r="B1310" s="37" t="inlineStr">
        <is>
          <t>Nehru Nagar Durg</t>
        </is>
      </c>
      <c r="C1310" s="37" t="inlineStr">
        <is>
          <t>Youth Accenture</t>
        </is>
      </c>
      <c r="D1310" s="37" t="inlineStr">
        <is>
          <t>2026-07-15</t>
        </is>
      </c>
      <c r="E1310" s="37" t="inlineStr">
        <is>
          <t>Process Check</t>
        </is>
      </c>
      <c r="F1310" s="37" t="inlineStr">
        <is>
          <t>Confirm NPS (Net Promoter Score) is collected at MSDF centres.</t>
        </is>
      </c>
      <c r="G1310" s="37" t="inlineStr">
        <is>
          <t>Not Applicable</t>
        </is>
      </c>
    </row>
    <row r="1311">
      <c r="A1311" s="37" t="inlineStr">
        <is>
          <t>Barna</t>
        </is>
      </c>
      <c r="B1311" s="37" t="inlineStr">
        <is>
          <t>Nehru Nagar Durg</t>
        </is>
      </c>
      <c r="C1311" s="37" t="inlineStr">
        <is>
          <t>Youth Accenture</t>
        </is>
      </c>
      <c r="D1311" s="37" t="inlineStr">
        <is>
          <t>2026-07-15</t>
        </is>
      </c>
      <c r="E1311" s="37" t="inlineStr">
        <is>
          <t>Process Check</t>
        </is>
      </c>
      <c r="F1311" s="37" t="inlineStr">
        <is>
          <t>Confirm that QAE is collecting student feedback for every batch.</t>
        </is>
      </c>
      <c r="G1311" s="37" t="inlineStr">
        <is>
          <t>All is Well</t>
        </is>
      </c>
    </row>
    <row r="1312">
      <c r="A1312" s="37" t="inlineStr">
        <is>
          <t>Barna</t>
        </is>
      </c>
      <c r="B1312" s="37" t="inlineStr">
        <is>
          <t>Nehru Nagar Durg</t>
        </is>
      </c>
      <c r="C1312" s="37" t="inlineStr">
        <is>
          <t>Youth Accenture</t>
        </is>
      </c>
      <c r="D1312" s="37" t="inlineStr">
        <is>
          <t>2026-07-15</t>
        </is>
      </c>
      <c r="E1312" s="37" t="inlineStr">
        <is>
          <t>Process Check</t>
        </is>
      </c>
      <c r="F1312" s="37" t="inlineStr">
        <is>
          <t>Confirm all centre teams have completed the GROW Manual Course on Skillfy — ask for achievement certificates.</t>
        </is>
      </c>
      <c r="G1312" s="37" t="inlineStr">
        <is>
          <t>All is Well</t>
        </is>
      </c>
    </row>
    <row r="1313">
      <c r="A1313" s="37" t="inlineStr">
        <is>
          <t>Barna</t>
        </is>
      </c>
      <c r="B1313" s="37" t="inlineStr">
        <is>
          <t>Nehru Nagar Durg</t>
        </is>
      </c>
      <c r="C1313" s="37" t="inlineStr">
        <is>
          <t>Youth Accenture</t>
        </is>
      </c>
      <c r="D1313" s="37" t="inlineStr">
        <is>
          <t>2026-07-15</t>
        </is>
      </c>
      <c r="E1313" s="37" t="inlineStr">
        <is>
          <t>Process Check</t>
        </is>
      </c>
      <c r="F1313" s="37" t="inlineStr">
        <is>
          <t>Check AH holds a quality weekly team meeting, documents action points in the weekly meeting format, and sends you a photo on WhatsApp.</t>
        </is>
      </c>
      <c r="G1313" s="37" t="inlineStr">
        <is>
          <t>Need Improvement</t>
        </is>
      </c>
    </row>
    <row r="1314">
      <c r="A1314" s="37" t="inlineStr">
        <is>
          <t>Barna</t>
        </is>
      </c>
      <c r="B1314" s="37" t="inlineStr">
        <is>
          <t>Nehru Nagar Durg</t>
        </is>
      </c>
      <c r="C1314" s="37" t="inlineStr">
        <is>
          <t>Youth Accenture</t>
        </is>
      </c>
      <c r="D1314" s="37" t="inlineStr">
        <is>
          <t>2026-07-15</t>
        </is>
      </c>
      <c r="E1314" s="37" t="inlineStr">
        <is>
          <t>Aspirant Interaction</t>
        </is>
      </c>
      <c r="F1314" s="37" t="inlineStr">
        <is>
          <t>Ask aspirants about the session plan — confirm training is happening as planned?</t>
        </is>
      </c>
      <c r="G1314" s="37" t="inlineStr">
        <is>
          <t>All is Well</t>
        </is>
      </c>
    </row>
    <row r="1315">
      <c r="A1315" s="37" t="inlineStr">
        <is>
          <t>Barna</t>
        </is>
      </c>
      <c r="B1315" s="37" t="inlineStr">
        <is>
          <t>Nehru Nagar Durg</t>
        </is>
      </c>
      <c r="C1315" s="37" t="inlineStr">
        <is>
          <t>Youth Accenture</t>
        </is>
      </c>
      <c r="D1315" s="37" t="inlineStr">
        <is>
          <t>2026-07-15</t>
        </is>
      </c>
      <c r="E1315" s="37" t="inlineStr">
        <is>
          <t>Aspirant Interaction</t>
        </is>
      </c>
      <c r="F1315" s="37" t="inlineStr">
        <is>
          <t>Ask about the quality of Core Employability component delivery (technical centres) and who delivers it.</t>
        </is>
      </c>
      <c r="G1315" s="37" t="inlineStr">
        <is>
          <t>Not Applicable</t>
        </is>
      </c>
    </row>
    <row r="1316">
      <c r="A1316" s="37" t="inlineStr">
        <is>
          <t>Barna</t>
        </is>
      </c>
      <c r="B1316" s="37" t="inlineStr">
        <is>
          <t>Nehru Nagar Durg</t>
        </is>
      </c>
      <c r="C1316" s="37" t="inlineStr">
        <is>
          <t>Youth Accenture</t>
        </is>
      </c>
      <c r="D1316" s="37" t="inlineStr">
        <is>
          <t>2026-07-15</t>
        </is>
      </c>
      <c r="E1316" s="37" t="inlineStr">
        <is>
          <t>Aspirant Interaction</t>
        </is>
      </c>
      <c r="F1316" s="37" t="inlineStr">
        <is>
          <t>Ask whether they are aware of the referral scheme?</t>
        </is>
      </c>
      <c r="G1316" s="37" t="inlineStr">
        <is>
          <t>All is Well</t>
        </is>
      </c>
    </row>
    <row r="1317">
      <c r="A1317" s="37" t="inlineStr">
        <is>
          <t>Barna</t>
        </is>
      </c>
      <c r="B1317" s="37" t="inlineStr">
        <is>
          <t>Nehru Nagar Durg</t>
        </is>
      </c>
      <c r="C1317" s="37" t="inlineStr">
        <is>
          <t>Youth Accenture</t>
        </is>
      </c>
      <c r="D1317" s="37" t="inlineStr">
        <is>
          <t>2026-07-15</t>
        </is>
      </c>
      <c r="E1317" s="37" t="inlineStr">
        <is>
          <t>Aspirant Interaction</t>
        </is>
      </c>
      <c r="F1317" s="37" t="inlineStr">
        <is>
          <t>Ask whether the AH explained the importance of the offer letter and sharing it with us once received for reporting purposes?</t>
        </is>
      </c>
      <c r="G1317" s="37" t="inlineStr">
        <is>
          <t>All is Well</t>
        </is>
      </c>
    </row>
    <row r="1318">
      <c r="A1318" s="37" t="inlineStr">
        <is>
          <t>Barna</t>
        </is>
      </c>
      <c r="B1318" s="37" t="inlineStr">
        <is>
          <t>Nehru Nagar Durg</t>
        </is>
      </c>
      <c r="C1318" s="37" t="inlineStr">
        <is>
          <t>Youth Accenture</t>
        </is>
      </c>
      <c r="D1318" s="37" t="inlineStr">
        <is>
          <t>2026-07-15</t>
        </is>
      </c>
      <c r="E1318" s="37" t="inlineStr">
        <is>
          <t>Aspirant Interaction</t>
        </is>
      </c>
      <c r="F1318" s="37" t="inlineStr">
        <is>
          <t>Ask how many are not interested in jobs — and if so, why they enrolled in the programme?</t>
        </is>
      </c>
      <c r="G1318" s="37" t="inlineStr">
        <is>
          <t>All is Well</t>
        </is>
      </c>
    </row>
    <row r="1319">
      <c r="A1319" s="37" t="inlineStr">
        <is>
          <t>Barna</t>
        </is>
      </c>
      <c r="B1319" s="37" t="inlineStr">
        <is>
          <t>Nehru Nagar Durg</t>
        </is>
      </c>
      <c r="C1319" s="37" t="inlineStr">
        <is>
          <t>Youth Accenture</t>
        </is>
      </c>
      <c r="D1319" s="37" t="inlineStr">
        <is>
          <t>2026-07-15</t>
        </is>
      </c>
      <c r="E1319" s="37" t="inlineStr">
        <is>
          <t>Aspirant Interaction</t>
        </is>
      </c>
      <c r="F1319" s="37" t="inlineStr">
        <is>
          <t>Ask whether they were told the kind of job they would get during counselling?</t>
        </is>
      </c>
      <c r="G1319" s="37" t="inlineStr">
        <is>
          <t>All is Well</t>
        </is>
      </c>
    </row>
    <row r="1320">
      <c r="A1320" s="37" t="inlineStr">
        <is>
          <t>Barna</t>
        </is>
      </c>
      <c r="B1320" s="37" t="inlineStr">
        <is>
          <t>Nehru Nagar Durg</t>
        </is>
      </c>
      <c r="C1320" s="37" t="inlineStr">
        <is>
          <t>Youth Accenture</t>
        </is>
      </c>
      <c r="D1320" s="37" t="inlineStr">
        <is>
          <t>2026-07-15</t>
        </is>
      </c>
      <c r="E1320" s="37" t="inlineStr">
        <is>
          <t>Aspirant Interaction</t>
        </is>
      </c>
      <c r="F1320" s="37" t="inlineStr">
        <is>
          <t>Ask whether they have been given LMS access?</t>
        </is>
      </c>
      <c r="G1320" s="37" t="inlineStr">
        <is>
          <t>All is Well</t>
        </is>
      </c>
    </row>
    <row r="1321">
      <c r="A1321" s="37" t="inlineStr">
        <is>
          <t>Barna</t>
        </is>
      </c>
      <c r="B1321" s="37" t="inlineStr">
        <is>
          <t>Nehru Nagar Durg</t>
        </is>
      </c>
      <c r="C1321" s="37" t="inlineStr">
        <is>
          <t>Youth Accenture</t>
        </is>
      </c>
      <c r="D1321" s="37" t="inlineStr">
        <is>
          <t>2026-07-15</t>
        </is>
      </c>
      <c r="E1321" s="37" t="inlineStr">
        <is>
          <t>Aspirant Interaction</t>
        </is>
      </c>
      <c r="F1321" s="37" t="inlineStr">
        <is>
          <t>Ask whether anyone asked them for money for training or placement?</t>
        </is>
      </c>
      <c r="G1321" s="37" t="inlineStr">
        <is>
          <t>All is Well</t>
        </is>
      </c>
    </row>
    <row r="1322">
      <c r="A1322" s="37" t="inlineStr">
        <is>
          <t>Barna</t>
        </is>
      </c>
      <c r="B1322" s="37" t="inlineStr">
        <is>
          <t>Nehru Nagar Durg</t>
        </is>
      </c>
      <c r="C1322" s="37" t="inlineStr">
        <is>
          <t>Youth Accenture</t>
        </is>
      </c>
      <c r="D1322" s="37" t="inlineStr">
        <is>
          <t>2026-07-15</t>
        </is>
      </c>
      <c r="E1322" s="37" t="inlineStr">
        <is>
          <t>Aspirant Interaction</t>
        </is>
      </c>
      <c r="F1322" s="37" t="inlineStr">
        <is>
          <t>Ask to show their mobile phones — are they enrolled on Skillfy? If not, get them enrolled and give written feedback to trainers and the AH in your presence.</t>
        </is>
      </c>
      <c r="G1322" s="37" t="inlineStr">
        <is>
          <t>All is Well</t>
        </is>
      </c>
    </row>
    <row r="1323">
      <c r="A1323" s="37" t="inlineStr">
        <is>
          <t>Barna</t>
        </is>
      </c>
      <c r="B1323" s="37" t="inlineStr">
        <is>
          <t>Nehru Nagar Durg</t>
        </is>
      </c>
      <c r="C1323" s="37" t="inlineStr">
        <is>
          <t>Youth Accenture</t>
        </is>
      </c>
      <c r="D1323" s="37" t="inlineStr">
        <is>
          <t>2026-07-15</t>
        </is>
      </c>
      <c r="E1323" s="37" t="inlineStr">
        <is>
          <t>Aspirant Interaction</t>
        </is>
      </c>
      <c r="F1323" s="37" t="inlineStr">
        <is>
          <t>Ask about the quality of the hostel and any issues they face.</t>
        </is>
      </c>
      <c r="G1323" s="37" t="inlineStr">
        <is>
          <t>Not Applicable</t>
        </is>
      </c>
    </row>
    <row r="1324">
      <c r="A1324" s="37" t="inlineStr">
        <is>
          <t>Barna</t>
        </is>
      </c>
      <c r="B1324" s="37" t="inlineStr">
        <is>
          <t>Nehru Nagar Durg</t>
        </is>
      </c>
      <c r="C1324" s="37" t="inlineStr">
        <is>
          <t>Youth Accenture</t>
        </is>
      </c>
      <c r="D1324" s="37" t="inlineStr">
        <is>
          <t>2026-07-15</t>
        </is>
      </c>
      <c r="E1324" s="37" t="inlineStr">
        <is>
          <t>Aspirant Interaction</t>
        </is>
      </c>
      <c r="F1324" s="37" t="inlineStr">
        <is>
          <t>Ask a few relevant screening questions to support the 10th-day report and remove non-serious candidates, explaining to them the reasons.</t>
        </is>
      </c>
      <c r="G1324" s="37" t="inlineStr">
        <is>
          <t>All is Well</t>
        </is>
      </c>
    </row>
    <row r="1325">
      <c r="A1325" s="37" t="inlineStr">
        <is>
          <t>Barna</t>
        </is>
      </c>
      <c r="B1325" s="37" t="inlineStr">
        <is>
          <t>Gurgaon</t>
        </is>
      </c>
      <c r="C1325" s="37" t="inlineStr">
        <is>
          <t>Youth (CITI)</t>
        </is>
      </c>
      <c r="D1325" s="37" t="inlineStr">
        <is>
          <t>2026-07-10</t>
        </is>
      </c>
      <c r="E1325" s="37" t="inlineStr">
        <is>
          <t>Data Check</t>
        </is>
      </c>
      <c r="F1325" s="37" t="inlineStr">
        <is>
          <t>Reach the centre on time (unannounced) — confirm the centre opened on time.</t>
        </is>
      </c>
      <c r="G1325" s="37" t="inlineStr">
        <is>
          <t>All is Well</t>
        </is>
      </c>
    </row>
    <row r="1326">
      <c r="A1326" s="37" t="inlineStr">
        <is>
          <t>Barna</t>
        </is>
      </c>
      <c r="B1326" s="37" t="inlineStr">
        <is>
          <t>Gurgaon</t>
        </is>
      </c>
      <c r="C1326" s="37" t="inlineStr">
        <is>
          <t>Youth (CITI)</t>
        </is>
      </c>
      <c r="D1326" s="37" t="inlineStr">
        <is>
          <t>2026-07-10</t>
        </is>
      </c>
      <c r="E1326" s="37" t="inlineStr">
        <is>
          <t>Data Check</t>
        </is>
      </c>
      <c r="F1326" s="37" t="inlineStr">
        <is>
          <t>Check the staff attendance register, the Google Sheet, and geo-tagged photos for aspirants.</t>
        </is>
      </c>
      <c r="G1326" s="37" t="inlineStr">
        <is>
          <t>All is Well</t>
        </is>
      </c>
    </row>
    <row r="1327">
      <c r="A1327" s="37" t="inlineStr">
        <is>
          <t>Barna</t>
        </is>
      </c>
      <c r="B1327" s="37" t="inlineStr">
        <is>
          <t>Gurgaon</t>
        </is>
      </c>
      <c r="C1327" s="37" t="inlineStr">
        <is>
          <t>Youth (CITI)</t>
        </is>
      </c>
      <c r="D1327" s="37" t="inlineStr">
        <is>
          <t>2026-07-10</t>
        </is>
      </c>
      <c r="E1327" s="37" t="inlineStr">
        <is>
          <t>Data Check</t>
        </is>
      </c>
      <c r="F1327" s="37" t="inlineStr">
        <is>
          <t>Check Counselling and Screening Forms of recently started batches.</t>
        </is>
      </c>
      <c r="G1327" s="37" t="inlineStr">
        <is>
          <t>All is Well</t>
        </is>
      </c>
    </row>
    <row r="1328">
      <c r="A1328" s="37" t="inlineStr">
        <is>
          <t>Barna</t>
        </is>
      </c>
      <c r="B1328" s="37" t="inlineStr">
        <is>
          <t>Gurgaon</t>
        </is>
      </c>
      <c r="C1328" s="37" t="inlineStr">
        <is>
          <t>Youth (CITI)</t>
        </is>
      </c>
      <c r="D1328" s="37" t="inlineStr">
        <is>
          <t>2026-07-10</t>
        </is>
      </c>
      <c r="E1328" s="37" t="inlineStr">
        <is>
          <t>Data Check</t>
        </is>
      </c>
      <c r="F1328" s="37" t="inlineStr">
        <is>
          <t>Check Aspirant Registration Forms and related documents.</t>
        </is>
      </c>
      <c r="G1328" s="37" t="inlineStr">
        <is>
          <t>All is Well</t>
        </is>
      </c>
    </row>
    <row r="1329">
      <c r="A1329" s="37" t="inlineStr">
        <is>
          <t>Barna</t>
        </is>
      </c>
      <c r="B1329" s="37" t="inlineStr">
        <is>
          <t>Gurgaon</t>
        </is>
      </c>
      <c r="C1329" s="37" t="inlineStr">
        <is>
          <t>Youth (CITI)</t>
        </is>
      </c>
      <c r="D1329" s="37" t="inlineStr">
        <is>
          <t>2026-07-10</t>
        </is>
      </c>
      <c r="E1329" s="37" t="inlineStr">
        <is>
          <t>Data Check</t>
        </is>
      </c>
      <c r="F1329" s="37" t="inlineStr">
        <is>
          <t>On the GROW portal, confirm all student profile details and batch updates are currect.</t>
        </is>
      </c>
      <c r="G1329" s="37" t="inlineStr">
        <is>
          <t>All is Well</t>
        </is>
      </c>
    </row>
    <row r="1330">
      <c r="A1330" s="37" t="inlineStr">
        <is>
          <t>Barna</t>
        </is>
      </c>
      <c r="B1330" s="37" t="inlineStr">
        <is>
          <t>Gurgaon</t>
        </is>
      </c>
      <c r="C1330" s="37" t="inlineStr">
        <is>
          <t>Youth (CITI)</t>
        </is>
      </c>
      <c r="D1330" s="37" t="inlineStr">
        <is>
          <t>2026-07-10</t>
        </is>
      </c>
      <c r="E1330" s="37" t="inlineStr">
        <is>
          <t>Data Check</t>
        </is>
      </c>
      <c r="F1330" s="37" t="inlineStr">
        <is>
          <t>Verify placement data — randomly call 3–4 alumni placed in the last 3 months to confirm veracity (random selection is essential).</t>
        </is>
      </c>
      <c r="G1330" s="37" t="inlineStr">
        <is>
          <t>All is Well</t>
        </is>
      </c>
    </row>
    <row r="1331">
      <c r="A1331" s="37" t="inlineStr">
        <is>
          <t>Barna</t>
        </is>
      </c>
      <c r="B1331" s="37" t="inlineStr">
        <is>
          <t>Gurgaon</t>
        </is>
      </c>
      <c r="C1331" s="37" t="inlineStr">
        <is>
          <t>Youth (CITI)</t>
        </is>
      </c>
      <c r="D1331" s="37" t="inlineStr">
        <is>
          <t>2026-07-10</t>
        </is>
      </c>
      <c r="E1331" s="37" t="inlineStr">
        <is>
          <t>Data Check</t>
        </is>
      </c>
      <c r="F1331" s="37" t="inlineStr">
        <is>
          <t>Verify retention — check the Alumni Hand-holding Format is being updated as designed.</t>
        </is>
      </c>
      <c r="G1331" s="37" t="inlineStr">
        <is>
          <t>All is Well</t>
        </is>
      </c>
    </row>
    <row r="1332">
      <c r="A1332" s="37" t="inlineStr">
        <is>
          <t>Barna</t>
        </is>
      </c>
      <c r="B1332" s="37" t="inlineStr">
        <is>
          <t>Gurgaon</t>
        </is>
      </c>
      <c r="C1332" s="37" t="inlineStr">
        <is>
          <t>Youth (CITI)</t>
        </is>
      </c>
      <c r="D1332" s="37" t="inlineStr">
        <is>
          <t>2026-07-10</t>
        </is>
      </c>
      <c r="E1332" s="37" t="inlineStr">
        <is>
          <t>Data Check</t>
        </is>
      </c>
      <c r="F1332" s="37" t="inlineStr">
        <is>
          <t>Check aspirant Hostel Forms are properly filled or not.</t>
        </is>
      </c>
      <c r="G1332" s="37" t="inlineStr">
        <is>
          <t>Not Applicable</t>
        </is>
      </c>
    </row>
    <row r="1333">
      <c r="A1333" s="37" t="inlineStr">
        <is>
          <t>Barna</t>
        </is>
      </c>
      <c r="B1333" s="37" t="inlineStr">
        <is>
          <t>Gurgaon</t>
        </is>
      </c>
      <c r="C1333" s="37" t="inlineStr">
        <is>
          <t>Youth (CITI)</t>
        </is>
      </c>
      <c r="D1333" s="37" t="inlineStr">
        <is>
          <t>2026-07-10</t>
        </is>
      </c>
      <c r="E1333" s="37" t="inlineStr">
        <is>
          <t>Infra Check</t>
        </is>
      </c>
      <c r="F1333" s="37" t="inlineStr">
        <is>
          <t>Check all CCTV cameras; if any are not working, ask the AH to troubleshoot or call the vendor.</t>
        </is>
      </c>
      <c r="G1333" s="37" t="inlineStr">
        <is>
          <t>All is Well</t>
        </is>
      </c>
    </row>
    <row r="1334">
      <c r="A1334" s="37" t="inlineStr">
        <is>
          <t>Barna</t>
        </is>
      </c>
      <c r="B1334" s="37" t="inlineStr">
        <is>
          <t>Gurgaon</t>
        </is>
      </c>
      <c r="C1334" s="37" t="inlineStr">
        <is>
          <t>Youth (CITI)</t>
        </is>
      </c>
      <c r="D1334" s="37" t="inlineStr">
        <is>
          <t>2026-07-10</t>
        </is>
      </c>
      <c r="E1334" s="37" t="inlineStr">
        <is>
          <t>Infra Check</t>
        </is>
      </c>
      <c r="F1334" s="37" t="inlineStr">
        <is>
          <t>Check for any scrap material and get it cleared, with support of Admin</t>
        </is>
      </c>
      <c r="G1334" s="37" t="inlineStr">
        <is>
          <t>All is Well</t>
        </is>
      </c>
    </row>
    <row r="1335">
      <c r="A1335" s="37" t="inlineStr">
        <is>
          <t>Barna</t>
        </is>
      </c>
      <c r="B1335" s="37" t="inlineStr">
        <is>
          <t>Gurgaon</t>
        </is>
      </c>
      <c r="C1335" s="37" t="inlineStr">
        <is>
          <t>Youth (CITI)</t>
        </is>
      </c>
      <c r="D1335" s="37" t="inlineStr">
        <is>
          <t>2026-07-10</t>
        </is>
      </c>
      <c r="E1335" s="37" t="inlineStr">
        <is>
          <t>Infra Check</t>
        </is>
      </c>
      <c r="F1335" s="37" t="inlineStr">
        <is>
          <t>Check for any pending infra repairs.</t>
        </is>
      </c>
      <c r="G1335" s="37" t="inlineStr">
        <is>
          <t>Need Improvement</t>
        </is>
      </c>
    </row>
    <row r="1336">
      <c r="A1336" s="37" t="inlineStr">
        <is>
          <t>Barna</t>
        </is>
      </c>
      <c r="B1336" s="37" t="inlineStr">
        <is>
          <t>Gurgaon</t>
        </is>
      </c>
      <c r="C1336" s="37" t="inlineStr">
        <is>
          <t>Youth (CITI)</t>
        </is>
      </c>
      <c r="D1336" s="37" t="inlineStr">
        <is>
          <t>2026-07-10</t>
        </is>
      </c>
      <c r="E1336" s="37" t="inlineStr">
        <is>
          <t>Infra Check</t>
        </is>
      </c>
      <c r="F1336" s="37" t="inlineStr">
        <is>
          <t>Check whether any fire extinguishers have expired (check the needle and expiry date both).</t>
        </is>
      </c>
      <c r="G1336" s="37" t="inlineStr">
        <is>
          <t>All is Well</t>
        </is>
      </c>
    </row>
    <row r="1337">
      <c r="A1337" s="37" t="inlineStr">
        <is>
          <t>Barna</t>
        </is>
      </c>
      <c r="B1337" s="37" t="inlineStr">
        <is>
          <t>Gurgaon</t>
        </is>
      </c>
      <c r="C1337" s="37" t="inlineStr">
        <is>
          <t>Youth (CITI)</t>
        </is>
      </c>
      <c r="D1337" s="37" t="inlineStr">
        <is>
          <t>2026-07-10</t>
        </is>
      </c>
      <c r="E1337" s="37" t="inlineStr">
        <is>
          <t>Infra Check</t>
        </is>
      </c>
      <c r="F1337" s="37" t="inlineStr">
        <is>
          <t>Check basic cleanliness of the washrooms and the centre.</t>
        </is>
      </c>
      <c r="G1337" s="37" t="inlineStr">
        <is>
          <t>All is Well</t>
        </is>
      </c>
    </row>
    <row r="1338">
      <c r="A1338" s="37" t="inlineStr">
        <is>
          <t>Barna</t>
        </is>
      </c>
      <c r="B1338" s="37" t="inlineStr">
        <is>
          <t>Gurgaon</t>
        </is>
      </c>
      <c r="C1338" s="37" t="inlineStr">
        <is>
          <t>Youth (CITI)</t>
        </is>
      </c>
      <c r="D1338" s="37" t="inlineStr">
        <is>
          <t>2026-07-10</t>
        </is>
      </c>
      <c r="E1338" s="37" t="inlineStr">
        <is>
          <t>Infra Check</t>
        </is>
      </c>
      <c r="F1338" s="37" t="inlineStr">
        <is>
          <t>Confirm the correct program and partner logos are displayed.</t>
        </is>
      </c>
      <c r="G1338" s="37" t="inlineStr">
        <is>
          <t>All is Well</t>
        </is>
      </c>
    </row>
    <row r="1339">
      <c r="A1339" s="37" t="inlineStr">
        <is>
          <t>Barna</t>
        </is>
      </c>
      <c r="B1339" s="37" t="inlineStr">
        <is>
          <t>Gurgaon</t>
        </is>
      </c>
      <c r="C1339" s="37" t="inlineStr">
        <is>
          <t>Youth (CITI)</t>
        </is>
      </c>
      <c r="D1339" s="37" t="inlineStr">
        <is>
          <t>2026-07-10</t>
        </is>
      </c>
      <c r="E1339" s="37" t="inlineStr">
        <is>
          <t>Infra Check</t>
        </is>
      </c>
      <c r="F1339" s="37" t="inlineStr">
        <is>
          <t>Check the status of digital infra — PCs, smartboards, tablets, laptops, etc.</t>
        </is>
      </c>
      <c r="G1339" s="37" t="inlineStr">
        <is>
          <t>All is Well</t>
        </is>
      </c>
    </row>
    <row r="1340">
      <c r="A1340" s="37" t="inlineStr">
        <is>
          <t>Barna</t>
        </is>
      </c>
      <c r="B1340" s="37" t="inlineStr">
        <is>
          <t>Gurgaon</t>
        </is>
      </c>
      <c r="C1340" s="37" t="inlineStr">
        <is>
          <t>Youth (CITI)</t>
        </is>
      </c>
      <c r="D1340" s="37" t="inlineStr">
        <is>
          <t>2026-07-10</t>
        </is>
      </c>
      <c r="E1340" s="37" t="inlineStr">
        <is>
          <t>Infra Check</t>
        </is>
      </c>
      <c r="F1340" s="37" t="inlineStr">
        <is>
          <t>Make a quick hostel visit; have lunch there if possible to test the food quality.</t>
        </is>
      </c>
      <c r="G1340" s="37" t="inlineStr">
        <is>
          <t>Not Applicable</t>
        </is>
      </c>
    </row>
    <row r="1341">
      <c r="A1341" s="37" t="inlineStr">
        <is>
          <t>Barna</t>
        </is>
      </c>
      <c r="B1341" s="37" t="inlineStr">
        <is>
          <t>Gurgaon</t>
        </is>
      </c>
      <c r="C1341" s="37" t="inlineStr">
        <is>
          <t>Youth (CITI)</t>
        </is>
      </c>
      <c r="D1341" s="37" t="inlineStr">
        <is>
          <t>2026-07-10</t>
        </is>
      </c>
      <c r="E1341" s="37" t="inlineStr">
        <is>
          <t>Process Check</t>
        </is>
      </c>
      <c r="F1341" s="37" t="inlineStr">
        <is>
          <t>Refer to the activity planner — check if any activities are delayed.</t>
        </is>
      </c>
      <c r="G1341" s="37" t="inlineStr">
        <is>
          <t>All is Well</t>
        </is>
      </c>
    </row>
    <row r="1342">
      <c r="A1342" s="37" t="inlineStr">
        <is>
          <t>Barna</t>
        </is>
      </c>
      <c r="B1342" s="37" t="inlineStr">
        <is>
          <t>Gurgaon</t>
        </is>
      </c>
      <c r="C1342" s="37" t="inlineStr">
        <is>
          <t>Youth (CITI)</t>
        </is>
      </c>
      <c r="D1342" s="37" t="inlineStr">
        <is>
          <t>2026-07-10</t>
        </is>
      </c>
      <c r="E1342" s="37" t="inlineStr">
        <is>
          <t>Process Check</t>
        </is>
      </c>
      <c r="F1342" s="37" t="inlineStr">
        <is>
          <t>Check planning for the next batch-start announcement.</t>
        </is>
      </c>
      <c r="G1342" s="37" t="inlineStr">
        <is>
          <t>Need Improvement</t>
        </is>
      </c>
    </row>
    <row r="1343">
      <c r="A1343" s="37" t="inlineStr">
        <is>
          <t>Barna</t>
        </is>
      </c>
      <c r="B1343" s="37" t="inlineStr">
        <is>
          <t>Gurgaon</t>
        </is>
      </c>
      <c r="C1343" s="37" t="inlineStr">
        <is>
          <t>Youth (CITI)</t>
        </is>
      </c>
      <c r="D1343" s="37" t="inlineStr">
        <is>
          <t>2026-07-10</t>
        </is>
      </c>
      <c r="E1343" s="37" t="inlineStr">
        <is>
          <t>Process Check</t>
        </is>
      </c>
      <c r="F1343" s="37" t="inlineStr">
        <is>
          <t>Check if any hiring is delayed and plan a resolution.</t>
        </is>
      </c>
      <c r="G1343" s="37" t="inlineStr">
        <is>
          <t>All is Well</t>
        </is>
      </c>
    </row>
    <row r="1344">
      <c r="A1344" s="37" t="inlineStr">
        <is>
          <t>Barna</t>
        </is>
      </c>
      <c r="B1344" s="37" t="inlineStr">
        <is>
          <t>Gurgaon</t>
        </is>
      </c>
      <c r="C1344" s="37" t="inlineStr">
        <is>
          <t>Youth (CITI)</t>
        </is>
      </c>
      <c r="D1344" s="37" t="inlineStr">
        <is>
          <t>2026-07-10</t>
        </is>
      </c>
      <c r="E1344" s="37" t="inlineStr">
        <is>
          <t>Process Check</t>
        </is>
      </c>
      <c r="F1344" s="37" t="inlineStr">
        <is>
          <t>Check the CA’s diary — is CA guided daily by the AH during planning days?</t>
        </is>
      </c>
      <c r="G1344" s="37" t="inlineStr">
        <is>
          <t>Need Improvement</t>
        </is>
      </c>
    </row>
    <row r="1345">
      <c r="A1345" s="37" t="inlineStr">
        <is>
          <t>Barna</t>
        </is>
      </c>
      <c r="B1345" s="37" t="inlineStr">
        <is>
          <t>Gurgaon</t>
        </is>
      </c>
      <c r="C1345" s="37" t="inlineStr">
        <is>
          <t>Youth (CITI)</t>
        </is>
      </c>
      <c r="D1345" s="37" t="inlineStr">
        <is>
          <t>2026-07-10</t>
        </is>
      </c>
      <c r="E1345" s="37" t="inlineStr">
        <is>
          <t>Process Check</t>
        </is>
      </c>
      <c r="F1345" s="37" t="inlineStr">
        <is>
          <t>Check the AH is regularly meeting employers (in person and online) and updating the centre’s Top 20 Employer format.</t>
        </is>
      </c>
      <c r="G1345" s="37" t="inlineStr">
        <is>
          <t>Need Improvement</t>
        </is>
      </c>
    </row>
    <row r="1346">
      <c r="A1346" s="37" t="inlineStr">
        <is>
          <t>Barna</t>
        </is>
      </c>
      <c r="B1346" s="37" t="inlineStr">
        <is>
          <t>Gurgaon</t>
        </is>
      </c>
      <c r="C1346" s="37" t="inlineStr">
        <is>
          <t>Youth (CITI)</t>
        </is>
      </c>
      <c r="D1346" s="37" t="inlineStr">
        <is>
          <t>2026-07-10</t>
        </is>
      </c>
      <c r="E1346" s="37" t="inlineStr">
        <is>
          <t>Process Check</t>
        </is>
      </c>
      <c r="F1346" s="37" t="inlineStr">
        <is>
          <t>Confirm all new employers are registered on portal as per new process.</t>
        </is>
      </c>
      <c r="G1346" s="37" t="inlineStr">
        <is>
          <t>All is Well</t>
        </is>
      </c>
    </row>
    <row r="1347">
      <c r="A1347" s="37" t="inlineStr">
        <is>
          <t>Barna</t>
        </is>
      </c>
      <c r="B1347" s="37" t="inlineStr">
        <is>
          <t>Gurgaon</t>
        </is>
      </c>
      <c r="C1347" s="37" t="inlineStr">
        <is>
          <t>Youth (CITI)</t>
        </is>
      </c>
      <c r="D1347" s="37" t="inlineStr">
        <is>
          <t>2026-07-10</t>
        </is>
      </c>
      <c r="E1347" s="37" t="inlineStr">
        <is>
          <t>Process Check</t>
        </is>
      </c>
      <c r="F1347" s="37" t="inlineStr">
        <is>
          <t>Confirm 100% of enrolled students undergone screening (for technical courses).</t>
        </is>
      </c>
      <c r="G1347" s="37" t="inlineStr">
        <is>
          <t>All is Well</t>
        </is>
      </c>
    </row>
    <row r="1348">
      <c r="A1348" s="37" t="inlineStr">
        <is>
          <t>Barna</t>
        </is>
      </c>
      <c r="B1348" s="37" t="inlineStr">
        <is>
          <t>Gurgaon</t>
        </is>
      </c>
      <c r="C1348" s="37" t="inlineStr">
        <is>
          <t>Youth (CITI)</t>
        </is>
      </c>
      <c r="D1348" s="37" t="inlineStr">
        <is>
          <t>2026-07-10</t>
        </is>
      </c>
      <c r="E1348" s="37" t="inlineStr">
        <is>
          <t>Process Check</t>
        </is>
      </c>
      <c r="F1348" s="37" t="inlineStr">
        <is>
          <t>Confirm ESA is done (in GROW full ESA and in Technical courses relevant sections of Core Employability Part).</t>
        </is>
      </c>
      <c r="G1348" s="37" t="inlineStr">
        <is>
          <t>Not Applicable</t>
        </is>
      </c>
    </row>
    <row r="1349">
      <c r="A1349" s="37" t="inlineStr">
        <is>
          <t>Barna</t>
        </is>
      </c>
      <c r="B1349" s="37" t="inlineStr">
        <is>
          <t>Gurgaon</t>
        </is>
      </c>
      <c r="C1349" s="37" t="inlineStr">
        <is>
          <t>Youth (CITI)</t>
        </is>
      </c>
      <c r="D1349" s="37" t="inlineStr">
        <is>
          <t>2026-07-10</t>
        </is>
      </c>
      <c r="E1349" s="37" t="inlineStr">
        <is>
          <t>Process Check</t>
        </is>
      </c>
      <c r="F1349" s="37" t="inlineStr">
        <is>
          <t>Check is AH giving capstone project in GROW Tech.</t>
        </is>
      </c>
      <c r="G1349" s="37" t="inlineStr">
        <is>
          <t>Not Applicable</t>
        </is>
      </c>
    </row>
    <row r="1350">
      <c r="A1350" s="37" t="inlineStr">
        <is>
          <t>Barna</t>
        </is>
      </c>
      <c r="B1350" s="37" t="inlineStr">
        <is>
          <t>Gurgaon</t>
        </is>
      </c>
      <c r="C1350" s="37" t="inlineStr">
        <is>
          <t>Youth (CITI)</t>
        </is>
      </c>
      <c r="D1350" s="37" t="inlineStr">
        <is>
          <t>2026-07-10</t>
        </is>
      </c>
      <c r="E1350" s="37" t="inlineStr">
        <is>
          <t>Process Check</t>
        </is>
      </c>
      <c r="F1350" s="37" t="inlineStr">
        <is>
          <t>Check is AH planning OJT as per guidelines and proofs are collected for technical courses.</t>
        </is>
      </c>
      <c r="G1350" s="37" t="inlineStr">
        <is>
          <t>Not Applicable</t>
        </is>
      </c>
    </row>
    <row r="1351">
      <c r="A1351" s="37" t="inlineStr">
        <is>
          <t>Barna</t>
        </is>
      </c>
      <c r="B1351" s="37" t="inlineStr">
        <is>
          <t>Gurgaon</t>
        </is>
      </c>
      <c r="C1351" s="37" t="inlineStr">
        <is>
          <t>Youth (CITI)</t>
        </is>
      </c>
      <c r="D1351" s="37" t="inlineStr">
        <is>
          <t>2026-07-10</t>
        </is>
      </c>
      <c r="E1351" s="37" t="inlineStr">
        <is>
          <t>Process Check</t>
        </is>
      </c>
      <c r="F1351" s="37" t="inlineStr">
        <is>
          <t>Check are trainers contacting aspirants to find reason for their absenteeism of more than 1 day.</t>
        </is>
      </c>
      <c r="G1351" s="37" t="inlineStr">
        <is>
          <t>All is Well</t>
        </is>
      </c>
    </row>
    <row r="1352">
      <c r="A1352" s="37" t="inlineStr">
        <is>
          <t>Barna</t>
        </is>
      </c>
      <c r="B1352" s="37" t="inlineStr">
        <is>
          <t>Gurgaon</t>
        </is>
      </c>
      <c r="C1352" s="37" t="inlineStr">
        <is>
          <t>Youth (CITI)</t>
        </is>
      </c>
      <c r="D1352" s="37" t="inlineStr">
        <is>
          <t>2026-07-10</t>
        </is>
      </c>
      <c r="E1352" s="37" t="inlineStr">
        <is>
          <t>Process Check</t>
        </is>
      </c>
      <c r="F1352" s="37" t="inlineStr">
        <is>
          <t>Check the AH plans monthly enrolment and placement numbers by the 3rd of each month and shares them with second level managers.</t>
        </is>
      </c>
      <c r="G1352" s="37" t="inlineStr">
        <is>
          <t>Need Improvement</t>
        </is>
      </c>
    </row>
    <row r="1353">
      <c r="A1353" s="37" t="inlineStr">
        <is>
          <t>Barna</t>
        </is>
      </c>
      <c r="B1353" s="37" t="inlineStr">
        <is>
          <t>Gurgaon</t>
        </is>
      </c>
      <c r="C1353" s="37" t="inlineStr">
        <is>
          <t>Youth (CITI)</t>
        </is>
      </c>
      <c r="D1353" s="37" t="inlineStr">
        <is>
          <t>2026-07-10</t>
        </is>
      </c>
      <c r="E1353" s="37" t="inlineStr">
        <is>
          <t>Process Check</t>
        </is>
      </c>
      <c r="F1353" s="37" t="inlineStr">
        <is>
          <t>Check trainers submit aspirants’ placement interest areas to the AH by the batch’s 25th day (in GROW).</t>
        </is>
      </c>
      <c r="G1353" s="37" t="inlineStr">
        <is>
          <t>All is Well</t>
        </is>
      </c>
    </row>
    <row r="1354">
      <c r="A1354" s="37" t="inlineStr">
        <is>
          <t>Barna</t>
        </is>
      </c>
      <c r="B1354" s="37" t="inlineStr">
        <is>
          <t>Gurgaon</t>
        </is>
      </c>
      <c r="C1354" s="37" t="inlineStr">
        <is>
          <t>Youth (CITI)</t>
        </is>
      </c>
      <c r="D1354" s="37" t="inlineStr">
        <is>
          <t>2026-07-10</t>
        </is>
      </c>
      <c r="E1354" s="37" t="inlineStr">
        <is>
          <t>Process Check</t>
        </is>
      </c>
      <c r="F1354" s="37" t="inlineStr">
        <is>
          <t>Ckeck For technical programs, placement is done only in technical jobs,on which aspirants are trained and relevant emplyers are identified by 45th day.</t>
        </is>
      </c>
      <c r="G1354" s="37" t="inlineStr">
        <is>
          <t>Not Applicable</t>
        </is>
      </c>
    </row>
    <row r="1355">
      <c r="A1355" s="37" t="inlineStr">
        <is>
          <t>Barna</t>
        </is>
      </c>
      <c r="B1355" s="37" t="inlineStr">
        <is>
          <t>Gurgaon</t>
        </is>
      </c>
      <c r="C1355" s="37" t="inlineStr">
        <is>
          <t>Youth (CITI)</t>
        </is>
      </c>
      <c r="D1355" s="37" t="inlineStr">
        <is>
          <t>2026-07-10</t>
        </is>
      </c>
      <c r="E1355" s="37" t="inlineStr">
        <is>
          <t>Process Check</t>
        </is>
      </c>
      <c r="F1355" s="37" t="inlineStr">
        <is>
          <t>Check the AH follows EP guidelines and minimum benchmark salary guidelines.</t>
        </is>
      </c>
      <c r="G1355" s="37" t="inlineStr">
        <is>
          <t>All is Well</t>
        </is>
      </c>
    </row>
    <row r="1356">
      <c r="A1356" s="37" t="inlineStr">
        <is>
          <t>Barna</t>
        </is>
      </c>
      <c r="B1356" s="37" t="inlineStr">
        <is>
          <t>Gurgaon</t>
        </is>
      </c>
      <c r="C1356" s="37" t="inlineStr">
        <is>
          <t>Youth (CITI)</t>
        </is>
      </c>
      <c r="D1356" s="37" t="inlineStr">
        <is>
          <t>2026-07-10</t>
        </is>
      </c>
      <c r="E1356" s="37" t="inlineStr">
        <is>
          <t>Process Check</t>
        </is>
      </c>
      <c r="F1356" s="37" t="inlineStr">
        <is>
          <t>Check that AH is enrolling only the right traget group in the program -as per the defined target.</t>
        </is>
      </c>
      <c r="G1356" s="37" t="inlineStr">
        <is>
          <t>All is Well</t>
        </is>
      </c>
    </row>
    <row r="1357">
      <c r="A1357" s="37" t="inlineStr">
        <is>
          <t>Barna</t>
        </is>
      </c>
      <c r="B1357" s="37" t="inlineStr">
        <is>
          <t>Gurgaon</t>
        </is>
      </c>
      <c r="C1357" s="37" t="inlineStr">
        <is>
          <t>Youth (CITI)</t>
        </is>
      </c>
      <c r="D1357" s="37" t="inlineStr">
        <is>
          <t>2026-07-10</t>
        </is>
      </c>
      <c r="E1357" s="37" t="inlineStr">
        <is>
          <t>Process Check</t>
        </is>
      </c>
      <c r="F1357" s="37" t="inlineStr">
        <is>
          <t>Check the AH announces the next batch-start date by the 3rd of the month on all notice boards — focus on Zero-Day start.</t>
        </is>
      </c>
      <c r="G1357" s="37" t="inlineStr">
        <is>
          <t>Need Improvement</t>
        </is>
      </c>
    </row>
    <row r="1358">
      <c r="A1358" s="37" t="inlineStr">
        <is>
          <t>Barna</t>
        </is>
      </c>
      <c r="B1358" s="37" t="inlineStr">
        <is>
          <t>Gurgaon</t>
        </is>
      </c>
      <c r="C1358" s="37" t="inlineStr">
        <is>
          <t>Youth (CITI)</t>
        </is>
      </c>
      <c r="D1358" s="37" t="inlineStr">
        <is>
          <t>2026-07-10</t>
        </is>
      </c>
      <c r="E1358" s="37" t="inlineStr">
        <is>
          <t>Process Check</t>
        </is>
      </c>
      <c r="F1358" s="37" t="inlineStr">
        <is>
          <t>Check the Aspirant Mock Interview Score Tracker is updated after every mock interview in the L&amp;D Google Sheet.</t>
        </is>
      </c>
      <c r="G1358" s="37" t="inlineStr">
        <is>
          <t>Need Improvement</t>
        </is>
      </c>
    </row>
    <row r="1359">
      <c r="A1359" s="37" t="inlineStr">
        <is>
          <t>Barna</t>
        </is>
      </c>
      <c r="B1359" s="37" t="inlineStr">
        <is>
          <t>Gurgaon</t>
        </is>
      </c>
      <c r="C1359" s="37" t="inlineStr">
        <is>
          <t>Youth (CITI)</t>
        </is>
      </c>
      <c r="D1359" s="37" t="inlineStr">
        <is>
          <t>2026-07-10</t>
        </is>
      </c>
      <c r="E1359" s="37" t="inlineStr">
        <is>
          <t>Process Check</t>
        </is>
      </c>
      <c r="F1359" s="37" t="inlineStr">
        <is>
          <t>Confirm NPS (Net Promoter Score) is collected at MSDF centres.</t>
        </is>
      </c>
      <c r="G1359" s="37" t="inlineStr">
        <is>
          <t>Not Applicable</t>
        </is>
      </c>
    </row>
    <row r="1360">
      <c r="A1360" s="37" t="inlineStr">
        <is>
          <t>Barna</t>
        </is>
      </c>
      <c r="B1360" s="37" t="inlineStr">
        <is>
          <t>Gurgaon</t>
        </is>
      </c>
      <c r="C1360" s="37" t="inlineStr">
        <is>
          <t>Youth (CITI)</t>
        </is>
      </c>
      <c r="D1360" s="37" t="inlineStr">
        <is>
          <t>2026-07-10</t>
        </is>
      </c>
      <c r="E1360" s="37" t="inlineStr">
        <is>
          <t>Process Check</t>
        </is>
      </c>
      <c r="F1360" s="37" t="inlineStr">
        <is>
          <t>Confirm that QAE is collecting student feedback for every batch.</t>
        </is>
      </c>
      <c r="G1360" s="37" t="inlineStr">
        <is>
          <t>All is Well</t>
        </is>
      </c>
    </row>
    <row r="1361">
      <c r="A1361" s="37" t="inlineStr">
        <is>
          <t>Barna</t>
        </is>
      </c>
      <c r="B1361" s="37" t="inlineStr">
        <is>
          <t>Gurgaon</t>
        </is>
      </c>
      <c r="C1361" s="37" t="inlineStr">
        <is>
          <t>Youth (CITI)</t>
        </is>
      </c>
      <c r="D1361" s="37" t="inlineStr">
        <is>
          <t>2026-07-10</t>
        </is>
      </c>
      <c r="E1361" s="37" t="inlineStr">
        <is>
          <t>Process Check</t>
        </is>
      </c>
      <c r="F1361" s="37" t="inlineStr">
        <is>
          <t>Confirm all centre teams have completed the GROW Manual Course on Skillfy — ask for achievement certificates.</t>
        </is>
      </c>
      <c r="G1361" s="37" t="inlineStr">
        <is>
          <t>All is Well</t>
        </is>
      </c>
    </row>
    <row r="1362">
      <c r="A1362" s="37" t="inlineStr">
        <is>
          <t>Barna</t>
        </is>
      </c>
      <c r="B1362" s="37" t="inlineStr">
        <is>
          <t>Gurgaon</t>
        </is>
      </c>
      <c r="C1362" s="37" t="inlineStr">
        <is>
          <t>Youth (CITI)</t>
        </is>
      </c>
      <c r="D1362" s="37" t="inlineStr">
        <is>
          <t>2026-07-10</t>
        </is>
      </c>
      <c r="E1362" s="37" t="inlineStr">
        <is>
          <t>Process Check</t>
        </is>
      </c>
      <c r="F1362" s="37" t="inlineStr">
        <is>
          <t>Check AH holds a quality weekly team meeting, documents action points in the weekly meeting format, and sends you a photo on WhatsApp.</t>
        </is>
      </c>
      <c r="G1362" s="37" t="inlineStr">
        <is>
          <t>Need Improvement</t>
        </is>
      </c>
    </row>
    <row r="1363">
      <c r="A1363" s="37" t="inlineStr">
        <is>
          <t>Barna</t>
        </is>
      </c>
      <c r="B1363" s="37" t="inlineStr">
        <is>
          <t>Gurgaon</t>
        </is>
      </c>
      <c r="C1363" s="37" t="inlineStr">
        <is>
          <t>Youth (CITI)</t>
        </is>
      </c>
      <c r="D1363" s="37" t="inlineStr">
        <is>
          <t>2026-07-10</t>
        </is>
      </c>
      <c r="E1363" s="37" t="inlineStr">
        <is>
          <t>Aspirant Interaction</t>
        </is>
      </c>
      <c r="F1363" s="37" t="inlineStr">
        <is>
          <t>Ask aspirants about the session plan — confirm training is happening as planned?</t>
        </is>
      </c>
      <c r="G1363" s="37" t="inlineStr">
        <is>
          <t>All is Well</t>
        </is>
      </c>
    </row>
    <row r="1364">
      <c r="A1364" s="37" t="inlineStr">
        <is>
          <t>Barna</t>
        </is>
      </c>
      <c r="B1364" s="37" t="inlineStr">
        <is>
          <t>Gurgaon</t>
        </is>
      </c>
      <c r="C1364" s="37" t="inlineStr">
        <is>
          <t>Youth (CITI)</t>
        </is>
      </c>
      <c r="D1364" s="37" t="inlineStr">
        <is>
          <t>2026-07-10</t>
        </is>
      </c>
      <c r="E1364" s="37" t="inlineStr">
        <is>
          <t>Aspirant Interaction</t>
        </is>
      </c>
      <c r="F1364" s="37" t="inlineStr">
        <is>
          <t>Ask about the quality of Core Employability component delivery (technical centres) and who delivers it.</t>
        </is>
      </c>
      <c r="G1364" s="37" t="inlineStr">
        <is>
          <t>Not Applicable</t>
        </is>
      </c>
    </row>
    <row r="1365">
      <c r="A1365" s="37" t="inlineStr">
        <is>
          <t>Barna</t>
        </is>
      </c>
      <c r="B1365" s="37" t="inlineStr">
        <is>
          <t>Gurgaon</t>
        </is>
      </c>
      <c r="C1365" s="37" t="inlineStr">
        <is>
          <t>Youth (CITI)</t>
        </is>
      </c>
      <c r="D1365" s="37" t="inlineStr">
        <is>
          <t>2026-07-10</t>
        </is>
      </c>
      <c r="E1365" s="37" t="inlineStr">
        <is>
          <t>Aspirant Interaction</t>
        </is>
      </c>
      <c r="F1365" s="37" t="inlineStr">
        <is>
          <t>Ask whether they are aware of the referral scheme?</t>
        </is>
      </c>
      <c r="G1365" s="37" t="inlineStr">
        <is>
          <t>All is Well</t>
        </is>
      </c>
    </row>
    <row r="1366">
      <c r="A1366" s="37" t="inlineStr">
        <is>
          <t>Barna</t>
        </is>
      </c>
      <c r="B1366" s="37" t="inlineStr">
        <is>
          <t>Gurgaon</t>
        </is>
      </c>
      <c r="C1366" s="37" t="inlineStr">
        <is>
          <t>Youth (CITI)</t>
        </is>
      </c>
      <c r="D1366" s="37" t="inlineStr">
        <is>
          <t>2026-07-10</t>
        </is>
      </c>
      <c r="E1366" s="37" t="inlineStr">
        <is>
          <t>Aspirant Interaction</t>
        </is>
      </c>
      <c r="F1366" s="37" t="inlineStr">
        <is>
          <t>Ask whether the AH explained the importance of the offer letter and sharing it with us once received for reporting purposes?</t>
        </is>
      </c>
      <c r="G1366" s="37" t="inlineStr">
        <is>
          <t>All is Well</t>
        </is>
      </c>
    </row>
    <row r="1367">
      <c r="A1367" s="37" t="inlineStr">
        <is>
          <t>Barna</t>
        </is>
      </c>
      <c r="B1367" s="37" t="inlineStr">
        <is>
          <t>Gurgaon</t>
        </is>
      </c>
      <c r="C1367" s="37" t="inlineStr">
        <is>
          <t>Youth (CITI)</t>
        </is>
      </c>
      <c r="D1367" s="37" t="inlineStr">
        <is>
          <t>2026-07-10</t>
        </is>
      </c>
      <c r="E1367" s="37" t="inlineStr">
        <is>
          <t>Aspirant Interaction</t>
        </is>
      </c>
      <c r="F1367" s="37" t="inlineStr">
        <is>
          <t>Ask how many are not interested in jobs — and if so, why they enrolled in the programme?</t>
        </is>
      </c>
      <c r="G1367" s="37" t="inlineStr">
        <is>
          <t>All is Well</t>
        </is>
      </c>
    </row>
    <row r="1368">
      <c r="A1368" s="37" t="inlineStr">
        <is>
          <t>Barna</t>
        </is>
      </c>
      <c r="B1368" s="37" t="inlineStr">
        <is>
          <t>Gurgaon</t>
        </is>
      </c>
      <c r="C1368" s="37" t="inlineStr">
        <is>
          <t>Youth (CITI)</t>
        </is>
      </c>
      <c r="D1368" s="37" t="inlineStr">
        <is>
          <t>2026-07-10</t>
        </is>
      </c>
      <c r="E1368" s="37" t="inlineStr">
        <is>
          <t>Aspirant Interaction</t>
        </is>
      </c>
      <c r="F1368" s="37" t="inlineStr">
        <is>
          <t>Ask whether they were told the kind of job they would get during counselling?</t>
        </is>
      </c>
      <c r="G1368" s="37" t="inlineStr">
        <is>
          <t>All is Well</t>
        </is>
      </c>
    </row>
    <row r="1369">
      <c r="A1369" s="37" t="inlineStr">
        <is>
          <t>Barna</t>
        </is>
      </c>
      <c r="B1369" s="37" t="inlineStr">
        <is>
          <t>Gurgaon</t>
        </is>
      </c>
      <c r="C1369" s="37" t="inlineStr">
        <is>
          <t>Youth (CITI)</t>
        </is>
      </c>
      <c r="D1369" s="37" t="inlineStr">
        <is>
          <t>2026-07-10</t>
        </is>
      </c>
      <c r="E1369" s="37" t="inlineStr">
        <is>
          <t>Aspirant Interaction</t>
        </is>
      </c>
      <c r="F1369" s="37" t="inlineStr">
        <is>
          <t>Ask whether they have been given LMS access?</t>
        </is>
      </c>
      <c r="G1369" s="37" t="inlineStr">
        <is>
          <t>All is Well</t>
        </is>
      </c>
    </row>
    <row r="1370">
      <c r="A1370" s="37" t="inlineStr">
        <is>
          <t>Barna</t>
        </is>
      </c>
      <c r="B1370" s="37" t="inlineStr">
        <is>
          <t>Gurgaon</t>
        </is>
      </c>
      <c r="C1370" s="37" t="inlineStr">
        <is>
          <t>Youth (CITI)</t>
        </is>
      </c>
      <c r="D1370" s="37" t="inlineStr">
        <is>
          <t>2026-07-10</t>
        </is>
      </c>
      <c r="E1370" s="37" t="inlineStr">
        <is>
          <t>Aspirant Interaction</t>
        </is>
      </c>
      <c r="F1370" s="37" t="inlineStr">
        <is>
          <t>Ask whether anyone asked them for money for training or placement?</t>
        </is>
      </c>
      <c r="G1370" s="37" t="inlineStr">
        <is>
          <t>All is Well</t>
        </is>
      </c>
    </row>
    <row r="1371">
      <c r="A1371" s="37" t="inlineStr">
        <is>
          <t>Barna</t>
        </is>
      </c>
      <c r="B1371" s="37" t="inlineStr">
        <is>
          <t>Gurgaon</t>
        </is>
      </c>
      <c r="C1371" s="37" t="inlineStr">
        <is>
          <t>Youth (CITI)</t>
        </is>
      </c>
      <c r="D1371" s="37" t="inlineStr">
        <is>
          <t>2026-07-10</t>
        </is>
      </c>
      <c r="E1371" s="37" t="inlineStr">
        <is>
          <t>Aspirant Interaction</t>
        </is>
      </c>
      <c r="F1371" s="37" t="inlineStr">
        <is>
          <t>Ask to show their mobile phones — are they enrolled on Skillfy? If not, get them enrolled and give written feedback to trainers and the AH in your presence.</t>
        </is>
      </c>
      <c r="G1371" s="37" t="inlineStr">
        <is>
          <t>All is Well</t>
        </is>
      </c>
    </row>
    <row r="1372">
      <c r="A1372" s="37" t="inlineStr">
        <is>
          <t>Barna</t>
        </is>
      </c>
      <c r="B1372" s="37" t="inlineStr">
        <is>
          <t>Gurgaon</t>
        </is>
      </c>
      <c r="C1372" s="37" t="inlineStr">
        <is>
          <t>Youth (CITI)</t>
        </is>
      </c>
      <c r="D1372" s="37" t="inlineStr">
        <is>
          <t>2026-07-10</t>
        </is>
      </c>
      <c r="E1372" s="37" t="inlineStr">
        <is>
          <t>Aspirant Interaction</t>
        </is>
      </c>
      <c r="F1372" s="37" t="inlineStr">
        <is>
          <t>Ask about the quality of the hostel and any issues they face.</t>
        </is>
      </c>
      <c r="G1372" s="37" t="inlineStr">
        <is>
          <t>Not Applicable</t>
        </is>
      </c>
    </row>
    <row r="1373">
      <c r="A1373" s="37" t="inlineStr">
        <is>
          <t>Barna</t>
        </is>
      </c>
      <c r="B1373" s="37" t="inlineStr">
        <is>
          <t>Gurgaon</t>
        </is>
      </c>
      <c r="C1373" s="37" t="inlineStr">
        <is>
          <t>Youth (CITI)</t>
        </is>
      </c>
      <c r="D1373" s="37" t="inlineStr">
        <is>
          <t>2026-07-10</t>
        </is>
      </c>
      <c r="E1373" s="37" t="inlineStr">
        <is>
          <t>Aspirant Interaction</t>
        </is>
      </c>
      <c r="F1373" s="37" t="inlineStr">
        <is>
          <t>Ask a few relevant screening questions to support the 10th-day report and remove non-serious candidates, explaining to them the reasons.</t>
        </is>
      </c>
      <c r="G1373" s="37" t="inlineStr">
        <is>
          <t>All is Well</t>
        </is>
      </c>
    </row>
    <row r="1374">
      <c r="A1374" s="37" t="inlineStr">
        <is>
          <t>Barna</t>
        </is>
      </c>
      <c r="B1374" s="37" t="inlineStr">
        <is>
          <t>Peeragarhi</t>
        </is>
      </c>
      <c r="C1374" s="37" t="inlineStr">
        <is>
          <t>Youth CITI</t>
        </is>
      </c>
      <c r="D1374" s="37" t="inlineStr">
        <is>
          <t>2026-07-09</t>
        </is>
      </c>
      <c r="E1374" s="37" t="inlineStr">
        <is>
          <t>Data Check</t>
        </is>
      </c>
      <c r="F1374" s="37" t="inlineStr">
        <is>
          <t>Reach the centre on time (unannounced) — confirm the centre opened on time.</t>
        </is>
      </c>
      <c r="G1374" s="37" t="inlineStr">
        <is>
          <t>All is Well</t>
        </is>
      </c>
    </row>
    <row r="1375">
      <c r="A1375" s="37" t="inlineStr">
        <is>
          <t>Barna</t>
        </is>
      </c>
      <c r="B1375" s="37" t="inlineStr">
        <is>
          <t>Peeragarhi</t>
        </is>
      </c>
      <c r="C1375" s="37" t="inlineStr">
        <is>
          <t>Youth CITI</t>
        </is>
      </c>
      <c r="D1375" s="37" t="inlineStr">
        <is>
          <t>2026-07-09</t>
        </is>
      </c>
      <c r="E1375" s="37" t="inlineStr">
        <is>
          <t>Data Check</t>
        </is>
      </c>
      <c r="F1375" s="37" t="inlineStr">
        <is>
          <t>Check the staff attendance register, the Google Sheet, and geo-tagged photos for aspirants.</t>
        </is>
      </c>
      <c r="G1375" s="37" t="inlineStr">
        <is>
          <t>All is Well</t>
        </is>
      </c>
    </row>
    <row r="1376">
      <c r="A1376" s="37" t="inlineStr">
        <is>
          <t>Barna</t>
        </is>
      </c>
      <c r="B1376" s="37" t="inlineStr">
        <is>
          <t>Peeragarhi</t>
        </is>
      </c>
      <c r="C1376" s="37" t="inlineStr">
        <is>
          <t>Youth CITI</t>
        </is>
      </c>
      <c r="D1376" s="37" t="inlineStr">
        <is>
          <t>2026-07-09</t>
        </is>
      </c>
      <c r="E1376" s="37" t="inlineStr">
        <is>
          <t>Data Check</t>
        </is>
      </c>
      <c r="F1376" s="37" t="inlineStr">
        <is>
          <t>Check Counselling and Screening Forms of recently started batches.</t>
        </is>
      </c>
      <c r="G1376" s="37" t="inlineStr">
        <is>
          <t>All is Well</t>
        </is>
      </c>
    </row>
    <row r="1377">
      <c r="A1377" s="37" t="inlineStr">
        <is>
          <t>Barna</t>
        </is>
      </c>
      <c r="B1377" s="37" t="inlineStr">
        <is>
          <t>Peeragarhi</t>
        </is>
      </c>
      <c r="C1377" s="37" t="inlineStr">
        <is>
          <t>Youth CITI</t>
        </is>
      </c>
      <c r="D1377" s="37" t="inlineStr">
        <is>
          <t>2026-07-09</t>
        </is>
      </c>
      <c r="E1377" s="37" t="inlineStr">
        <is>
          <t>Data Check</t>
        </is>
      </c>
      <c r="F1377" s="37" t="inlineStr">
        <is>
          <t>Check Aspirant Registration Forms and related documents.</t>
        </is>
      </c>
      <c r="G1377" s="37" t="inlineStr">
        <is>
          <t>Need Improvement</t>
        </is>
      </c>
    </row>
    <row r="1378">
      <c r="A1378" s="37" t="inlineStr">
        <is>
          <t>Barna</t>
        </is>
      </c>
      <c r="B1378" s="37" t="inlineStr">
        <is>
          <t>Peeragarhi</t>
        </is>
      </c>
      <c r="C1378" s="37" t="inlineStr">
        <is>
          <t>Youth CITI</t>
        </is>
      </c>
      <c r="D1378" s="37" t="inlineStr">
        <is>
          <t>2026-07-09</t>
        </is>
      </c>
      <c r="E1378" s="37" t="inlineStr">
        <is>
          <t>Data Check</t>
        </is>
      </c>
      <c r="F1378" s="37" t="inlineStr">
        <is>
          <t>On the GROW portal, confirm all student profile details and batch updates are currect.</t>
        </is>
      </c>
      <c r="G1378" s="37" t="inlineStr">
        <is>
          <t>All is Well</t>
        </is>
      </c>
    </row>
    <row r="1379">
      <c r="A1379" s="37" t="inlineStr">
        <is>
          <t>Barna</t>
        </is>
      </c>
      <c r="B1379" s="37" t="inlineStr">
        <is>
          <t>Peeragarhi</t>
        </is>
      </c>
      <c r="C1379" s="37" t="inlineStr">
        <is>
          <t>Youth CITI</t>
        </is>
      </c>
      <c r="D1379" s="37" t="inlineStr">
        <is>
          <t>2026-07-09</t>
        </is>
      </c>
      <c r="E1379" s="37" t="inlineStr">
        <is>
          <t>Data Check</t>
        </is>
      </c>
      <c r="F1379" s="37" t="inlineStr">
        <is>
          <t>Verify placement data — randomly call 3–4 alumni placed in the last 3 months to confirm veracity (random selection is essential).</t>
        </is>
      </c>
      <c r="G1379" s="37" t="inlineStr">
        <is>
          <t>All is Well</t>
        </is>
      </c>
    </row>
    <row r="1380">
      <c r="A1380" s="37" t="inlineStr">
        <is>
          <t>Barna</t>
        </is>
      </c>
      <c r="B1380" s="37" t="inlineStr">
        <is>
          <t>Peeragarhi</t>
        </is>
      </c>
      <c r="C1380" s="37" t="inlineStr">
        <is>
          <t>Youth CITI</t>
        </is>
      </c>
      <c r="D1380" s="37" t="inlineStr">
        <is>
          <t>2026-07-09</t>
        </is>
      </c>
      <c r="E1380" s="37" t="inlineStr">
        <is>
          <t>Data Check</t>
        </is>
      </c>
      <c r="F1380" s="37" t="inlineStr">
        <is>
          <t>Verify retention — check the Alumni Hand-holding Format is being updated as designed.</t>
        </is>
      </c>
      <c r="G1380" s="37" t="inlineStr">
        <is>
          <t>Need Improvement</t>
        </is>
      </c>
    </row>
    <row r="1381">
      <c r="A1381" s="37" t="inlineStr">
        <is>
          <t>Barna</t>
        </is>
      </c>
      <c r="B1381" s="37" t="inlineStr">
        <is>
          <t>Peeragarhi</t>
        </is>
      </c>
      <c r="C1381" s="37" t="inlineStr">
        <is>
          <t>Youth CITI</t>
        </is>
      </c>
      <c r="D1381" s="37" t="inlineStr">
        <is>
          <t>2026-07-09</t>
        </is>
      </c>
      <c r="E1381" s="37" t="inlineStr">
        <is>
          <t>Data Check</t>
        </is>
      </c>
      <c r="F1381" s="37" t="inlineStr">
        <is>
          <t>Check aspirant Hostel Forms are properly filled or not.</t>
        </is>
      </c>
      <c r="G1381" s="37" t="inlineStr">
        <is>
          <t>Not Applicable</t>
        </is>
      </c>
    </row>
    <row r="1382">
      <c r="A1382" s="37" t="inlineStr">
        <is>
          <t>Barna</t>
        </is>
      </c>
      <c r="B1382" s="37" t="inlineStr">
        <is>
          <t>Peeragarhi</t>
        </is>
      </c>
      <c r="C1382" s="37" t="inlineStr">
        <is>
          <t>Youth CITI</t>
        </is>
      </c>
      <c r="D1382" s="37" t="inlineStr">
        <is>
          <t>2026-07-09</t>
        </is>
      </c>
      <c r="E1382" s="37" t="inlineStr">
        <is>
          <t>Infra Check</t>
        </is>
      </c>
      <c r="F1382" s="37" t="inlineStr">
        <is>
          <t>Check all CCTV cameras; if any are not working, ask the AH to troubleshoot or call the vendor.</t>
        </is>
      </c>
      <c r="G1382" s="37" t="inlineStr">
        <is>
          <t>All is Well</t>
        </is>
      </c>
    </row>
    <row r="1383">
      <c r="A1383" s="37" t="inlineStr">
        <is>
          <t>Barna</t>
        </is>
      </c>
      <c r="B1383" s="37" t="inlineStr">
        <is>
          <t>Peeragarhi</t>
        </is>
      </c>
      <c r="C1383" s="37" t="inlineStr">
        <is>
          <t>Youth CITI</t>
        </is>
      </c>
      <c r="D1383" s="37" t="inlineStr">
        <is>
          <t>2026-07-09</t>
        </is>
      </c>
      <c r="E1383" s="37" t="inlineStr">
        <is>
          <t>Infra Check</t>
        </is>
      </c>
      <c r="F1383" s="37" t="inlineStr">
        <is>
          <t>Check for any scrap material and get it cleared, with support of Admin</t>
        </is>
      </c>
      <c r="G1383" s="37" t="inlineStr">
        <is>
          <t>All is Well</t>
        </is>
      </c>
    </row>
    <row r="1384">
      <c r="A1384" s="37" t="inlineStr">
        <is>
          <t>Barna</t>
        </is>
      </c>
      <c r="B1384" s="37" t="inlineStr">
        <is>
          <t>Peeragarhi</t>
        </is>
      </c>
      <c r="C1384" s="37" t="inlineStr">
        <is>
          <t>Youth CITI</t>
        </is>
      </c>
      <c r="D1384" s="37" t="inlineStr">
        <is>
          <t>2026-07-09</t>
        </is>
      </c>
      <c r="E1384" s="37" t="inlineStr">
        <is>
          <t>Infra Check</t>
        </is>
      </c>
      <c r="F1384" s="37" t="inlineStr">
        <is>
          <t>Check for any pending infra repairs.</t>
        </is>
      </c>
      <c r="G1384" s="37" t="inlineStr">
        <is>
          <t>All is Well</t>
        </is>
      </c>
    </row>
    <row r="1385">
      <c r="A1385" s="37" t="inlineStr">
        <is>
          <t>Barna</t>
        </is>
      </c>
      <c r="B1385" s="37" t="inlineStr">
        <is>
          <t>Peeragarhi</t>
        </is>
      </c>
      <c r="C1385" s="37" t="inlineStr">
        <is>
          <t>Youth CITI</t>
        </is>
      </c>
      <c r="D1385" s="37" t="inlineStr">
        <is>
          <t>2026-07-09</t>
        </is>
      </c>
      <c r="E1385" s="37" t="inlineStr">
        <is>
          <t>Infra Check</t>
        </is>
      </c>
      <c r="F1385" s="37" t="inlineStr">
        <is>
          <t>Check whether any fire extinguishers have expired (check the needle and expiry date both).</t>
        </is>
      </c>
      <c r="G1385" s="37" t="inlineStr">
        <is>
          <t>All is Well</t>
        </is>
      </c>
    </row>
    <row r="1386">
      <c r="A1386" s="37" t="inlineStr">
        <is>
          <t>Barna</t>
        </is>
      </c>
      <c r="B1386" s="37" t="inlineStr">
        <is>
          <t>Peeragarhi</t>
        </is>
      </c>
      <c r="C1386" s="37" t="inlineStr">
        <is>
          <t>Youth CITI</t>
        </is>
      </c>
      <c r="D1386" s="37" t="inlineStr">
        <is>
          <t>2026-07-09</t>
        </is>
      </c>
      <c r="E1386" s="37" t="inlineStr">
        <is>
          <t>Infra Check</t>
        </is>
      </c>
      <c r="F1386" s="37" t="inlineStr">
        <is>
          <t>Check basic cleanliness of the washrooms and the centre.</t>
        </is>
      </c>
      <c r="G1386" s="37" t="inlineStr">
        <is>
          <t>All is Well</t>
        </is>
      </c>
    </row>
    <row r="1387">
      <c r="A1387" s="37" t="inlineStr">
        <is>
          <t>Barna</t>
        </is>
      </c>
      <c r="B1387" s="37" t="inlineStr">
        <is>
          <t>Peeragarhi</t>
        </is>
      </c>
      <c r="C1387" s="37" t="inlineStr">
        <is>
          <t>Youth CITI</t>
        </is>
      </c>
      <c r="D1387" s="37" t="inlineStr">
        <is>
          <t>2026-07-09</t>
        </is>
      </c>
      <c r="E1387" s="37" t="inlineStr">
        <is>
          <t>Infra Check</t>
        </is>
      </c>
      <c r="F1387" s="37" t="inlineStr">
        <is>
          <t>Confirm the correct program and partner logos are displayed.</t>
        </is>
      </c>
      <c r="G1387" s="37" t="inlineStr">
        <is>
          <t>All is Well</t>
        </is>
      </c>
    </row>
    <row r="1388">
      <c r="A1388" s="37" t="inlineStr">
        <is>
          <t>Barna</t>
        </is>
      </c>
      <c r="B1388" s="37" t="inlineStr">
        <is>
          <t>Peeragarhi</t>
        </is>
      </c>
      <c r="C1388" s="37" t="inlineStr">
        <is>
          <t>Youth CITI</t>
        </is>
      </c>
      <c r="D1388" s="37" t="inlineStr">
        <is>
          <t>2026-07-09</t>
        </is>
      </c>
      <c r="E1388" s="37" t="inlineStr">
        <is>
          <t>Infra Check</t>
        </is>
      </c>
      <c r="F1388" s="37" t="inlineStr">
        <is>
          <t>Check the status of digital infra — PCs, smartboards, tablets, laptops, etc.</t>
        </is>
      </c>
      <c r="G1388" s="37" t="inlineStr">
        <is>
          <t>All is Well</t>
        </is>
      </c>
    </row>
    <row r="1389">
      <c r="A1389" s="37" t="inlineStr">
        <is>
          <t>Barna</t>
        </is>
      </c>
      <c r="B1389" s="37" t="inlineStr">
        <is>
          <t>Peeragarhi</t>
        </is>
      </c>
      <c r="C1389" s="37" t="inlineStr">
        <is>
          <t>Youth CITI</t>
        </is>
      </c>
      <c r="D1389" s="37" t="inlineStr">
        <is>
          <t>2026-07-09</t>
        </is>
      </c>
      <c r="E1389" s="37" t="inlineStr">
        <is>
          <t>Infra Check</t>
        </is>
      </c>
      <c r="F1389" s="37" t="inlineStr">
        <is>
          <t>Make a quick hostel visit; have lunch there if possible to test the food quality.</t>
        </is>
      </c>
      <c r="G1389" s="37" t="inlineStr">
        <is>
          <t>Not Applicable</t>
        </is>
      </c>
    </row>
    <row r="1390">
      <c r="A1390" s="37" t="inlineStr">
        <is>
          <t>Barna</t>
        </is>
      </c>
      <c r="B1390" s="37" t="inlineStr">
        <is>
          <t>Peeragarhi</t>
        </is>
      </c>
      <c r="C1390" s="37" t="inlineStr">
        <is>
          <t>Youth CITI</t>
        </is>
      </c>
      <c r="D1390" s="37" t="inlineStr">
        <is>
          <t>2026-07-09</t>
        </is>
      </c>
      <c r="E1390" s="37" t="inlineStr">
        <is>
          <t>Process Check</t>
        </is>
      </c>
      <c r="F1390" s="37" t="inlineStr">
        <is>
          <t>Refer to the activity planner — check if any activities are delayed.</t>
        </is>
      </c>
      <c r="G1390" s="37" t="inlineStr">
        <is>
          <t>All is Well</t>
        </is>
      </c>
    </row>
    <row r="1391">
      <c r="A1391" s="37" t="inlineStr">
        <is>
          <t>Barna</t>
        </is>
      </c>
      <c r="B1391" s="37" t="inlineStr">
        <is>
          <t>Peeragarhi</t>
        </is>
      </c>
      <c r="C1391" s="37" t="inlineStr">
        <is>
          <t>Youth CITI</t>
        </is>
      </c>
      <c r="D1391" s="37" t="inlineStr">
        <is>
          <t>2026-07-09</t>
        </is>
      </c>
      <c r="E1391" s="37" t="inlineStr">
        <is>
          <t>Process Check</t>
        </is>
      </c>
      <c r="F1391" s="37" t="inlineStr">
        <is>
          <t>Check planning for the next batch-start announcement.</t>
        </is>
      </c>
      <c r="G1391" s="37" t="inlineStr">
        <is>
          <t>Need Improvement</t>
        </is>
      </c>
    </row>
    <row r="1392">
      <c r="A1392" s="37" t="inlineStr">
        <is>
          <t>Barna</t>
        </is>
      </c>
      <c r="B1392" s="37" t="inlineStr">
        <is>
          <t>Peeragarhi</t>
        </is>
      </c>
      <c r="C1392" s="37" t="inlineStr">
        <is>
          <t>Youth CITI</t>
        </is>
      </c>
      <c r="D1392" s="37" t="inlineStr">
        <is>
          <t>2026-07-09</t>
        </is>
      </c>
      <c r="E1392" s="37" t="inlineStr">
        <is>
          <t>Process Check</t>
        </is>
      </c>
      <c r="F1392" s="37" t="inlineStr">
        <is>
          <t>Check if any hiring is delayed and plan a resolution.</t>
        </is>
      </c>
      <c r="G1392" s="37" t="inlineStr">
        <is>
          <t>All is Well</t>
        </is>
      </c>
    </row>
    <row r="1393">
      <c r="A1393" s="37" t="inlineStr">
        <is>
          <t>Barna</t>
        </is>
      </c>
      <c r="B1393" s="37" t="inlineStr">
        <is>
          <t>Peeragarhi</t>
        </is>
      </c>
      <c r="C1393" s="37" t="inlineStr">
        <is>
          <t>Youth CITI</t>
        </is>
      </c>
      <c r="D1393" s="37" t="inlineStr">
        <is>
          <t>2026-07-09</t>
        </is>
      </c>
      <c r="E1393" s="37" t="inlineStr">
        <is>
          <t>Process Check</t>
        </is>
      </c>
      <c r="F1393" s="37" t="inlineStr">
        <is>
          <t>Check the CA’s diary — is CA guided daily by the AH during planning days?</t>
        </is>
      </c>
      <c r="G1393" s="37" t="inlineStr">
        <is>
          <t>Need Improvement</t>
        </is>
      </c>
    </row>
    <row r="1394">
      <c r="A1394" s="37" t="inlineStr">
        <is>
          <t>Barna</t>
        </is>
      </c>
      <c r="B1394" s="37" t="inlineStr">
        <is>
          <t>Peeragarhi</t>
        </is>
      </c>
      <c r="C1394" s="37" t="inlineStr">
        <is>
          <t>Youth CITI</t>
        </is>
      </c>
      <c r="D1394" s="37" t="inlineStr">
        <is>
          <t>2026-07-09</t>
        </is>
      </c>
      <c r="E1394" s="37" t="inlineStr">
        <is>
          <t>Process Check</t>
        </is>
      </c>
      <c r="F1394" s="37" t="inlineStr">
        <is>
          <t>Check the AH is regularly meeting employers (in person and online) and updating the centre’s Top 20 Employer format.</t>
        </is>
      </c>
      <c r="G1394" s="37" t="inlineStr">
        <is>
          <t>Need Improvement</t>
        </is>
      </c>
    </row>
    <row r="1395">
      <c r="A1395" s="37" t="inlineStr">
        <is>
          <t>Barna</t>
        </is>
      </c>
      <c r="B1395" s="37" t="inlineStr">
        <is>
          <t>Peeragarhi</t>
        </is>
      </c>
      <c r="C1395" s="37" t="inlineStr">
        <is>
          <t>Youth CITI</t>
        </is>
      </c>
      <c r="D1395" s="37" t="inlineStr">
        <is>
          <t>2026-07-09</t>
        </is>
      </c>
      <c r="E1395" s="37" t="inlineStr">
        <is>
          <t>Process Check</t>
        </is>
      </c>
      <c r="F1395" s="37" t="inlineStr">
        <is>
          <t>Confirm all new employers are registered on portal as per new process.</t>
        </is>
      </c>
      <c r="G1395" s="37" t="inlineStr">
        <is>
          <t>All is Well</t>
        </is>
      </c>
    </row>
    <row r="1396">
      <c r="A1396" s="37" t="inlineStr">
        <is>
          <t>Barna</t>
        </is>
      </c>
      <c r="B1396" s="37" t="inlineStr">
        <is>
          <t>Peeragarhi</t>
        </is>
      </c>
      <c r="C1396" s="37" t="inlineStr">
        <is>
          <t>Youth CITI</t>
        </is>
      </c>
      <c r="D1396" s="37" t="inlineStr">
        <is>
          <t>2026-07-09</t>
        </is>
      </c>
      <c r="E1396" s="37" t="inlineStr">
        <is>
          <t>Process Check</t>
        </is>
      </c>
      <c r="F1396" s="37" t="inlineStr">
        <is>
          <t>Confirm 100% of enrolled students undergone screening (for technical courses).</t>
        </is>
      </c>
      <c r="G1396" s="37" t="inlineStr">
        <is>
          <t>Not Applicable</t>
        </is>
      </c>
    </row>
    <row r="1397">
      <c r="A1397" s="37" t="inlineStr">
        <is>
          <t>Barna</t>
        </is>
      </c>
      <c r="B1397" s="37" t="inlineStr">
        <is>
          <t>Peeragarhi</t>
        </is>
      </c>
      <c r="C1397" s="37" t="inlineStr">
        <is>
          <t>Youth CITI</t>
        </is>
      </c>
      <c r="D1397" s="37" t="inlineStr">
        <is>
          <t>2026-07-09</t>
        </is>
      </c>
      <c r="E1397" s="37" t="inlineStr">
        <is>
          <t>Process Check</t>
        </is>
      </c>
      <c r="F1397" s="37" t="inlineStr">
        <is>
          <t>Confirm ESA is done (in GROW full ESA and in Technical courses relevant sections of Core Employability Part).</t>
        </is>
      </c>
      <c r="G1397" s="37" t="inlineStr">
        <is>
          <t>Not Applicable</t>
        </is>
      </c>
    </row>
    <row r="1398">
      <c r="A1398" s="37" t="inlineStr">
        <is>
          <t>Barna</t>
        </is>
      </c>
      <c r="B1398" s="37" t="inlineStr">
        <is>
          <t>Peeragarhi</t>
        </is>
      </c>
      <c r="C1398" s="37" t="inlineStr">
        <is>
          <t>Youth CITI</t>
        </is>
      </c>
      <c r="D1398" s="37" t="inlineStr">
        <is>
          <t>2026-07-09</t>
        </is>
      </c>
      <c r="E1398" s="37" t="inlineStr">
        <is>
          <t>Process Check</t>
        </is>
      </c>
      <c r="F1398" s="37" t="inlineStr">
        <is>
          <t>Check is AH giving capstone project in GROW Tech.</t>
        </is>
      </c>
      <c r="G1398" s="37" t="inlineStr">
        <is>
          <t>Not Applicable</t>
        </is>
      </c>
    </row>
    <row r="1399">
      <c r="A1399" s="37" t="inlineStr">
        <is>
          <t>Barna</t>
        </is>
      </c>
      <c r="B1399" s="37" t="inlineStr">
        <is>
          <t>Peeragarhi</t>
        </is>
      </c>
      <c r="C1399" s="37" t="inlineStr">
        <is>
          <t>Youth CITI</t>
        </is>
      </c>
      <c r="D1399" s="37" t="inlineStr">
        <is>
          <t>2026-07-09</t>
        </is>
      </c>
      <c r="E1399" s="37" t="inlineStr">
        <is>
          <t>Process Check</t>
        </is>
      </c>
      <c r="F1399" s="37" t="inlineStr">
        <is>
          <t>Check is AH planning OJT as per guidelines and proofs are collected for technical courses.</t>
        </is>
      </c>
      <c r="G1399" s="37" t="inlineStr">
        <is>
          <t>Not Applicable</t>
        </is>
      </c>
    </row>
    <row r="1400">
      <c r="A1400" s="37" t="inlineStr">
        <is>
          <t>Barna</t>
        </is>
      </c>
      <c r="B1400" s="37" t="inlineStr">
        <is>
          <t>Peeragarhi</t>
        </is>
      </c>
      <c r="C1400" s="37" t="inlineStr">
        <is>
          <t>Youth CITI</t>
        </is>
      </c>
      <c r="D1400" s="37" t="inlineStr">
        <is>
          <t>2026-07-09</t>
        </is>
      </c>
      <c r="E1400" s="37" t="inlineStr">
        <is>
          <t>Process Check</t>
        </is>
      </c>
      <c r="F1400" s="37" t="inlineStr">
        <is>
          <t>Check are trainers contacting aspirants to find reason for their absenteeism of more than 1 day.</t>
        </is>
      </c>
      <c r="G1400" s="37" t="inlineStr">
        <is>
          <t>All is Well</t>
        </is>
      </c>
    </row>
    <row r="1401">
      <c r="A1401" s="37" t="inlineStr">
        <is>
          <t>Barna</t>
        </is>
      </c>
      <c r="B1401" s="37" t="inlineStr">
        <is>
          <t>Peeragarhi</t>
        </is>
      </c>
      <c r="C1401" s="37" t="inlineStr">
        <is>
          <t>Youth CITI</t>
        </is>
      </c>
      <c r="D1401" s="37" t="inlineStr">
        <is>
          <t>2026-07-09</t>
        </is>
      </c>
      <c r="E1401" s="37" t="inlineStr">
        <is>
          <t>Process Check</t>
        </is>
      </c>
      <c r="F1401" s="37" t="inlineStr">
        <is>
          <t>Check the AH plans monthly enrolment and placement numbers by the 3rd of each month and shares them with second level managers.</t>
        </is>
      </c>
      <c r="G1401" s="37" t="inlineStr">
        <is>
          <t>Need Improvement</t>
        </is>
      </c>
    </row>
    <row r="1402">
      <c r="A1402" s="37" t="inlineStr">
        <is>
          <t>Barna</t>
        </is>
      </c>
      <c r="B1402" s="37" t="inlineStr">
        <is>
          <t>Peeragarhi</t>
        </is>
      </c>
      <c r="C1402" s="37" t="inlineStr">
        <is>
          <t>Youth CITI</t>
        </is>
      </c>
      <c r="D1402" s="37" t="inlineStr">
        <is>
          <t>2026-07-09</t>
        </is>
      </c>
      <c r="E1402" s="37" t="inlineStr">
        <is>
          <t>Process Check</t>
        </is>
      </c>
      <c r="F1402" s="37" t="inlineStr">
        <is>
          <t>Check trainers submit aspirants’ placement interest areas to the AH by the batch’s 25th day (in GROW).</t>
        </is>
      </c>
      <c r="G1402" s="37" t="inlineStr">
        <is>
          <t>All is Well</t>
        </is>
      </c>
    </row>
    <row r="1403">
      <c r="A1403" s="37" t="inlineStr">
        <is>
          <t>Barna</t>
        </is>
      </c>
      <c r="B1403" s="37" t="inlineStr">
        <is>
          <t>Peeragarhi</t>
        </is>
      </c>
      <c r="C1403" s="37" t="inlineStr">
        <is>
          <t>Youth CITI</t>
        </is>
      </c>
      <c r="D1403" s="37" t="inlineStr">
        <is>
          <t>2026-07-09</t>
        </is>
      </c>
      <c r="E1403" s="37" t="inlineStr">
        <is>
          <t>Process Check</t>
        </is>
      </c>
      <c r="F1403" s="37" t="inlineStr">
        <is>
          <t>Ckeck For technical programs, placement is done only in technical jobs,on which aspirants are trained and relevant emplyers are identified by 45th day.</t>
        </is>
      </c>
      <c r="G1403" s="37" t="inlineStr">
        <is>
          <t>Not Applicable</t>
        </is>
      </c>
    </row>
    <row r="1404">
      <c r="A1404" s="37" t="inlineStr">
        <is>
          <t>Barna</t>
        </is>
      </c>
      <c r="B1404" s="37" t="inlineStr">
        <is>
          <t>Peeragarhi</t>
        </is>
      </c>
      <c r="C1404" s="37" t="inlineStr">
        <is>
          <t>Youth CITI</t>
        </is>
      </c>
      <c r="D1404" s="37" t="inlineStr">
        <is>
          <t>2026-07-09</t>
        </is>
      </c>
      <c r="E1404" s="37" t="inlineStr">
        <is>
          <t>Process Check</t>
        </is>
      </c>
      <c r="F1404" s="37" t="inlineStr">
        <is>
          <t>Check the AH follows EP guidelines and minimum benchmark salary guidelines.</t>
        </is>
      </c>
      <c r="G1404" s="37" t="inlineStr">
        <is>
          <t>All is Well</t>
        </is>
      </c>
    </row>
    <row r="1405">
      <c r="A1405" s="37" t="inlineStr">
        <is>
          <t>Barna</t>
        </is>
      </c>
      <c r="B1405" s="37" t="inlineStr">
        <is>
          <t>Peeragarhi</t>
        </is>
      </c>
      <c r="C1405" s="37" t="inlineStr">
        <is>
          <t>Youth CITI</t>
        </is>
      </c>
      <c r="D1405" s="37" t="inlineStr">
        <is>
          <t>2026-07-09</t>
        </is>
      </c>
      <c r="E1405" s="37" t="inlineStr">
        <is>
          <t>Process Check</t>
        </is>
      </c>
      <c r="F1405" s="37" t="inlineStr">
        <is>
          <t>Check that AH is enrolling only the right traget group in the program -as per the defined target.</t>
        </is>
      </c>
      <c r="G1405" s="37" t="inlineStr">
        <is>
          <t>All is Well</t>
        </is>
      </c>
    </row>
    <row r="1406">
      <c r="A1406" s="37" t="inlineStr">
        <is>
          <t>Barna</t>
        </is>
      </c>
      <c r="B1406" s="37" t="inlineStr">
        <is>
          <t>Peeragarhi</t>
        </is>
      </c>
      <c r="C1406" s="37" t="inlineStr">
        <is>
          <t>Youth CITI</t>
        </is>
      </c>
      <c r="D1406" s="37" t="inlineStr">
        <is>
          <t>2026-07-09</t>
        </is>
      </c>
      <c r="E1406" s="37" t="inlineStr">
        <is>
          <t>Process Check</t>
        </is>
      </c>
      <c r="F1406" s="37" t="inlineStr">
        <is>
          <t>Check the AH announces the next batch-start date by the 3rd of the month on all notice boards — focus on Zero-Day start.</t>
        </is>
      </c>
      <c r="G1406" s="37" t="inlineStr">
        <is>
          <t>Need Improvement</t>
        </is>
      </c>
    </row>
    <row r="1407">
      <c r="A1407" s="37" t="inlineStr">
        <is>
          <t>Barna</t>
        </is>
      </c>
      <c r="B1407" s="37" t="inlineStr">
        <is>
          <t>Peeragarhi</t>
        </is>
      </c>
      <c r="C1407" s="37" t="inlineStr">
        <is>
          <t>Youth CITI</t>
        </is>
      </c>
      <c r="D1407" s="37" t="inlineStr">
        <is>
          <t>2026-07-09</t>
        </is>
      </c>
      <c r="E1407" s="37" t="inlineStr">
        <is>
          <t>Process Check</t>
        </is>
      </c>
      <c r="F1407" s="37" t="inlineStr">
        <is>
          <t>Check the Aspirant Mock Interview Score Tracker is updated after every mock interview in the L&amp;D Google Sheet.</t>
        </is>
      </c>
      <c r="G1407" s="37" t="inlineStr">
        <is>
          <t>Need Improvement</t>
        </is>
      </c>
    </row>
    <row r="1408">
      <c r="A1408" s="37" t="inlineStr">
        <is>
          <t>Barna</t>
        </is>
      </c>
      <c r="B1408" s="37" t="inlineStr">
        <is>
          <t>Peeragarhi</t>
        </is>
      </c>
      <c r="C1408" s="37" t="inlineStr">
        <is>
          <t>Youth CITI</t>
        </is>
      </c>
      <c r="D1408" s="37" t="inlineStr">
        <is>
          <t>2026-07-09</t>
        </is>
      </c>
      <c r="E1408" s="37" t="inlineStr">
        <is>
          <t>Process Check</t>
        </is>
      </c>
      <c r="F1408" s="37" t="inlineStr">
        <is>
          <t>Confirm NPS (Net Promoter Score) is collected at MSDF centres.</t>
        </is>
      </c>
      <c r="G1408" s="37" t="inlineStr">
        <is>
          <t>Not Applicable</t>
        </is>
      </c>
    </row>
    <row r="1409">
      <c r="A1409" s="37" t="inlineStr">
        <is>
          <t>Barna</t>
        </is>
      </c>
      <c r="B1409" s="37" t="inlineStr">
        <is>
          <t>Peeragarhi</t>
        </is>
      </c>
      <c r="C1409" s="37" t="inlineStr">
        <is>
          <t>Youth CITI</t>
        </is>
      </c>
      <c r="D1409" s="37" t="inlineStr">
        <is>
          <t>2026-07-09</t>
        </is>
      </c>
      <c r="E1409" s="37" t="inlineStr">
        <is>
          <t>Process Check</t>
        </is>
      </c>
      <c r="F1409" s="37" t="inlineStr">
        <is>
          <t>Confirm that QAE is collecting student feedback for every batch.</t>
        </is>
      </c>
      <c r="G1409" s="37" t="inlineStr">
        <is>
          <t>All is Well</t>
        </is>
      </c>
    </row>
    <row r="1410">
      <c r="A1410" s="37" t="inlineStr">
        <is>
          <t>Barna</t>
        </is>
      </c>
      <c r="B1410" s="37" t="inlineStr">
        <is>
          <t>Peeragarhi</t>
        </is>
      </c>
      <c r="C1410" s="37" t="inlineStr">
        <is>
          <t>Youth CITI</t>
        </is>
      </c>
      <c r="D1410" s="37" t="inlineStr">
        <is>
          <t>2026-07-09</t>
        </is>
      </c>
      <c r="E1410" s="37" t="inlineStr">
        <is>
          <t>Process Check</t>
        </is>
      </c>
      <c r="F1410" s="37" t="inlineStr">
        <is>
          <t>Confirm all centre teams have completed the GROW Manual Course on Skillfy — ask for achievement certificates.</t>
        </is>
      </c>
      <c r="G1410" s="37" t="inlineStr">
        <is>
          <t>All is Well</t>
        </is>
      </c>
    </row>
    <row r="1411">
      <c r="A1411" s="37" t="inlineStr">
        <is>
          <t>Barna</t>
        </is>
      </c>
      <c r="B1411" s="37" t="inlineStr">
        <is>
          <t>Peeragarhi</t>
        </is>
      </c>
      <c r="C1411" s="37" t="inlineStr">
        <is>
          <t>Youth CITI</t>
        </is>
      </c>
      <c r="D1411" s="37" t="inlineStr">
        <is>
          <t>2026-07-09</t>
        </is>
      </c>
      <c r="E1411" s="37" t="inlineStr">
        <is>
          <t>Process Check</t>
        </is>
      </c>
      <c r="F1411" s="37" t="inlineStr">
        <is>
          <t>Check AH holds a quality weekly team meeting, documents action points in the weekly meeting format, and sends you a photo on WhatsApp.</t>
        </is>
      </c>
      <c r="G1411" s="37" t="inlineStr">
        <is>
          <t>Need Improvement</t>
        </is>
      </c>
    </row>
    <row r="1412">
      <c r="A1412" s="37" t="inlineStr">
        <is>
          <t>Barna</t>
        </is>
      </c>
      <c r="B1412" s="37" t="inlineStr">
        <is>
          <t>Peeragarhi</t>
        </is>
      </c>
      <c r="C1412" s="37" t="inlineStr">
        <is>
          <t>Youth CITI</t>
        </is>
      </c>
      <c r="D1412" s="37" t="inlineStr">
        <is>
          <t>2026-07-09</t>
        </is>
      </c>
      <c r="E1412" s="37" t="inlineStr">
        <is>
          <t>Aspirant Interaction</t>
        </is>
      </c>
      <c r="F1412" s="37" t="inlineStr">
        <is>
          <t>Ask aspirants about the session plan — confirm training is happening as planned?</t>
        </is>
      </c>
      <c r="G1412" s="37" t="inlineStr">
        <is>
          <t>All is Well</t>
        </is>
      </c>
    </row>
    <row r="1413">
      <c r="A1413" s="37" t="inlineStr">
        <is>
          <t>Barna</t>
        </is>
      </c>
      <c r="B1413" s="37" t="inlineStr">
        <is>
          <t>Peeragarhi</t>
        </is>
      </c>
      <c r="C1413" s="37" t="inlineStr">
        <is>
          <t>Youth CITI</t>
        </is>
      </c>
      <c r="D1413" s="37" t="inlineStr">
        <is>
          <t>2026-07-09</t>
        </is>
      </c>
      <c r="E1413" s="37" t="inlineStr">
        <is>
          <t>Aspirant Interaction</t>
        </is>
      </c>
      <c r="F1413" s="37" t="inlineStr">
        <is>
          <t>Ask about the quality of Core Employability component delivery (technical centres) and who delivers it.</t>
        </is>
      </c>
      <c r="G1413" s="37" t="inlineStr">
        <is>
          <t>Not Applicable</t>
        </is>
      </c>
    </row>
    <row r="1414">
      <c r="A1414" s="37" t="inlineStr">
        <is>
          <t>Barna</t>
        </is>
      </c>
      <c r="B1414" s="37" t="inlineStr">
        <is>
          <t>Peeragarhi</t>
        </is>
      </c>
      <c r="C1414" s="37" t="inlineStr">
        <is>
          <t>Youth CITI</t>
        </is>
      </c>
      <c r="D1414" s="37" t="inlineStr">
        <is>
          <t>2026-07-09</t>
        </is>
      </c>
      <c r="E1414" s="37" t="inlineStr">
        <is>
          <t>Aspirant Interaction</t>
        </is>
      </c>
      <c r="F1414" s="37" t="inlineStr">
        <is>
          <t>Ask whether they are aware of the referral scheme?</t>
        </is>
      </c>
      <c r="G1414" s="37" t="inlineStr">
        <is>
          <t>All is Well</t>
        </is>
      </c>
    </row>
    <row r="1415">
      <c r="A1415" s="37" t="inlineStr">
        <is>
          <t>Barna</t>
        </is>
      </c>
      <c r="B1415" s="37" t="inlineStr">
        <is>
          <t>Peeragarhi</t>
        </is>
      </c>
      <c r="C1415" s="37" t="inlineStr">
        <is>
          <t>Youth CITI</t>
        </is>
      </c>
      <c r="D1415" s="37" t="inlineStr">
        <is>
          <t>2026-07-09</t>
        </is>
      </c>
      <c r="E1415" s="37" t="inlineStr">
        <is>
          <t>Aspirant Interaction</t>
        </is>
      </c>
      <c r="F1415" s="37" t="inlineStr">
        <is>
          <t>Ask whether the AH explained the importance of the offer letter and sharing it with us once received for reporting purposes?</t>
        </is>
      </c>
      <c r="G1415" s="37" t="inlineStr">
        <is>
          <t>All is Well</t>
        </is>
      </c>
    </row>
    <row r="1416">
      <c r="A1416" s="37" t="inlineStr">
        <is>
          <t>Barna</t>
        </is>
      </c>
      <c r="B1416" s="37" t="inlineStr">
        <is>
          <t>Peeragarhi</t>
        </is>
      </c>
      <c r="C1416" s="37" t="inlineStr">
        <is>
          <t>Youth CITI</t>
        </is>
      </c>
      <c r="D1416" s="37" t="inlineStr">
        <is>
          <t>2026-07-09</t>
        </is>
      </c>
      <c r="E1416" s="37" t="inlineStr">
        <is>
          <t>Aspirant Interaction</t>
        </is>
      </c>
      <c r="F1416" s="37" t="inlineStr">
        <is>
          <t>Ask how many are not interested in jobs — and if so, why they enrolled in the programme?</t>
        </is>
      </c>
      <c r="G1416" s="37" t="inlineStr">
        <is>
          <t>All is Well</t>
        </is>
      </c>
    </row>
    <row r="1417">
      <c r="A1417" s="37" t="inlineStr">
        <is>
          <t>Barna</t>
        </is>
      </c>
      <c r="B1417" s="37" t="inlineStr">
        <is>
          <t>Peeragarhi</t>
        </is>
      </c>
      <c r="C1417" s="37" t="inlineStr">
        <is>
          <t>Youth CITI</t>
        </is>
      </c>
      <c r="D1417" s="37" t="inlineStr">
        <is>
          <t>2026-07-09</t>
        </is>
      </c>
      <c r="E1417" s="37" t="inlineStr">
        <is>
          <t>Aspirant Interaction</t>
        </is>
      </c>
      <c r="F1417" s="37" t="inlineStr">
        <is>
          <t>Ask whether they were told the kind of job they would get during counselling?</t>
        </is>
      </c>
      <c r="G1417" s="37" t="inlineStr">
        <is>
          <t>All is Well</t>
        </is>
      </c>
    </row>
    <row r="1418">
      <c r="A1418" s="37" t="inlineStr">
        <is>
          <t>Barna</t>
        </is>
      </c>
      <c r="B1418" s="37" t="inlineStr">
        <is>
          <t>Peeragarhi</t>
        </is>
      </c>
      <c r="C1418" s="37" t="inlineStr">
        <is>
          <t>Youth CITI</t>
        </is>
      </c>
      <c r="D1418" s="37" t="inlineStr">
        <is>
          <t>2026-07-09</t>
        </is>
      </c>
      <c r="E1418" s="37" t="inlineStr">
        <is>
          <t>Aspirant Interaction</t>
        </is>
      </c>
      <c r="F1418" s="37" t="inlineStr">
        <is>
          <t>Ask whether they have been given LMS access?</t>
        </is>
      </c>
      <c r="G1418" s="37" t="inlineStr">
        <is>
          <t>All is Well</t>
        </is>
      </c>
    </row>
    <row r="1419">
      <c r="A1419" s="37" t="inlineStr">
        <is>
          <t>Barna</t>
        </is>
      </c>
      <c r="B1419" s="37" t="inlineStr">
        <is>
          <t>Peeragarhi</t>
        </is>
      </c>
      <c r="C1419" s="37" t="inlineStr">
        <is>
          <t>Youth CITI</t>
        </is>
      </c>
      <c r="D1419" s="37" t="inlineStr">
        <is>
          <t>2026-07-09</t>
        </is>
      </c>
      <c r="E1419" s="37" t="inlineStr">
        <is>
          <t>Aspirant Interaction</t>
        </is>
      </c>
      <c r="F1419" s="37" t="inlineStr">
        <is>
          <t>Ask whether anyone asked them for money for training or placement?</t>
        </is>
      </c>
      <c r="G1419" s="37" t="inlineStr">
        <is>
          <t>All is Well</t>
        </is>
      </c>
    </row>
    <row r="1420">
      <c r="A1420" s="37" t="inlineStr">
        <is>
          <t>Barna</t>
        </is>
      </c>
      <c r="B1420" s="37" t="inlineStr">
        <is>
          <t>Peeragarhi</t>
        </is>
      </c>
      <c r="C1420" s="37" t="inlineStr">
        <is>
          <t>Youth CITI</t>
        </is>
      </c>
      <c r="D1420" s="37" t="inlineStr">
        <is>
          <t>2026-07-09</t>
        </is>
      </c>
      <c r="E1420" s="37" t="inlineStr">
        <is>
          <t>Aspirant Interaction</t>
        </is>
      </c>
      <c r="F1420" s="37" t="inlineStr">
        <is>
          <t>Ask to show their mobile phones — are they enrolled on Skillfy? If not, get them enrolled and give written feedback to trainers and the AH in your presence.</t>
        </is>
      </c>
      <c r="G1420" s="37" t="inlineStr">
        <is>
          <t>All is Well</t>
        </is>
      </c>
    </row>
    <row r="1421">
      <c r="A1421" s="37" t="inlineStr">
        <is>
          <t>Barna</t>
        </is>
      </c>
      <c r="B1421" s="37" t="inlineStr">
        <is>
          <t>Peeragarhi</t>
        </is>
      </c>
      <c r="C1421" s="37" t="inlineStr">
        <is>
          <t>Youth CITI</t>
        </is>
      </c>
      <c r="D1421" s="37" t="inlineStr">
        <is>
          <t>2026-07-09</t>
        </is>
      </c>
      <c r="E1421" s="37" t="inlineStr">
        <is>
          <t>Aspirant Interaction</t>
        </is>
      </c>
      <c r="F1421" s="37" t="inlineStr">
        <is>
          <t>Ask about the quality of the hostel and any issues they face.</t>
        </is>
      </c>
      <c r="G1421" s="37" t="inlineStr">
        <is>
          <t>Not Applicable</t>
        </is>
      </c>
    </row>
    <row r="1422">
      <c r="A1422" s="37" t="inlineStr">
        <is>
          <t>Barna</t>
        </is>
      </c>
      <c r="B1422" s="37" t="inlineStr">
        <is>
          <t>Peeragarhi</t>
        </is>
      </c>
      <c r="C1422" s="37" t="inlineStr">
        <is>
          <t>Youth CITI</t>
        </is>
      </c>
      <c r="D1422" s="37" t="inlineStr">
        <is>
          <t>2026-07-09</t>
        </is>
      </c>
      <c r="E1422" s="37" t="inlineStr">
        <is>
          <t>Aspirant Interaction</t>
        </is>
      </c>
      <c r="F1422" s="37" t="inlineStr">
        <is>
          <t>Ask a few relevant screening questions to support the 10th-day report and remove non-serious candidates, explaining to them the reasons.</t>
        </is>
      </c>
      <c r="G1422" s="37" t="inlineStr">
        <is>
          <t>All is Well</t>
        </is>
      </c>
    </row>
    <row r="1423">
      <c r="A1423" s="37" t="inlineStr">
        <is>
          <t>Gagandeep Singh Sachar</t>
        </is>
      </c>
      <c r="B1423" s="37" t="inlineStr">
        <is>
          <t>Chinchwad - Pune</t>
        </is>
      </c>
      <c r="C1423" s="37" t="inlineStr">
        <is>
          <t xml:space="preserve">Youth </t>
        </is>
      </c>
      <c r="D1423" s="37" t="inlineStr">
        <is>
          <t>2026-07-16</t>
        </is>
      </c>
      <c r="E1423" s="37" t="inlineStr">
        <is>
          <t>Data Check</t>
        </is>
      </c>
      <c r="F1423" s="37" t="inlineStr">
        <is>
          <t>Reach the centre on time (unannounced) — confirm the centre opened on time.</t>
        </is>
      </c>
      <c r="G1423" s="37" t="inlineStr">
        <is>
          <t>All is Well</t>
        </is>
      </c>
    </row>
    <row r="1424">
      <c r="A1424" s="37" t="inlineStr">
        <is>
          <t>Gagandeep Singh Sachar</t>
        </is>
      </c>
      <c r="B1424" s="37" t="inlineStr">
        <is>
          <t>Chinchwad - Pune</t>
        </is>
      </c>
      <c r="C1424" s="37" t="inlineStr">
        <is>
          <t xml:space="preserve">Youth </t>
        </is>
      </c>
      <c r="D1424" s="37" t="inlineStr">
        <is>
          <t>2026-07-16</t>
        </is>
      </c>
      <c r="E1424" s="37" t="inlineStr">
        <is>
          <t>Data Check</t>
        </is>
      </c>
      <c r="F1424" s="37" t="inlineStr">
        <is>
          <t>Check the staff attendance register, the Google Sheet, and geo-tagged photos for aspirants.</t>
        </is>
      </c>
      <c r="G1424" s="37" t="inlineStr">
        <is>
          <t>All is Well</t>
        </is>
      </c>
    </row>
    <row r="1425">
      <c r="A1425" s="37" t="inlineStr">
        <is>
          <t>Gagandeep Singh Sachar</t>
        </is>
      </c>
      <c r="B1425" s="37" t="inlineStr">
        <is>
          <t>Chinchwad - Pune</t>
        </is>
      </c>
      <c r="C1425" s="37" t="inlineStr">
        <is>
          <t xml:space="preserve">Youth </t>
        </is>
      </c>
      <c r="D1425" s="37" t="inlineStr">
        <is>
          <t>2026-07-16</t>
        </is>
      </c>
      <c r="E1425" s="37" t="inlineStr">
        <is>
          <t>Data Check</t>
        </is>
      </c>
      <c r="F1425" s="37" t="inlineStr">
        <is>
          <t>Check Counselling and Screening Forms of recently started batches.</t>
        </is>
      </c>
      <c r="G1425" s="37" t="inlineStr">
        <is>
          <t>All is Well</t>
        </is>
      </c>
    </row>
    <row r="1426">
      <c r="A1426" s="37" t="inlineStr">
        <is>
          <t>Gagandeep Singh Sachar</t>
        </is>
      </c>
      <c r="B1426" s="37" t="inlineStr">
        <is>
          <t>Chinchwad - Pune</t>
        </is>
      </c>
      <c r="C1426" s="37" t="inlineStr">
        <is>
          <t xml:space="preserve">Youth </t>
        </is>
      </c>
      <c r="D1426" s="37" t="inlineStr">
        <is>
          <t>2026-07-16</t>
        </is>
      </c>
      <c r="E1426" s="37" t="inlineStr">
        <is>
          <t>Data Check</t>
        </is>
      </c>
      <c r="F1426" s="37" t="inlineStr">
        <is>
          <t>Check Aspirant Registration Forms and related documents.</t>
        </is>
      </c>
      <c r="G1426" s="37" t="inlineStr">
        <is>
          <t>All is Well</t>
        </is>
      </c>
    </row>
    <row r="1427">
      <c r="A1427" s="37" t="inlineStr">
        <is>
          <t>Gagandeep Singh Sachar</t>
        </is>
      </c>
      <c r="B1427" s="37" t="inlineStr">
        <is>
          <t>Chinchwad - Pune</t>
        </is>
      </c>
      <c r="C1427" s="37" t="inlineStr">
        <is>
          <t xml:space="preserve">Youth </t>
        </is>
      </c>
      <c r="D1427" s="37" t="inlineStr">
        <is>
          <t>2026-07-16</t>
        </is>
      </c>
      <c r="E1427" s="37" t="inlineStr">
        <is>
          <t>Data Check</t>
        </is>
      </c>
      <c r="F1427" s="37" t="inlineStr">
        <is>
          <t>On the GROW portal, confirm all student profile details and batch updates are currect.</t>
        </is>
      </c>
      <c r="G1427" s="37" t="inlineStr">
        <is>
          <t>All is Well</t>
        </is>
      </c>
    </row>
    <row r="1428">
      <c r="A1428" s="37" t="inlineStr">
        <is>
          <t>Gagandeep Singh Sachar</t>
        </is>
      </c>
      <c r="B1428" s="37" t="inlineStr">
        <is>
          <t>Chinchwad - Pune</t>
        </is>
      </c>
      <c r="C1428" s="37" t="inlineStr">
        <is>
          <t xml:space="preserve">Youth </t>
        </is>
      </c>
      <c r="D1428" s="37" t="inlineStr">
        <is>
          <t>2026-07-16</t>
        </is>
      </c>
      <c r="E1428" s="37" t="inlineStr">
        <is>
          <t>Data Check</t>
        </is>
      </c>
      <c r="F1428" s="37" t="inlineStr">
        <is>
          <t>Verify placement data — randomly call 3–4 alumni placed in the last 3 months to confirm veracity (random selection is essential).</t>
        </is>
      </c>
      <c r="G1428" s="37" t="inlineStr">
        <is>
          <t>All is Well</t>
        </is>
      </c>
    </row>
    <row r="1429">
      <c r="A1429" s="37" t="inlineStr">
        <is>
          <t>Gagandeep Singh Sachar</t>
        </is>
      </c>
      <c r="B1429" s="37" t="inlineStr">
        <is>
          <t>Chinchwad - Pune</t>
        </is>
      </c>
      <c r="C1429" s="37" t="inlineStr">
        <is>
          <t xml:space="preserve">Youth </t>
        </is>
      </c>
      <c r="D1429" s="37" t="inlineStr">
        <is>
          <t>2026-07-16</t>
        </is>
      </c>
      <c r="E1429" s="37" t="inlineStr">
        <is>
          <t>Data Check</t>
        </is>
      </c>
      <c r="F1429" s="37" t="inlineStr">
        <is>
          <t>Verify retention — check the Alumni Hand-holding Format is being updated as designed.</t>
        </is>
      </c>
      <c r="G1429" s="37" t="inlineStr">
        <is>
          <t>Need Improvement</t>
        </is>
      </c>
    </row>
    <row r="1430">
      <c r="A1430" s="37" t="inlineStr">
        <is>
          <t>Gagandeep Singh Sachar</t>
        </is>
      </c>
      <c r="B1430" s="37" t="inlineStr">
        <is>
          <t>Chinchwad - Pune</t>
        </is>
      </c>
      <c r="C1430" s="37" t="inlineStr">
        <is>
          <t xml:space="preserve">Youth </t>
        </is>
      </c>
      <c r="D1430" s="37" t="inlineStr">
        <is>
          <t>2026-07-16</t>
        </is>
      </c>
      <c r="E1430" s="37" t="inlineStr">
        <is>
          <t>Data Check</t>
        </is>
      </c>
      <c r="F1430" s="37" t="inlineStr">
        <is>
          <t>Check aspirant Hostel Forms are properly filled or not.</t>
        </is>
      </c>
      <c r="G1430" s="37" t="inlineStr">
        <is>
          <t>Not Applicable</t>
        </is>
      </c>
    </row>
    <row r="1431">
      <c r="A1431" s="37" t="inlineStr">
        <is>
          <t>Gagandeep Singh Sachar</t>
        </is>
      </c>
      <c r="B1431" s="37" t="inlineStr">
        <is>
          <t>Chinchwad - Pune</t>
        </is>
      </c>
      <c r="C1431" s="37" t="inlineStr">
        <is>
          <t xml:space="preserve">Youth </t>
        </is>
      </c>
      <c r="D1431" s="37" t="inlineStr">
        <is>
          <t>2026-07-16</t>
        </is>
      </c>
      <c r="E1431" s="37" t="inlineStr">
        <is>
          <t>Infra Check</t>
        </is>
      </c>
      <c r="F1431" s="37" t="inlineStr">
        <is>
          <t>Check all CCTV cameras; if any are not working, ask the AH to troubleshoot or call the vendor.</t>
        </is>
      </c>
      <c r="G1431" s="37" t="inlineStr">
        <is>
          <t>All is Well</t>
        </is>
      </c>
    </row>
    <row r="1432">
      <c r="A1432" s="37" t="inlineStr">
        <is>
          <t>Gagandeep Singh Sachar</t>
        </is>
      </c>
      <c r="B1432" s="37" t="inlineStr">
        <is>
          <t>Chinchwad - Pune</t>
        </is>
      </c>
      <c r="C1432" s="37" t="inlineStr">
        <is>
          <t xml:space="preserve">Youth </t>
        </is>
      </c>
      <c r="D1432" s="37" t="inlineStr">
        <is>
          <t>2026-07-16</t>
        </is>
      </c>
      <c r="E1432" s="37" t="inlineStr">
        <is>
          <t>Infra Check</t>
        </is>
      </c>
      <c r="F1432" s="37" t="inlineStr">
        <is>
          <t>Check for any scrap material and get it cleared, with support of Admin</t>
        </is>
      </c>
      <c r="G1432" s="37" t="inlineStr">
        <is>
          <t>Need Improvement</t>
        </is>
      </c>
    </row>
    <row r="1433">
      <c r="A1433" s="37" t="inlineStr">
        <is>
          <t>Gagandeep Singh Sachar</t>
        </is>
      </c>
      <c r="B1433" s="37" t="inlineStr">
        <is>
          <t>Chinchwad - Pune</t>
        </is>
      </c>
      <c r="C1433" s="37" t="inlineStr">
        <is>
          <t xml:space="preserve">Youth </t>
        </is>
      </c>
      <c r="D1433" s="37" t="inlineStr">
        <is>
          <t>2026-07-16</t>
        </is>
      </c>
      <c r="E1433" s="37" t="inlineStr">
        <is>
          <t>Infra Check</t>
        </is>
      </c>
      <c r="F1433" s="37" t="inlineStr">
        <is>
          <t>Check for any pending infra repairs.</t>
        </is>
      </c>
      <c r="G1433" s="37" t="inlineStr">
        <is>
          <t>All is Well</t>
        </is>
      </c>
    </row>
    <row r="1434">
      <c r="A1434" s="37" t="inlineStr">
        <is>
          <t>Gagandeep Singh Sachar</t>
        </is>
      </c>
      <c r="B1434" s="37" t="inlineStr">
        <is>
          <t>Chinchwad - Pune</t>
        </is>
      </c>
      <c r="C1434" s="37" t="inlineStr">
        <is>
          <t xml:space="preserve">Youth </t>
        </is>
      </c>
      <c r="D1434" s="37" t="inlineStr">
        <is>
          <t>2026-07-16</t>
        </is>
      </c>
      <c r="E1434" s="37" t="inlineStr">
        <is>
          <t>Infra Check</t>
        </is>
      </c>
      <c r="F1434" s="37" t="inlineStr">
        <is>
          <t>Check whether any fire extinguishers have expired (check the needle and expiry date both).</t>
        </is>
      </c>
      <c r="G1434" s="37" t="inlineStr">
        <is>
          <t>All is Well</t>
        </is>
      </c>
    </row>
    <row r="1435">
      <c r="A1435" s="37" t="inlineStr">
        <is>
          <t>Gagandeep Singh Sachar</t>
        </is>
      </c>
      <c r="B1435" s="37" t="inlineStr">
        <is>
          <t>Chinchwad - Pune</t>
        </is>
      </c>
      <c r="C1435" s="37" t="inlineStr">
        <is>
          <t xml:space="preserve">Youth </t>
        </is>
      </c>
      <c r="D1435" s="37" t="inlineStr">
        <is>
          <t>2026-07-16</t>
        </is>
      </c>
      <c r="E1435" s="37" t="inlineStr">
        <is>
          <t>Infra Check</t>
        </is>
      </c>
      <c r="F1435" s="37" t="inlineStr">
        <is>
          <t>Check basic cleanliness of the washrooms and the centre.</t>
        </is>
      </c>
      <c r="G1435" s="37" t="inlineStr">
        <is>
          <t>All is Well</t>
        </is>
      </c>
    </row>
    <row r="1436">
      <c r="A1436" s="37" t="inlineStr">
        <is>
          <t>Gagandeep Singh Sachar</t>
        </is>
      </c>
      <c r="B1436" s="37" t="inlineStr">
        <is>
          <t>Chinchwad - Pune</t>
        </is>
      </c>
      <c r="C1436" s="37" t="inlineStr">
        <is>
          <t xml:space="preserve">Youth </t>
        </is>
      </c>
      <c r="D1436" s="37" t="inlineStr">
        <is>
          <t>2026-07-16</t>
        </is>
      </c>
      <c r="E1436" s="37" t="inlineStr">
        <is>
          <t>Infra Check</t>
        </is>
      </c>
      <c r="F1436" s="37" t="inlineStr">
        <is>
          <t>Confirm the correct program and partner logos are displayed.</t>
        </is>
      </c>
      <c r="G1436" s="37" t="inlineStr">
        <is>
          <t>All is Well</t>
        </is>
      </c>
    </row>
    <row r="1437">
      <c r="A1437" s="37" t="inlineStr">
        <is>
          <t>Gagandeep Singh Sachar</t>
        </is>
      </c>
      <c r="B1437" s="37" t="inlineStr">
        <is>
          <t>Chinchwad - Pune</t>
        </is>
      </c>
      <c r="C1437" s="37" t="inlineStr">
        <is>
          <t xml:space="preserve">Youth </t>
        </is>
      </c>
      <c r="D1437" s="37" t="inlineStr">
        <is>
          <t>2026-07-16</t>
        </is>
      </c>
      <c r="E1437" s="37" t="inlineStr">
        <is>
          <t>Infra Check</t>
        </is>
      </c>
      <c r="F1437" s="37" t="inlineStr">
        <is>
          <t>Check the status of digital infra — PCs, smartboards, tablets, laptops, etc.</t>
        </is>
      </c>
      <c r="G1437" s="37" t="inlineStr">
        <is>
          <t>All is Well</t>
        </is>
      </c>
    </row>
    <row r="1438">
      <c r="A1438" s="37" t="inlineStr">
        <is>
          <t>Gagandeep Singh Sachar</t>
        </is>
      </c>
      <c r="B1438" s="37" t="inlineStr">
        <is>
          <t>Chinchwad - Pune</t>
        </is>
      </c>
      <c r="C1438" s="37" t="inlineStr">
        <is>
          <t xml:space="preserve">Youth </t>
        </is>
      </c>
      <c r="D1438" s="37" t="inlineStr">
        <is>
          <t>2026-07-16</t>
        </is>
      </c>
      <c r="E1438" s="37" t="inlineStr">
        <is>
          <t>Infra Check</t>
        </is>
      </c>
      <c r="F1438" s="37" t="inlineStr">
        <is>
          <t>Make a quick hostel visit; have lunch there if possible to test the food quality.</t>
        </is>
      </c>
      <c r="G1438" s="37" t="inlineStr">
        <is>
          <t>Not Applicable</t>
        </is>
      </c>
    </row>
    <row r="1439">
      <c r="A1439" s="37" t="inlineStr">
        <is>
          <t>Gagandeep Singh Sachar</t>
        </is>
      </c>
      <c r="B1439" s="37" t="inlineStr">
        <is>
          <t>Chinchwad - Pune</t>
        </is>
      </c>
      <c r="C1439" s="37" t="inlineStr">
        <is>
          <t xml:space="preserve">Youth </t>
        </is>
      </c>
      <c r="D1439" s="37" t="inlineStr">
        <is>
          <t>2026-07-16</t>
        </is>
      </c>
      <c r="E1439" s="37" t="inlineStr">
        <is>
          <t>Process Check</t>
        </is>
      </c>
      <c r="F1439" s="37" t="inlineStr">
        <is>
          <t>Refer to the activity planner — check if any activities are delayed.</t>
        </is>
      </c>
      <c r="G1439" s="37" t="inlineStr">
        <is>
          <t>Not Applicable</t>
        </is>
      </c>
    </row>
    <row r="1440">
      <c r="A1440" s="37" t="inlineStr">
        <is>
          <t>Gagandeep Singh Sachar</t>
        </is>
      </c>
      <c r="B1440" s="37" t="inlineStr">
        <is>
          <t>Chinchwad - Pune</t>
        </is>
      </c>
      <c r="C1440" s="37" t="inlineStr">
        <is>
          <t xml:space="preserve">Youth </t>
        </is>
      </c>
      <c r="D1440" s="37" t="inlineStr">
        <is>
          <t>2026-07-16</t>
        </is>
      </c>
      <c r="E1440" s="37" t="inlineStr">
        <is>
          <t>Process Check</t>
        </is>
      </c>
      <c r="F1440" s="37" t="inlineStr">
        <is>
          <t>Check planning for the next batch-start announcement.</t>
        </is>
      </c>
      <c r="G1440" s="37" t="inlineStr">
        <is>
          <t>Need Improvement</t>
        </is>
      </c>
    </row>
    <row r="1441">
      <c r="A1441" s="37" t="inlineStr">
        <is>
          <t>Gagandeep Singh Sachar</t>
        </is>
      </c>
      <c r="B1441" s="37" t="inlineStr">
        <is>
          <t>Chinchwad - Pune</t>
        </is>
      </c>
      <c r="C1441" s="37" t="inlineStr">
        <is>
          <t xml:space="preserve">Youth </t>
        </is>
      </c>
      <c r="D1441" s="37" t="inlineStr">
        <is>
          <t>2026-07-16</t>
        </is>
      </c>
      <c r="E1441" s="37" t="inlineStr">
        <is>
          <t>Process Check</t>
        </is>
      </c>
      <c r="F1441" s="37" t="inlineStr">
        <is>
          <t>Check if any hiring is delayed and plan a resolution.</t>
        </is>
      </c>
      <c r="G1441" s="37" t="inlineStr">
        <is>
          <t>Need Improvement</t>
        </is>
      </c>
    </row>
    <row r="1442">
      <c r="A1442" s="37" t="inlineStr">
        <is>
          <t>Gagandeep Singh Sachar</t>
        </is>
      </c>
      <c r="B1442" s="37" t="inlineStr">
        <is>
          <t>Chinchwad - Pune</t>
        </is>
      </c>
      <c r="C1442" s="37" t="inlineStr">
        <is>
          <t xml:space="preserve">Youth </t>
        </is>
      </c>
      <c r="D1442" s="37" t="inlineStr">
        <is>
          <t>2026-07-16</t>
        </is>
      </c>
      <c r="E1442" s="37" t="inlineStr">
        <is>
          <t>Process Check</t>
        </is>
      </c>
      <c r="F1442" s="37" t="inlineStr">
        <is>
          <t>Check the CA’s diary — is CA guided daily by the AH during planning days?</t>
        </is>
      </c>
      <c r="G1442" s="37" t="inlineStr">
        <is>
          <t>All is Well</t>
        </is>
      </c>
    </row>
    <row r="1443">
      <c r="A1443" s="37" t="inlineStr">
        <is>
          <t>Gagandeep Singh Sachar</t>
        </is>
      </c>
      <c r="B1443" s="37" t="inlineStr">
        <is>
          <t>Chinchwad - Pune</t>
        </is>
      </c>
      <c r="C1443" s="37" t="inlineStr">
        <is>
          <t xml:space="preserve">Youth </t>
        </is>
      </c>
      <c r="D1443" s="37" t="inlineStr">
        <is>
          <t>2026-07-16</t>
        </is>
      </c>
      <c r="E1443" s="37" t="inlineStr">
        <is>
          <t>Process Check</t>
        </is>
      </c>
      <c r="F1443" s="37" t="inlineStr">
        <is>
          <t>Check the AH is regularly meeting employers (in person and online) and updating the centre’s Top 20 Employer format.</t>
        </is>
      </c>
      <c r="G1443" s="37" t="inlineStr">
        <is>
          <t>Need Improvement</t>
        </is>
      </c>
    </row>
    <row r="1444">
      <c r="A1444" s="37" t="inlineStr">
        <is>
          <t>Gagandeep Singh Sachar</t>
        </is>
      </c>
      <c r="B1444" s="37" t="inlineStr">
        <is>
          <t>Chinchwad - Pune</t>
        </is>
      </c>
      <c r="C1444" s="37" t="inlineStr">
        <is>
          <t xml:space="preserve">Youth </t>
        </is>
      </c>
      <c r="D1444" s="37" t="inlineStr">
        <is>
          <t>2026-07-16</t>
        </is>
      </c>
      <c r="E1444" s="37" t="inlineStr">
        <is>
          <t>Process Check</t>
        </is>
      </c>
      <c r="F1444" s="37" t="inlineStr">
        <is>
          <t>Confirm all new employers are registered on portal as per new process.</t>
        </is>
      </c>
      <c r="G1444" s="37" t="inlineStr">
        <is>
          <t>All is Well</t>
        </is>
      </c>
    </row>
    <row r="1445">
      <c r="A1445" s="37" t="inlineStr">
        <is>
          <t>Gagandeep Singh Sachar</t>
        </is>
      </c>
      <c r="B1445" s="37" t="inlineStr">
        <is>
          <t>Chinchwad - Pune</t>
        </is>
      </c>
      <c r="C1445" s="37" t="inlineStr">
        <is>
          <t xml:space="preserve">Youth </t>
        </is>
      </c>
      <c r="D1445" s="37" t="inlineStr">
        <is>
          <t>2026-07-16</t>
        </is>
      </c>
      <c r="E1445" s="37" t="inlineStr">
        <is>
          <t>Process Check</t>
        </is>
      </c>
      <c r="F1445" s="37" t="inlineStr">
        <is>
          <t>Confirm 100% of enrolled students undergone screening (for technical courses).</t>
        </is>
      </c>
      <c r="G1445" s="37" t="inlineStr">
        <is>
          <t>All is Well</t>
        </is>
      </c>
    </row>
    <row r="1446">
      <c r="A1446" s="37" t="inlineStr">
        <is>
          <t>Gagandeep Singh Sachar</t>
        </is>
      </c>
      <c r="B1446" s="37" t="inlineStr">
        <is>
          <t>Chinchwad - Pune</t>
        </is>
      </c>
      <c r="C1446" s="37" t="inlineStr">
        <is>
          <t xml:space="preserve">Youth </t>
        </is>
      </c>
      <c r="D1446" s="37" t="inlineStr">
        <is>
          <t>2026-07-16</t>
        </is>
      </c>
      <c r="E1446" s="37" t="inlineStr">
        <is>
          <t>Process Check</t>
        </is>
      </c>
      <c r="F1446" s="37" t="inlineStr">
        <is>
          <t>Confirm ESA is done (in GROW full ESA and in Technical courses relevant sections of Core Employability Part).</t>
        </is>
      </c>
      <c r="G1446" s="37" t="inlineStr">
        <is>
          <t>All is Well</t>
        </is>
      </c>
    </row>
    <row r="1447">
      <c r="A1447" s="37" t="inlineStr">
        <is>
          <t>Gagandeep Singh Sachar</t>
        </is>
      </c>
      <c r="B1447" s="37" t="inlineStr">
        <is>
          <t>Chinchwad - Pune</t>
        </is>
      </c>
      <c r="C1447" s="37" t="inlineStr">
        <is>
          <t xml:space="preserve">Youth </t>
        </is>
      </c>
      <c r="D1447" s="37" t="inlineStr">
        <is>
          <t>2026-07-16</t>
        </is>
      </c>
      <c r="E1447" s="37" t="inlineStr">
        <is>
          <t>Process Check</t>
        </is>
      </c>
      <c r="F1447" s="37" t="inlineStr">
        <is>
          <t>Check is AH giving capstone project in GROW Tech.</t>
        </is>
      </c>
      <c r="G1447" s="37" t="inlineStr">
        <is>
          <t>Not Applicable</t>
        </is>
      </c>
    </row>
    <row r="1448">
      <c r="A1448" s="37" t="inlineStr">
        <is>
          <t>Gagandeep Singh Sachar</t>
        </is>
      </c>
      <c r="B1448" s="37" t="inlineStr">
        <is>
          <t>Chinchwad - Pune</t>
        </is>
      </c>
      <c r="C1448" s="37" t="inlineStr">
        <is>
          <t xml:space="preserve">Youth </t>
        </is>
      </c>
      <c r="D1448" s="37" t="inlineStr">
        <is>
          <t>2026-07-16</t>
        </is>
      </c>
      <c r="E1448" s="37" t="inlineStr">
        <is>
          <t>Process Check</t>
        </is>
      </c>
      <c r="F1448" s="37" t="inlineStr">
        <is>
          <t>Check is AH planning OJT as per guidelines and proofs are collected for technical courses.</t>
        </is>
      </c>
      <c r="G1448" s="37" t="inlineStr">
        <is>
          <t>Not Applicable</t>
        </is>
      </c>
    </row>
    <row r="1449">
      <c r="A1449" s="37" t="inlineStr">
        <is>
          <t>Gagandeep Singh Sachar</t>
        </is>
      </c>
      <c r="B1449" s="37" t="inlineStr">
        <is>
          <t>Chinchwad - Pune</t>
        </is>
      </c>
      <c r="C1449" s="37" t="inlineStr">
        <is>
          <t xml:space="preserve">Youth </t>
        </is>
      </c>
      <c r="D1449" s="37" t="inlineStr">
        <is>
          <t>2026-07-16</t>
        </is>
      </c>
      <c r="E1449" s="37" t="inlineStr">
        <is>
          <t>Process Check</t>
        </is>
      </c>
      <c r="F1449" s="37" t="inlineStr">
        <is>
          <t>Check are trainers contacting aspirants to find reason for their absenteeism of more than 1 day.</t>
        </is>
      </c>
      <c r="G1449" s="37" t="inlineStr">
        <is>
          <t>All is Well</t>
        </is>
      </c>
    </row>
    <row r="1450">
      <c r="A1450" s="37" t="inlineStr">
        <is>
          <t>Gagandeep Singh Sachar</t>
        </is>
      </c>
      <c r="B1450" s="37" t="inlineStr">
        <is>
          <t>Chinchwad - Pune</t>
        </is>
      </c>
      <c r="C1450" s="37" t="inlineStr">
        <is>
          <t xml:space="preserve">Youth </t>
        </is>
      </c>
      <c r="D1450" s="37" t="inlineStr">
        <is>
          <t>2026-07-16</t>
        </is>
      </c>
      <c r="E1450" s="37" t="inlineStr">
        <is>
          <t>Process Check</t>
        </is>
      </c>
      <c r="F1450" s="37" t="inlineStr">
        <is>
          <t>Check the AH plans monthly enrolment and placement numbers by the 3rd of each month and shares them with second level managers.</t>
        </is>
      </c>
      <c r="G1450" s="37" t="inlineStr">
        <is>
          <t>Need Improvement</t>
        </is>
      </c>
    </row>
    <row r="1451">
      <c r="A1451" s="37" t="inlineStr">
        <is>
          <t>Gagandeep Singh Sachar</t>
        </is>
      </c>
      <c r="B1451" s="37" t="inlineStr">
        <is>
          <t>Chinchwad - Pune</t>
        </is>
      </c>
      <c r="C1451" s="37" t="inlineStr">
        <is>
          <t xml:space="preserve">Youth </t>
        </is>
      </c>
      <c r="D1451" s="37" t="inlineStr">
        <is>
          <t>2026-07-16</t>
        </is>
      </c>
      <c r="E1451" s="37" t="inlineStr">
        <is>
          <t>Process Check</t>
        </is>
      </c>
      <c r="F1451" s="37" t="inlineStr">
        <is>
          <t>Check trainers submit aspirants’ placement interest areas to the AH by the batch’s 25th day (in GROW).</t>
        </is>
      </c>
      <c r="G1451" s="37" t="inlineStr">
        <is>
          <t>All is Well</t>
        </is>
      </c>
    </row>
    <row r="1452">
      <c r="A1452" s="37" t="inlineStr">
        <is>
          <t>Gagandeep Singh Sachar</t>
        </is>
      </c>
      <c r="B1452" s="37" t="inlineStr">
        <is>
          <t>Chinchwad - Pune</t>
        </is>
      </c>
      <c r="C1452" s="37" t="inlineStr">
        <is>
          <t xml:space="preserve">Youth </t>
        </is>
      </c>
      <c r="D1452" s="37" t="inlineStr">
        <is>
          <t>2026-07-16</t>
        </is>
      </c>
      <c r="E1452" s="37" t="inlineStr">
        <is>
          <t>Process Check</t>
        </is>
      </c>
      <c r="F1452" s="37" t="inlineStr">
        <is>
          <t>Ckeck For technical programs, placement is done only in technical jobs,on which aspirants are trained and relevant emplyers are identified by 45th day.</t>
        </is>
      </c>
      <c r="G1452" s="37" t="inlineStr">
        <is>
          <t>Not Applicable</t>
        </is>
      </c>
    </row>
    <row r="1453">
      <c r="A1453" s="37" t="inlineStr">
        <is>
          <t>Gagandeep Singh Sachar</t>
        </is>
      </c>
      <c r="B1453" s="37" t="inlineStr">
        <is>
          <t>Chinchwad - Pune</t>
        </is>
      </c>
      <c r="C1453" s="37" t="inlineStr">
        <is>
          <t xml:space="preserve">Youth </t>
        </is>
      </c>
      <c r="D1453" s="37" t="inlineStr">
        <is>
          <t>2026-07-16</t>
        </is>
      </c>
      <c r="E1453" s="37" t="inlineStr">
        <is>
          <t>Process Check</t>
        </is>
      </c>
      <c r="F1453" s="37" t="inlineStr">
        <is>
          <t>Check the AH follows EP guidelines and minimum benchmark salary guidelines.</t>
        </is>
      </c>
      <c r="G1453" s="37" t="inlineStr">
        <is>
          <t>All is Well</t>
        </is>
      </c>
    </row>
    <row r="1454">
      <c r="A1454" s="37" t="inlineStr">
        <is>
          <t>Gagandeep Singh Sachar</t>
        </is>
      </c>
      <c r="B1454" s="37" t="inlineStr">
        <is>
          <t>Chinchwad - Pune</t>
        </is>
      </c>
      <c r="C1454" s="37" t="inlineStr">
        <is>
          <t xml:space="preserve">Youth </t>
        </is>
      </c>
      <c r="D1454" s="37" t="inlineStr">
        <is>
          <t>2026-07-16</t>
        </is>
      </c>
      <c r="E1454" s="37" t="inlineStr">
        <is>
          <t>Process Check</t>
        </is>
      </c>
      <c r="F1454" s="37" t="inlineStr">
        <is>
          <t>Check that AH is enrolling only the right traget group in the program -as per the defined target.</t>
        </is>
      </c>
      <c r="G1454" s="37" t="inlineStr">
        <is>
          <t>All is Well</t>
        </is>
      </c>
    </row>
    <row r="1455">
      <c r="A1455" s="37" t="inlineStr">
        <is>
          <t>Gagandeep Singh Sachar</t>
        </is>
      </c>
      <c r="B1455" s="37" t="inlineStr">
        <is>
          <t>Chinchwad - Pune</t>
        </is>
      </c>
      <c r="C1455" s="37" t="inlineStr">
        <is>
          <t xml:space="preserve">Youth </t>
        </is>
      </c>
      <c r="D1455" s="37" t="inlineStr">
        <is>
          <t>2026-07-16</t>
        </is>
      </c>
      <c r="E1455" s="37" t="inlineStr">
        <is>
          <t>Process Check</t>
        </is>
      </c>
      <c r="F1455" s="37" t="inlineStr">
        <is>
          <t>Check the AH announces the next batch-start date by the 3rd of the month on all notice boards — focus on Zero-Day start.</t>
        </is>
      </c>
      <c r="G1455" s="37" t="inlineStr">
        <is>
          <t>Need Improvement</t>
        </is>
      </c>
    </row>
    <row r="1456">
      <c r="A1456" s="37" t="inlineStr">
        <is>
          <t>Gagandeep Singh Sachar</t>
        </is>
      </c>
      <c r="B1456" s="37" t="inlineStr">
        <is>
          <t>Chinchwad - Pune</t>
        </is>
      </c>
      <c r="C1456" s="37" t="inlineStr">
        <is>
          <t xml:space="preserve">Youth </t>
        </is>
      </c>
      <c r="D1456" s="37" t="inlineStr">
        <is>
          <t>2026-07-16</t>
        </is>
      </c>
      <c r="E1456" s="37" t="inlineStr">
        <is>
          <t>Process Check</t>
        </is>
      </c>
      <c r="F1456" s="37" t="inlineStr">
        <is>
          <t>Check the Aspirant Mock Interview Score Tracker is updated after every mock interview in the L&amp;D Google Sheet.</t>
        </is>
      </c>
      <c r="G1456" s="37" t="inlineStr">
        <is>
          <t>All is Well</t>
        </is>
      </c>
    </row>
    <row r="1457">
      <c r="A1457" s="37" t="inlineStr">
        <is>
          <t>Gagandeep Singh Sachar</t>
        </is>
      </c>
      <c r="B1457" s="37" t="inlineStr">
        <is>
          <t>Chinchwad - Pune</t>
        </is>
      </c>
      <c r="C1457" s="37" t="inlineStr">
        <is>
          <t xml:space="preserve">Youth </t>
        </is>
      </c>
      <c r="D1457" s="37" t="inlineStr">
        <is>
          <t>2026-07-16</t>
        </is>
      </c>
      <c r="E1457" s="37" t="inlineStr">
        <is>
          <t>Process Check</t>
        </is>
      </c>
      <c r="F1457" s="37" t="inlineStr">
        <is>
          <t>Confirm NPS (Net Promoter Score) is collected at MSDF centres.</t>
        </is>
      </c>
      <c r="G1457" s="37" t="inlineStr">
        <is>
          <t>Not Applicable</t>
        </is>
      </c>
    </row>
    <row r="1458">
      <c r="A1458" s="37" t="inlineStr">
        <is>
          <t>Gagandeep Singh Sachar</t>
        </is>
      </c>
      <c r="B1458" s="37" t="inlineStr">
        <is>
          <t>Chinchwad - Pune</t>
        </is>
      </c>
      <c r="C1458" s="37" t="inlineStr">
        <is>
          <t xml:space="preserve">Youth </t>
        </is>
      </c>
      <c r="D1458" s="37" t="inlineStr">
        <is>
          <t>2026-07-16</t>
        </is>
      </c>
      <c r="E1458" s="37" t="inlineStr">
        <is>
          <t>Process Check</t>
        </is>
      </c>
      <c r="F1458" s="37" t="inlineStr">
        <is>
          <t>Confirm that QAE is collecting student feedback for every batch.</t>
        </is>
      </c>
      <c r="G1458" s="37" t="inlineStr">
        <is>
          <t>All is Well</t>
        </is>
      </c>
    </row>
    <row r="1459">
      <c r="A1459" s="37" t="inlineStr">
        <is>
          <t>Gagandeep Singh Sachar</t>
        </is>
      </c>
      <c r="B1459" s="37" t="inlineStr">
        <is>
          <t>Chinchwad - Pune</t>
        </is>
      </c>
      <c r="C1459" s="37" t="inlineStr">
        <is>
          <t xml:space="preserve">Youth </t>
        </is>
      </c>
      <c r="D1459" s="37" t="inlineStr">
        <is>
          <t>2026-07-16</t>
        </is>
      </c>
      <c r="E1459" s="37" t="inlineStr">
        <is>
          <t>Process Check</t>
        </is>
      </c>
      <c r="F1459" s="37" t="inlineStr">
        <is>
          <t>Confirm all centre teams have completed the GROW Manual Course on Skillfy — ask for achievement certificates.</t>
        </is>
      </c>
      <c r="G1459" s="37" t="inlineStr">
        <is>
          <t>Need Improvement</t>
        </is>
      </c>
    </row>
    <row r="1460">
      <c r="A1460" s="37" t="inlineStr">
        <is>
          <t>Gagandeep Singh Sachar</t>
        </is>
      </c>
      <c r="B1460" s="37" t="inlineStr">
        <is>
          <t>Chinchwad - Pune</t>
        </is>
      </c>
      <c r="C1460" s="37" t="inlineStr">
        <is>
          <t xml:space="preserve">Youth </t>
        </is>
      </c>
      <c r="D1460" s="37" t="inlineStr">
        <is>
          <t>2026-07-16</t>
        </is>
      </c>
      <c r="E1460" s="37" t="inlineStr">
        <is>
          <t>Process Check</t>
        </is>
      </c>
      <c r="F1460" s="37" t="inlineStr">
        <is>
          <t>Check AH holds a quality weekly team meeting, documents action points in the weekly meeting format, and sends you a photo on WhatsApp.</t>
        </is>
      </c>
      <c r="G1460" s="37" t="inlineStr">
        <is>
          <t>Need Improvement</t>
        </is>
      </c>
    </row>
    <row r="1461">
      <c r="A1461" s="37" t="inlineStr">
        <is>
          <t>Gagandeep Singh Sachar</t>
        </is>
      </c>
      <c r="B1461" s="37" t="inlineStr">
        <is>
          <t>Chinchwad - Pune</t>
        </is>
      </c>
      <c r="C1461" s="37" t="inlineStr">
        <is>
          <t xml:space="preserve">Youth </t>
        </is>
      </c>
      <c r="D1461" s="37" t="inlineStr">
        <is>
          <t>2026-07-16</t>
        </is>
      </c>
      <c r="E1461" s="37" t="inlineStr">
        <is>
          <t>Aspirant Interaction</t>
        </is>
      </c>
      <c r="F1461" s="37" t="inlineStr">
        <is>
          <t>Ask aspirants about the session plan — confirm training is happening as planned?</t>
        </is>
      </c>
      <c r="G1461" s="37" t="inlineStr">
        <is>
          <t>All is Well</t>
        </is>
      </c>
    </row>
    <row r="1462">
      <c r="A1462" s="37" t="inlineStr">
        <is>
          <t>Gagandeep Singh Sachar</t>
        </is>
      </c>
      <c r="B1462" s="37" t="inlineStr">
        <is>
          <t>Chinchwad - Pune</t>
        </is>
      </c>
      <c r="C1462" s="37" t="inlineStr">
        <is>
          <t xml:space="preserve">Youth </t>
        </is>
      </c>
      <c r="D1462" s="37" t="inlineStr">
        <is>
          <t>2026-07-16</t>
        </is>
      </c>
      <c r="E1462" s="37" t="inlineStr">
        <is>
          <t>Aspirant Interaction</t>
        </is>
      </c>
      <c r="F1462" s="37" t="inlineStr">
        <is>
          <t>Ask about the quality of Core Employability component delivery (technical centres) and who delivers it.</t>
        </is>
      </c>
      <c r="G1462" s="37" t="inlineStr">
        <is>
          <t>All is Well</t>
        </is>
      </c>
    </row>
    <row r="1463">
      <c r="A1463" s="37" t="inlineStr">
        <is>
          <t>Gagandeep Singh Sachar</t>
        </is>
      </c>
      <c r="B1463" s="37" t="inlineStr">
        <is>
          <t>Chinchwad - Pune</t>
        </is>
      </c>
      <c r="C1463" s="37" t="inlineStr">
        <is>
          <t xml:space="preserve">Youth </t>
        </is>
      </c>
      <c r="D1463" s="37" t="inlineStr">
        <is>
          <t>2026-07-16</t>
        </is>
      </c>
      <c r="E1463" s="37" t="inlineStr">
        <is>
          <t>Aspirant Interaction</t>
        </is>
      </c>
      <c r="F1463" s="37" t="inlineStr">
        <is>
          <t>Ask whether they are aware of the referral scheme?</t>
        </is>
      </c>
      <c r="G1463" s="37" t="inlineStr">
        <is>
          <t>All is Well</t>
        </is>
      </c>
    </row>
    <row r="1464">
      <c r="A1464" s="37" t="inlineStr">
        <is>
          <t>Gagandeep Singh Sachar</t>
        </is>
      </c>
      <c r="B1464" s="37" t="inlineStr">
        <is>
          <t>Chinchwad - Pune</t>
        </is>
      </c>
      <c r="C1464" s="37" t="inlineStr">
        <is>
          <t xml:space="preserve">Youth </t>
        </is>
      </c>
      <c r="D1464" s="37" t="inlineStr">
        <is>
          <t>2026-07-16</t>
        </is>
      </c>
      <c r="E1464" s="37" t="inlineStr">
        <is>
          <t>Aspirant Interaction</t>
        </is>
      </c>
      <c r="F1464" s="37" t="inlineStr">
        <is>
          <t>Ask whether the AH explained the importance of the offer letter and sharing it with us once received for reporting purposes?</t>
        </is>
      </c>
      <c r="G1464" s="37" t="inlineStr">
        <is>
          <t>All is Well</t>
        </is>
      </c>
    </row>
    <row r="1465">
      <c r="A1465" s="37" t="inlineStr">
        <is>
          <t>Gagandeep Singh Sachar</t>
        </is>
      </c>
      <c r="B1465" s="37" t="inlineStr">
        <is>
          <t>Chinchwad - Pune</t>
        </is>
      </c>
      <c r="C1465" s="37" t="inlineStr">
        <is>
          <t xml:space="preserve">Youth </t>
        </is>
      </c>
      <c r="D1465" s="37" t="inlineStr">
        <is>
          <t>2026-07-16</t>
        </is>
      </c>
      <c r="E1465" s="37" t="inlineStr">
        <is>
          <t>Aspirant Interaction</t>
        </is>
      </c>
      <c r="F1465" s="37" t="inlineStr">
        <is>
          <t>Ask how many are not interested in jobs — and if so, why they enrolled in the programme?</t>
        </is>
      </c>
      <c r="G1465" s="37" t="inlineStr">
        <is>
          <t>All is Well</t>
        </is>
      </c>
    </row>
    <row r="1466">
      <c r="A1466" s="37" t="inlineStr">
        <is>
          <t>Gagandeep Singh Sachar</t>
        </is>
      </c>
      <c r="B1466" s="37" t="inlineStr">
        <is>
          <t>Chinchwad - Pune</t>
        </is>
      </c>
      <c r="C1466" s="37" t="inlineStr">
        <is>
          <t xml:space="preserve">Youth </t>
        </is>
      </c>
      <c r="D1466" s="37" t="inlineStr">
        <is>
          <t>2026-07-16</t>
        </is>
      </c>
      <c r="E1466" s="37" t="inlineStr">
        <is>
          <t>Aspirant Interaction</t>
        </is>
      </c>
      <c r="F1466" s="37" t="inlineStr">
        <is>
          <t>Ask whether they were told the kind of job they would get during counselling?</t>
        </is>
      </c>
      <c r="G1466" s="37" t="inlineStr">
        <is>
          <t>All is Well</t>
        </is>
      </c>
    </row>
    <row r="1467">
      <c r="A1467" s="37" t="inlineStr">
        <is>
          <t>Gagandeep Singh Sachar</t>
        </is>
      </c>
      <c r="B1467" s="37" t="inlineStr">
        <is>
          <t>Chinchwad - Pune</t>
        </is>
      </c>
      <c r="C1467" s="37" t="inlineStr">
        <is>
          <t xml:space="preserve">Youth </t>
        </is>
      </c>
      <c r="D1467" s="37" t="inlineStr">
        <is>
          <t>2026-07-16</t>
        </is>
      </c>
      <c r="E1467" s="37" t="inlineStr">
        <is>
          <t>Aspirant Interaction</t>
        </is>
      </c>
      <c r="F1467" s="37" t="inlineStr">
        <is>
          <t>Ask whether they have been given LMS access?</t>
        </is>
      </c>
      <c r="G1467" s="37" t="inlineStr">
        <is>
          <t>All is Well</t>
        </is>
      </c>
    </row>
    <row r="1468">
      <c r="A1468" s="37" t="inlineStr">
        <is>
          <t>Gagandeep Singh Sachar</t>
        </is>
      </c>
      <c r="B1468" s="37" t="inlineStr">
        <is>
          <t>Chinchwad - Pune</t>
        </is>
      </c>
      <c r="C1468" s="37" t="inlineStr">
        <is>
          <t xml:space="preserve">Youth </t>
        </is>
      </c>
      <c r="D1468" s="37" t="inlineStr">
        <is>
          <t>2026-07-16</t>
        </is>
      </c>
      <c r="E1468" s="37" t="inlineStr">
        <is>
          <t>Aspirant Interaction</t>
        </is>
      </c>
      <c r="F1468" s="37" t="inlineStr">
        <is>
          <t>Ask whether anyone asked them for money for training or placement?</t>
        </is>
      </c>
      <c r="G1468" s="37" t="inlineStr">
        <is>
          <t>All is Well</t>
        </is>
      </c>
    </row>
    <row r="1469">
      <c r="A1469" s="37" t="inlineStr">
        <is>
          <t>Gagandeep Singh Sachar</t>
        </is>
      </c>
      <c r="B1469" s="37" t="inlineStr">
        <is>
          <t>Chinchwad - Pune</t>
        </is>
      </c>
      <c r="C1469" s="37" t="inlineStr">
        <is>
          <t xml:space="preserve">Youth </t>
        </is>
      </c>
      <c r="D1469" s="37" t="inlineStr">
        <is>
          <t>2026-07-16</t>
        </is>
      </c>
      <c r="E1469" s="37" t="inlineStr">
        <is>
          <t>Aspirant Interaction</t>
        </is>
      </c>
      <c r="F1469" s="37" t="inlineStr">
        <is>
          <t>Ask to show their mobile phones — are they enrolled on Skillfy? If not, get them enrolled and give written feedback to trainers and the AH in your presence.</t>
        </is>
      </c>
      <c r="G1469" s="37" t="inlineStr">
        <is>
          <t>All is Well</t>
        </is>
      </c>
    </row>
    <row r="1470">
      <c r="A1470" s="37" t="inlineStr">
        <is>
          <t>Gagandeep Singh Sachar</t>
        </is>
      </c>
      <c r="B1470" s="37" t="inlineStr">
        <is>
          <t>Chinchwad - Pune</t>
        </is>
      </c>
      <c r="C1470" s="37" t="inlineStr">
        <is>
          <t xml:space="preserve">Youth </t>
        </is>
      </c>
      <c r="D1470" s="37" t="inlineStr">
        <is>
          <t>2026-07-16</t>
        </is>
      </c>
      <c r="E1470" s="37" t="inlineStr">
        <is>
          <t>Aspirant Interaction</t>
        </is>
      </c>
      <c r="F1470" s="37" t="inlineStr">
        <is>
          <t>Ask about the quality of the hostel and any issues they face.</t>
        </is>
      </c>
      <c r="G1470" s="37" t="inlineStr">
        <is>
          <t>Not Applicable</t>
        </is>
      </c>
    </row>
    <row r="1471">
      <c r="A1471" s="37" t="inlineStr">
        <is>
          <t>Gagandeep Singh Sachar</t>
        </is>
      </c>
      <c r="B1471" s="37" t="inlineStr">
        <is>
          <t>Chinchwad - Pune</t>
        </is>
      </c>
      <c r="C1471" s="37" t="inlineStr">
        <is>
          <t xml:space="preserve">Youth </t>
        </is>
      </c>
      <c r="D1471" s="37" t="inlineStr">
        <is>
          <t>2026-07-16</t>
        </is>
      </c>
      <c r="E1471" s="37" t="inlineStr">
        <is>
          <t>Aspirant Interaction</t>
        </is>
      </c>
      <c r="F1471" s="37" t="inlineStr">
        <is>
          <t>Ask a few relevant screening questions to support the 10th-day report and remove non-serious candidates, explaining to them the reasons.</t>
        </is>
      </c>
      <c r="G1471" s="37" t="inlineStr">
        <is>
          <t>All is Well</t>
        </is>
      </c>
    </row>
    <row r="1472">
      <c r="A1472" s="37" t="inlineStr">
        <is>
          <t>Amit Chakraborty</t>
        </is>
      </c>
      <c r="B1472" s="37" t="inlineStr">
        <is>
          <t>Bareilly</t>
        </is>
      </c>
      <c r="C1472" s="37" t="inlineStr">
        <is>
          <t>GROW Youth- Accenture</t>
        </is>
      </c>
      <c r="D1472" s="37" t="inlineStr">
        <is>
          <t>2026-07-15</t>
        </is>
      </c>
      <c r="E1472" s="37" t="inlineStr">
        <is>
          <t>Data Check</t>
        </is>
      </c>
      <c r="F1472" s="37" t="inlineStr">
        <is>
          <t>Reach the centre on time (unannounced) — confirm the centre opened on time.</t>
        </is>
      </c>
      <c r="G1472" s="37" t="inlineStr">
        <is>
          <t>All is Well</t>
        </is>
      </c>
    </row>
    <row r="1473">
      <c r="A1473" s="37" t="inlineStr">
        <is>
          <t>Amit Chakraborty</t>
        </is>
      </c>
      <c r="B1473" s="37" t="inlineStr">
        <is>
          <t>Bareilly</t>
        </is>
      </c>
      <c r="C1473" s="37" t="inlineStr">
        <is>
          <t>GROW Youth- Accenture</t>
        </is>
      </c>
      <c r="D1473" s="37" t="inlineStr">
        <is>
          <t>2026-07-15</t>
        </is>
      </c>
      <c r="E1473" s="37" t="inlineStr">
        <is>
          <t>Data Check</t>
        </is>
      </c>
      <c r="F1473" s="37" t="inlineStr">
        <is>
          <t>Check the staff attendance register, the Google Sheet, and geo-tagged photos for aspirants.</t>
        </is>
      </c>
      <c r="G1473" s="37" t="inlineStr">
        <is>
          <t>All is Well</t>
        </is>
      </c>
    </row>
    <row r="1474">
      <c r="A1474" s="37" t="inlineStr">
        <is>
          <t>Amit Chakraborty</t>
        </is>
      </c>
      <c r="B1474" s="37" t="inlineStr">
        <is>
          <t>Bareilly</t>
        </is>
      </c>
      <c r="C1474" s="37" t="inlineStr">
        <is>
          <t>GROW Youth- Accenture</t>
        </is>
      </c>
      <c r="D1474" s="37" t="inlineStr">
        <is>
          <t>2026-07-15</t>
        </is>
      </c>
      <c r="E1474" s="37" t="inlineStr">
        <is>
          <t>Data Check</t>
        </is>
      </c>
      <c r="F1474" s="37" t="inlineStr">
        <is>
          <t>Check Counselling and Screening Forms of recently started batches.</t>
        </is>
      </c>
      <c r="G1474" s="37" t="inlineStr">
        <is>
          <t>All is Well</t>
        </is>
      </c>
    </row>
    <row r="1475">
      <c r="A1475" s="37" t="inlineStr">
        <is>
          <t>Amit Chakraborty</t>
        </is>
      </c>
      <c r="B1475" s="37" t="inlineStr">
        <is>
          <t>Bareilly</t>
        </is>
      </c>
      <c r="C1475" s="37" t="inlineStr">
        <is>
          <t>GROW Youth- Accenture</t>
        </is>
      </c>
      <c r="D1475" s="37" t="inlineStr">
        <is>
          <t>2026-07-15</t>
        </is>
      </c>
      <c r="E1475" s="37" t="inlineStr">
        <is>
          <t>Data Check</t>
        </is>
      </c>
      <c r="F1475" s="37" t="inlineStr">
        <is>
          <t>Check Aspirant Registration Forms and related documents.</t>
        </is>
      </c>
      <c r="G1475" s="37" t="inlineStr">
        <is>
          <t>All is Well</t>
        </is>
      </c>
    </row>
    <row r="1476">
      <c r="A1476" s="37" t="inlineStr">
        <is>
          <t>Amit Chakraborty</t>
        </is>
      </c>
      <c r="B1476" s="37" t="inlineStr">
        <is>
          <t>Bareilly</t>
        </is>
      </c>
      <c r="C1476" s="37" t="inlineStr">
        <is>
          <t>GROW Youth- Accenture</t>
        </is>
      </c>
      <c r="D1476" s="37" t="inlineStr">
        <is>
          <t>2026-07-15</t>
        </is>
      </c>
      <c r="E1476" s="37" t="inlineStr">
        <is>
          <t>Data Check</t>
        </is>
      </c>
      <c r="F1476" s="37" t="inlineStr">
        <is>
          <t>On the GROW portal, confirm all student profile details and batch updates are currect.</t>
        </is>
      </c>
      <c r="G1476" s="37" t="inlineStr">
        <is>
          <t>All is Well</t>
        </is>
      </c>
    </row>
    <row r="1477">
      <c r="A1477" s="37" t="inlineStr">
        <is>
          <t>Amit Chakraborty</t>
        </is>
      </c>
      <c r="B1477" s="37" t="inlineStr">
        <is>
          <t>Bareilly</t>
        </is>
      </c>
      <c r="C1477" s="37" t="inlineStr">
        <is>
          <t>GROW Youth- Accenture</t>
        </is>
      </c>
      <c r="D1477" s="37" t="inlineStr">
        <is>
          <t>2026-07-15</t>
        </is>
      </c>
      <c r="E1477" s="37" t="inlineStr">
        <is>
          <t>Data Check</t>
        </is>
      </c>
      <c r="F1477" s="37" t="inlineStr">
        <is>
          <t>Verify placement data — randomly call 3–4 alumni placed in the last 3 months to confirm veracity (random selection is essential).</t>
        </is>
      </c>
      <c r="G1477" s="37" t="inlineStr">
        <is>
          <t>All is Well</t>
        </is>
      </c>
    </row>
    <row r="1478">
      <c r="A1478" s="37" t="inlineStr">
        <is>
          <t>Amit Chakraborty</t>
        </is>
      </c>
      <c r="B1478" s="37" t="inlineStr">
        <is>
          <t>Bareilly</t>
        </is>
      </c>
      <c r="C1478" s="37" t="inlineStr">
        <is>
          <t>GROW Youth- Accenture</t>
        </is>
      </c>
      <c r="D1478" s="37" t="inlineStr">
        <is>
          <t>2026-07-15</t>
        </is>
      </c>
      <c r="E1478" s="37" t="inlineStr">
        <is>
          <t>Data Check</t>
        </is>
      </c>
      <c r="F1478" s="37" t="inlineStr">
        <is>
          <t>Verify retention — check the Alumni Hand-holding Format is being updated as designed.</t>
        </is>
      </c>
      <c r="G1478" s="37" t="inlineStr">
        <is>
          <t>Need Improvement</t>
        </is>
      </c>
    </row>
    <row r="1479">
      <c r="A1479" s="37" t="inlineStr">
        <is>
          <t>Amit Chakraborty</t>
        </is>
      </c>
      <c r="B1479" s="37" t="inlineStr">
        <is>
          <t>Bareilly</t>
        </is>
      </c>
      <c r="C1479" s="37" t="inlineStr">
        <is>
          <t>GROW Youth- Accenture</t>
        </is>
      </c>
      <c r="D1479" s="37" t="inlineStr">
        <is>
          <t>2026-07-15</t>
        </is>
      </c>
      <c r="E1479" s="37" t="inlineStr">
        <is>
          <t>Data Check</t>
        </is>
      </c>
      <c r="F1479" s="37" t="inlineStr">
        <is>
          <t>Check aspirant Hostel Forms are properly filled or not.</t>
        </is>
      </c>
      <c r="G1479" s="37" t="inlineStr">
        <is>
          <t>Not Applicable</t>
        </is>
      </c>
    </row>
    <row r="1480">
      <c r="A1480" s="37" t="inlineStr">
        <is>
          <t>Amit Chakraborty</t>
        </is>
      </c>
      <c r="B1480" s="37" t="inlineStr">
        <is>
          <t>Bareilly</t>
        </is>
      </c>
      <c r="C1480" s="37" t="inlineStr">
        <is>
          <t>GROW Youth- Accenture</t>
        </is>
      </c>
      <c r="D1480" s="37" t="inlineStr">
        <is>
          <t>2026-07-15</t>
        </is>
      </c>
      <c r="E1480" s="37" t="inlineStr">
        <is>
          <t>Infra Check</t>
        </is>
      </c>
      <c r="F1480" s="37" t="inlineStr">
        <is>
          <t>Check all CCTV cameras; if any are not working, ask the AH to troubleshoot or call the vendor.</t>
        </is>
      </c>
      <c r="G1480" s="37" t="inlineStr">
        <is>
          <t>Need Improvement</t>
        </is>
      </c>
    </row>
    <row r="1481">
      <c r="A1481" s="37" t="inlineStr">
        <is>
          <t>Amit Chakraborty</t>
        </is>
      </c>
      <c r="B1481" s="37" t="inlineStr">
        <is>
          <t>Bareilly</t>
        </is>
      </c>
      <c r="C1481" s="37" t="inlineStr">
        <is>
          <t>GROW Youth- Accenture</t>
        </is>
      </c>
      <c r="D1481" s="37" t="inlineStr">
        <is>
          <t>2026-07-15</t>
        </is>
      </c>
      <c r="E1481" s="37" t="inlineStr">
        <is>
          <t>Infra Check</t>
        </is>
      </c>
      <c r="F1481" s="37" t="inlineStr">
        <is>
          <t>Check for any scrap material and get it cleared, with support of Admin</t>
        </is>
      </c>
      <c r="G1481" s="37" t="inlineStr">
        <is>
          <t>Need Improvement</t>
        </is>
      </c>
    </row>
    <row r="1482">
      <c r="A1482" s="37" t="inlineStr">
        <is>
          <t>Amit Chakraborty</t>
        </is>
      </c>
      <c r="B1482" s="37" t="inlineStr">
        <is>
          <t>Bareilly</t>
        </is>
      </c>
      <c r="C1482" s="37" t="inlineStr">
        <is>
          <t>GROW Youth- Accenture</t>
        </is>
      </c>
      <c r="D1482" s="37" t="inlineStr">
        <is>
          <t>2026-07-15</t>
        </is>
      </c>
      <c r="E1482" s="37" t="inlineStr">
        <is>
          <t>Infra Check</t>
        </is>
      </c>
      <c r="F1482" s="37" t="inlineStr">
        <is>
          <t>Check for any pending infra repairs.</t>
        </is>
      </c>
      <c r="G1482" s="37" t="inlineStr">
        <is>
          <t>Need Improvement</t>
        </is>
      </c>
    </row>
    <row r="1483">
      <c r="A1483" s="37" t="inlineStr">
        <is>
          <t>Amit Chakraborty</t>
        </is>
      </c>
      <c r="B1483" s="37" t="inlineStr">
        <is>
          <t>Bareilly</t>
        </is>
      </c>
      <c r="C1483" s="37" t="inlineStr">
        <is>
          <t>GROW Youth- Accenture</t>
        </is>
      </c>
      <c r="D1483" s="37" t="inlineStr">
        <is>
          <t>2026-07-15</t>
        </is>
      </c>
      <c r="E1483" s="37" t="inlineStr">
        <is>
          <t>Infra Check</t>
        </is>
      </c>
      <c r="F1483" s="37" t="inlineStr">
        <is>
          <t>Check whether any fire extinguishers have expired (check the needle and expiry date both).</t>
        </is>
      </c>
      <c r="G1483" s="37" t="inlineStr">
        <is>
          <t>All is Well</t>
        </is>
      </c>
    </row>
    <row r="1484">
      <c r="A1484" s="37" t="inlineStr">
        <is>
          <t>Amit Chakraborty</t>
        </is>
      </c>
      <c r="B1484" s="37" t="inlineStr">
        <is>
          <t>Bareilly</t>
        </is>
      </c>
      <c r="C1484" s="37" t="inlineStr">
        <is>
          <t>GROW Youth- Accenture</t>
        </is>
      </c>
      <c r="D1484" s="37" t="inlineStr">
        <is>
          <t>2026-07-15</t>
        </is>
      </c>
      <c r="E1484" s="37" t="inlineStr">
        <is>
          <t>Infra Check</t>
        </is>
      </c>
      <c r="F1484" s="37" t="inlineStr">
        <is>
          <t>Check basic cleanliness of the washrooms and the centre.</t>
        </is>
      </c>
      <c r="G1484" s="37" t="inlineStr">
        <is>
          <t>All is Well</t>
        </is>
      </c>
    </row>
    <row r="1485">
      <c r="A1485" s="37" t="inlineStr">
        <is>
          <t>Amit Chakraborty</t>
        </is>
      </c>
      <c r="B1485" s="37" t="inlineStr">
        <is>
          <t>Bareilly</t>
        </is>
      </c>
      <c r="C1485" s="37" t="inlineStr">
        <is>
          <t>GROW Youth- Accenture</t>
        </is>
      </c>
      <c r="D1485" s="37" t="inlineStr">
        <is>
          <t>2026-07-15</t>
        </is>
      </c>
      <c r="E1485" s="37" t="inlineStr">
        <is>
          <t>Infra Check</t>
        </is>
      </c>
      <c r="F1485" s="37" t="inlineStr">
        <is>
          <t>Confirm the correct program and partner logos are displayed.</t>
        </is>
      </c>
      <c r="G1485" s="37" t="inlineStr">
        <is>
          <t>All is Well</t>
        </is>
      </c>
    </row>
    <row r="1486">
      <c r="A1486" s="37" t="inlineStr">
        <is>
          <t>Amit Chakraborty</t>
        </is>
      </c>
      <c r="B1486" s="37" t="inlineStr">
        <is>
          <t>Bareilly</t>
        </is>
      </c>
      <c r="C1486" s="37" t="inlineStr">
        <is>
          <t>GROW Youth- Accenture</t>
        </is>
      </c>
      <c r="D1486" s="37" t="inlineStr">
        <is>
          <t>2026-07-15</t>
        </is>
      </c>
      <c r="E1486" s="37" t="inlineStr">
        <is>
          <t>Infra Check</t>
        </is>
      </c>
      <c r="F1486" s="37" t="inlineStr">
        <is>
          <t>Check the status of digital infra — PCs, smartboards, tablets, laptops, etc.</t>
        </is>
      </c>
      <c r="G1486" s="37" t="inlineStr">
        <is>
          <t>Need Improvement</t>
        </is>
      </c>
    </row>
    <row r="1487">
      <c r="A1487" s="37" t="inlineStr">
        <is>
          <t>Amit Chakraborty</t>
        </is>
      </c>
      <c r="B1487" s="37" t="inlineStr">
        <is>
          <t>Bareilly</t>
        </is>
      </c>
      <c r="C1487" s="37" t="inlineStr">
        <is>
          <t>GROW Youth- Accenture</t>
        </is>
      </c>
      <c r="D1487" s="37" t="inlineStr">
        <is>
          <t>2026-07-15</t>
        </is>
      </c>
      <c r="E1487" s="37" t="inlineStr">
        <is>
          <t>Infra Check</t>
        </is>
      </c>
      <c r="F1487" s="37" t="inlineStr">
        <is>
          <t>Make a quick hostel visit; have lunch there if possible to test the food quality.</t>
        </is>
      </c>
      <c r="G1487" s="37" t="inlineStr">
        <is>
          <t>Not Applicable</t>
        </is>
      </c>
    </row>
    <row r="1488">
      <c r="A1488" s="37" t="inlineStr">
        <is>
          <t>Amit Chakraborty</t>
        </is>
      </c>
      <c r="B1488" s="37" t="inlineStr">
        <is>
          <t>Bareilly</t>
        </is>
      </c>
      <c r="C1488" s="37" t="inlineStr">
        <is>
          <t>GROW Youth- Accenture</t>
        </is>
      </c>
      <c r="D1488" s="37" t="inlineStr">
        <is>
          <t>2026-07-15</t>
        </is>
      </c>
      <c r="E1488" s="37" t="inlineStr">
        <is>
          <t>Process Check</t>
        </is>
      </c>
      <c r="F1488" s="37" t="inlineStr">
        <is>
          <t>Refer to the activity planner — check if any activities are delayed.</t>
        </is>
      </c>
      <c r="G1488" s="37" t="inlineStr">
        <is>
          <t>Need Improvement</t>
        </is>
      </c>
    </row>
    <row r="1489">
      <c r="A1489" s="37" t="inlineStr">
        <is>
          <t>Amit Chakraborty</t>
        </is>
      </c>
      <c r="B1489" s="37" t="inlineStr">
        <is>
          <t>Bareilly</t>
        </is>
      </c>
      <c r="C1489" s="37" t="inlineStr">
        <is>
          <t>GROW Youth- Accenture</t>
        </is>
      </c>
      <c r="D1489" s="37" t="inlineStr">
        <is>
          <t>2026-07-15</t>
        </is>
      </c>
      <c r="E1489" s="37" t="inlineStr">
        <is>
          <t>Process Check</t>
        </is>
      </c>
      <c r="F1489" s="37" t="inlineStr">
        <is>
          <t>Check planning for the next batch-start announcement.</t>
        </is>
      </c>
      <c r="G1489" s="37" t="inlineStr">
        <is>
          <t>All is Well</t>
        </is>
      </c>
    </row>
    <row r="1490">
      <c r="A1490" s="37" t="inlineStr">
        <is>
          <t>Amit Chakraborty</t>
        </is>
      </c>
      <c r="B1490" s="37" t="inlineStr">
        <is>
          <t>Bareilly</t>
        </is>
      </c>
      <c r="C1490" s="37" t="inlineStr">
        <is>
          <t>GROW Youth- Accenture</t>
        </is>
      </c>
      <c r="D1490" s="37" t="inlineStr">
        <is>
          <t>2026-07-15</t>
        </is>
      </c>
      <c r="E1490" s="37" t="inlineStr">
        <is>
          <t>Process Check</t>
        </is>
      </c>
      <c r="F1490" s="37" t="inlineStr">
        <is>
          <t>Check if any hiring is delayed and plan a resolution.</t>
        </is>
      </c>
      <c r="G1490" s="37" t="inlineStr">
        <is>
          <t>All is Well</t>
        </is>
      </c>
    </row>
    <row r="1491">
      <c r="A1491" s="37" t="inlineStr">
        <is>
          <t>Amit Chakraborty</t>
        </is>
      </c>
      <c r="B1491" s="37" t="inlineStr">
        <is>
          <t>Bareilly</t>
        </is>
      </c>
      <c r="C1491" s="37" t="inlineStr">
        <is>
          <t>GROW Youth- Accenture</t>
        </is>
      </c>
      <c r="D1491" s="37" t="inlineStr">
        <is>
          <t>2026-07-15</t>
        </is>
      </c>
      <c r="E1491" s="37" t="inlineStr">
        <is>
          <t>Process Check</t>
        </is>
      </c>
      <c r="F1491" s="37" t="inlineStr">
        <is>
          <t>Check the CA’s diary — is CA guided daily by the AH during planning days?</t>
        </is>
      </c>
      <c r="G1491" s="37" t="inlineStr">
        <is>
          <t>Need Improvement</t>
        </is>
      </c>
    </row>
    <row r="1492">
      <c r="A1492" s="37" t="inlineStr">
        <is>
          <t>Amit Chakraborty</t>
        </is>
      </c>
      <c r="B1492" s="37" t="inlineStr">
        <is>
          <t>Bareilly</t>
        </is>
      </c>
      <c r="C1492" s="37" t="inlineStr">
        <is>
          <t>GROW Youth- Accenture</t>
        </is>
      </c>
      <c r="D1492" s="37" t="inlineStr">
        <is>
          <t>2026-07-15</t>
        </is>
      </c>
      <c r="E1492" s="37" t="inlineStr">
        <is>
          <t>Process Check</t>
        </is>
      </c>
      <c r="F1492" s="37" t="inlineStr">
        <is>
          <t>Check the AH is regularly meeting employers (in person and online) and updating the centre’s Top 20 Employer format.</t>
        </is>
      </c>
      <c r="G1492" s="37" t="inlineStr">
        <is>
          <t>All is Well</t>
        </is>
      </c>
    </row>
    <row r="1493">
      <c r="A1493" s="37" t="inlineStr">
        <is>
          <t>Amit Chakraborty</t>
        </is>
      </c>
      <c r="B1493" s="37" t="inlineStr">
        <is>
          <t>Bareilly</t>
        </is>
      </c>
      <c r="C1493" s="37" t="inlineStr">
        <is>
          <t>GROW Youth- Accenture</t>
        </is>
      </c>
      <c r="D1493" s="37" t="inlineStr">
        <is>
          <t>2026-07-15</t>
        </is>
      </c>
      <c r="E1493" s="37" t="inlineStr">
        <is>
          <t>Process Check</t>
        </is>
      </c>
      <c r="F1493" s="37" t="inlineStr">
        <is>
          <t>Confirm all new employers are registered on portal as per new process.</t>
        </is>
      </c>
      <c r="G1493" s="37" t="inlineStr">
        <is>
          <t>All is Well</t>
        </is>
      </c>
    </row>
    <row r="1494">
      <c r="A1494" s="37" t="inlineStr">
        <is>
          <t>Amit Chakraborty</t>
        </is>
      </c>
      <c r="B1494" s="37" t="inlineStr">
        <is>
          <t>Bareilly</t>
        </is>
      </c>
      <c r="C1494" s="37" t="inlineStr">
        <is>
          <t>GROW Youth- Accenture</t>
        </is>
      </c>
      <c r="D1494" s="37" t="inlineStr">
        <is>
          <t>2026-07-15</t>
        </is>
      </c>
      <c r="E1494" s="37" t="inlineStr">
        <is>
          <t>Process Check</t>
        </is>
      </c>
      <c r="F1494" s="37" t="inlineStr">
        <is>
          <t>Confirm 100% of enrolled students undergone screening (for technical courses).</t>
        </is>
      </c>
      <c r="G1494" s="37" t="inlineStr">
        <is>
          <t>Not Applicable</t>
        </is>
      </c>
    </row>
    <row r="1495">
      <c r="A1495" s="37" t="inlineStr">
        <is>
          <t>Amit Chakraborty</t>
        </is>
      </c>
      <c r="B1495" s="37" t="inlineStr">
        <is>
          <t>Bareilly</t>
        </is>
      </c>
      <c r="C1495" s="37" t="inlineStr">
        <is>
          <t>GROW Youth- Accenture</t>
        </is>
      </c>
      <c r="D1495" s="37" t="inlineStr">
        <is>
          <t>2026-07-15</t>
        </is>
      </c>
      <c r="E1495" s="37" t="inlineStr">
        <is>
          <t>Process Check</t>
        </is>
      </c>
      <c r="F1495" s="37" t="inlineStr">
        <is>
          <t>Confirm ESA is done (in GROW full ESA and in Technical courses relevant sections of Core Employability Part).</t>
        </is>
      </c>
      <c r="G1495" s="37" t="inlineStr">
        <is>
          <t>All is Well</t>
        </is>
      </c>
    </row>
    <row r="1496">
      <c r="A1496" s="37" t="inlineStr">
        <is>
          <t>Amit Chakraborty</t>
        </is>
      </c>
      <c r="B1496" s="37" t="inlineStr">
        <is>
          <t>Bareilly</t>
        </is>
      </c>
      <c r="C1496" s="37" t="inlineStr">
        <is>
          <t>GROW Youth- Accenture</t>
        </is>
      </c>
      <c r="D1496" s="37" t="inlineStr">
        <is>
          <t>2026-07-15</t>
        </is>
      </c>
      <c r="E1496" s="37" t="inlineStr">
        <is>
          <t>Process Check</t>
        </is>
      </c>
      <c r="F1496" s="37" t="inlineStr">
        <is>
          <t>Check is AH giving capstone project in GROW Tech.</t>
        </is>
      </c>
      <c r="G1496" s="37" t="inlineStr">
        <is>
          <t>Not Applicable</t>
        </is>
      </c>
    </row>
    <row r="1497">
      <c r="A1497" s="37" t="inlineStr">
        <is>
          <t>Amit Chakraborty</t>
        </is>
      </c>
      <c r="B1497" s="37" t="inlineStr">
        <is>
          <t>Bareilly</t>
        </is>
      </c>
      <c r="C1497" s="37" t="inlineStr">
        <is>
          <t>GROW Youth- Accenture</t>
        </is>
      </c>
      <c r="D1497" s="37" t="inlineStr">
        <is>
          <t>2026-07-15</t>
        </is>
      </c>
      <c r="E1497" s="37" t="inlineStr">
        <is>
          <t>Process Check</t>
        </is>
      </c>
      <c r="F1497" s="37" t="inlineStr">
        <is>
          <t>Check is AH planning OJT as per guidelines and proofs are collected for technical courses.</t>
        </is>
      </c>
      <c r="G1497" s="37" t="inlineStr">
        <is>
          <t>Not Applicable</t>
        </is>
      </c>
    </row>
    <row r="1498">
      <c r="A1498" s="37" t="inlineStr">
        <is>
          <t>Amit Chakraborty</t>
        </is>
      </c>
      <c r="B1498" s="37" t="inlineStr">
        <is>
          <t>Bareilly</t>
        </is>
      </c>
      <c r="C1498" s="37" t="inlineStr">
        <is>
          <t>GROW Youth- Accenture</t>
        </is>
      </c>
      <c r="D1498" s="37" t="inlineStr">
        <is>
          <t>2026-07-15</t>
        </is>
      </c>
      <c r="E1498" s="37" t="inlineStr">
        <is>
          <t>Process Check</t>
        </is>
      </c>
      <c r="F1498" s="37" t="inlineStr">
        <is>
          <t>Check are trainers contacting aspirants to find reason for their absenteeism of more than 1 day.</t>
        </is>
      </c>
      <c r="G1498" s="37" t="inlineStr">
        <is>
          <t>All is Well</t>
        </is>
      </c>
    </row>
    <row r="1499">
      <c r="A1499" s="37" t="inlineStr">
        <is>
          <t>Amit Chakraborty</t>
        </is>
      </c>
      <c r="B1499" s="37" t="inlineStr">
        <is>
          <t>Bareilly</t>
        </is>
      </c>
      <c r="C1499" s="37" t="inlineStr">
        <is>
          <t>GROW Youth- Accenture</t>
        </is>
      </c>
      <c r="D1499" s="37" t="inlineStr">
        <is>
          <t>2026-07-15</t>
        </is>
      </c>
      <c r="E1499" s="37" t="inlineStr">
        <is>
          <t>Process Check</t>
        </is>
      </c>
      <c r="F1499" s="37" t="inlineStr">
        <is>
          <t>Check the AH plans monthly enrolment and placement numbers by the 3rd of each month and shares them with second level managers.</t>
        </is>
      </c>
      <c r="G1499" s="37" t="inlineStr">
        <is>
          <t>All is Well</t>
        </is>
      </c>
    </row>
    <row r="1500">
      <c r="A1500" s="37" t="inlineStr">
        <is>
          <t>Amit Chakraborty</t>
        </is>
      </c>
      <c r="B1500" s="37" t="inlineStr">
        <is>
          <t>Bareilly</t>
        </is>
      </c>
      <c r="C1500" s="37" t="inlineStr">
        <is>
          <t>GROW Youth- Accenture</t>
        </is>
      </c>
      <c r="D1500" s="37" t="inlineStr">
        <is>
          <t>2026-07-15</t>
        </is>
      </c>
      <c r="E1500" s="37" t="inlineStr">
        <is>
          <t>Process Check</t>
        </is>
      </c>
      <c r="F1500" s="37" t="inlineStr">
        <is>
          <t>Check trainers submit aspirants’ placement interest areas to the AH by the batch’s 25th day (in GROW).</t>
        </is>
      </c>
      <c r="G1500" s="37" t="inlineStr">
        <is>
          <t>All is Well</t>
        </is>
      </c>
    </row>
    <row r="1501">
      <c r="A1501" s="37" t="inlineStr">
        <is>
          <t>Amit Chakraborty</t>
        </is>
      </c>
      <c r="B1501" s="37" t="inlineStr">
        <is>
          <t>Bareilly</t>
        </is>
      </c>
      <c r="C1501" s="37" t="inlineStr">
        <is>
          <t>GROW Youth- Accenture</t>
        </is>
      </c>
      <c r="D1501" s="37" t="inlineStr">
        <is>
          <t>2026-07-15</t>
        </is>
      </c>
      <c r="E1501" s="37" t="inlineStr">
        <is>
          <t>Process Check</t>
        </is>
      </c>
      <c r="F1501" s="37" t="inlineStr">
        <is>
          <t>Ckeck For technical programs, placement is done only in technical jobs,on which aspirants are trained and relevant emplyers are identified by 45th day.</t>
        </is>
      </c>
      <c r="G1501" s="37" t="inlineStr">
        <is>
          <t>Not Applicable</t>
        </is>
      </c>
    </row>
    <row r="1502">
      <c r="A1502" s="37" t="inlineStr">
        <is>
          <t>Amit Chakraborty</t>
        </is>
      </c>
      <c r="B1502" s="37" t="inlineStr">
        <is>
          <t>Bareilly</t>
        </is>
      </c>
      <c r="C1502" s="37" t="inlineStr">
        <is>
          <t>GROW Youth- Accenture</t>
        </is>
      </c>
      <c r="D1502" s="37" t="inlineStr">
        <is>
          <t>2026-07-15</t>
        </is>
      </c>
      <c r="E1502" s="37" t="inlineStr">
        <is>
          <t>Process Check</t>
        </is>
      </c>
      <c r="F1502" s="37" t="inlineStr">
        <is>
          <t>Check the AH follows EP guidelines and minimum benchmark salary guidelines.</t>
        </is>
      </c>
      <c r="G1502" s="37" t="inlineStr">
        <is>
          <t>All is Well</t>
        </is>
      </c>
    </row>
    <row r="1503">
      <c r="A1503" s="37" t="inlineStr">
        <is>
          <t>Amit Chakraborty</t>
        </is>
      </c>
      <c r="B1503" s="37" t="inlineStr">
        <is>
          <t>Bareilly</t>
        </is>
      </c>
      <c r="C1503" s="37" t="inlineStr">
        <is>
          <t>GROW Youth- Accenture</t>
        </is>
      </c>
      <c r="D1503" s="37" t="inlineStr">
        <is>
          <t>2026-07-15</t>
        </is>
      </c>
      <c r="E1503" s="37" t="inlineStr">
        <is>
          <t>Process Check</t>
        </is>
      </c>
      <c r="F1503" s="37" t="inlineStr">
        <is>
          <t>Check that AH is enrolling only the right traget group in the program -as per the defined target.</t>
        </is>
      </c>
      <c r="G1503" s="37" t="inlineStr">
        <is>
          <t>All is Well</t>
        </is>
      </c>
    </row>
    <row r="1504">
      <c r="A1504" s="37" t="inlineStr">
        <is>
          <t>Amit Chakraborty</t>
        </is>
      </c>
      <c r="B1504" s="37" t="inlineStr">
        <is>
          <t>Bareilly</t>
        </is>
      </c>
      <c r="C1504" s="37" t="inlineStr">
        <is>
          <t>GROW Youth- Accenture</t>
        </is>
      </c>
      <c r="D1504" s="37" t="inlineStr">
        <is>
          <t>2026-07-15</t>
        </is>
      </c>
      <c r="E1504" s="37" t="inlineStr">
        <is>
          <t>Process Check</t>
        </is>
      </c>
      <c r="F1504" s="37" t="inlineStr">
        <is>
          <t>Check the AH announces the next batch-start date by the 3rd of the month on all notice boards — focus on Zero-Day start.</t>
        </is>
      </c>
      <c r="G1504" s="37" t="inlineStr">
        <is>
          <t>Need Improvement</t>
        </is>
      </c>
    </row>
    <row r="1505">
      <c r="A1505" s="37" t="inlineStr">
        <is>
          <t>Amit Chakraborty</t>
        </is>
      </c>
      <c r="B1505" s="37" t="inlineStr">
        <is>
          <t>Bareilly</t>
        </is>
      </c>
      <c r="C1505" s="37" t="inlineStr">
        <is>
          <t>GROW Youth- Accenture</t>
        </is>
      </c>
      <c r="D1505" s="37" t="inlineStr">
        <is>
          <t>2026-07-15</t>
        </is>
      </c>
      <c r="E1505" s="37" t="inlineStr">
        <is>
          <t>Process Check</t>
        </is>
      </c>
      <c r="F1505" s="37" t="inlineStr">
        <is>
          <t>Check the Aspirant Mock Interview Score Tracker is updated after every mock interview in the L&amp;D Google Sheet.</t>
        </is>
      </c>
      <c r="G1505" s="37" t="inlineStr">
        <is>
          <t>All is Well</t>
        </is>
      </c>
    </row>
    <row r="1506">
      <c r="A1506" s="37" t="inlineStr">
        <is>
          <t>Amit Chakraborty</t>
        </is>
      </c>
      <c r="B1506" s="37" t="inlineStr">
        <is>
          <t>Bareilly</t>
        </is>
      </c>
      <c r="C1506" s="37" t="inlineStr">
        <is>
          <t>GROW Youth- Accenture</t>
        </is>
      </c>
      <c r="D1506" s="37" t="inlineStr">
        <is>
          <t>2026-07-15</t>
        </is>
      </c>
      <c r="E1506" s="37" t="inlineStr">
        <is>
          <t>Process Check</t>
        </is>
      </c>
      <c r="F1506" s="37" t="inlineStr">
        <is>
          <t>Confirm NPS (Net Promoter Score) is collected at MSDF centres.</t>
        </is>
      </c>
      <c r="G1506" s="37" t="inlineStr">
        <is>
          <t>Not Applicable</t>
        </is>
      </c>
    </row>
    <row r="1507">
      <c r="A1507" s="37" t="inlineStr">
        <is>
          <t>Amit Chakraborty</t>
        </is>
      </c>
      <c r="B1507" s="37" t="inlineStr">
        <is>
          <t>Bareilly</t>
        </is>
      </c>
      <c r="C1507" s="37" t="inlineStr">
        <is>
          <t>GROW Youth- Accenture</t>
        </is>
      </c>
      <c r="D1507" s="37" t="inlineStr">
        <is>
          <t>2026-07-15</t>
        </is>
      </c>
      <c r="E1507" s="37" t="inlineStr">
        <is>
          <t>Process Check</t>
        </is>
      </c>
      <c r="F1507" s="37" t="inlineStr">
        <is>
          <t>Confirm that QAE is collecting student feedback for every batch.</t>
        </is>
      </c>
      <c r="G1507" s="37" t="inlineStr">
        <is>
          <t>All is Well</t>
        </is>
      </c>
    </row>
    <row r="1508">
      <c r="A1508" s="37" t="inlineStr">
        <is>
          <t>Amit Chakraborty</t>
        </is>
      </c>
      <c r="B1508" s="37" t="inlineStr">
        <is>
          <t>Bareilly</t>
        </is>
      </c>
      <c r="C1508" s="37" t="inlineStr">
        <is>
          <t>GROW Youth- Accenture</t>
        </is>
      </c>
      <c r="D1508" s="37" t="inlineStr">
        <is>
          <t>2026-07-15</t>
        </is>
      </c>
      <c r="E1508" s="37" t="inlineStr">
        <is>
          <t>Process Check</t>
        </is>
      </c>
      <c r="F1508" s="37" t="inlineStr">
        <is>
          <t>Confirm all centre teams have completed the GROW Manual Course on Skillfy — ask for achievement certificates.</t>
        </is>
      </c>
      <c r="G1508" s="37" t="inlineStr">
        <is>
          <t>All is Well</t>
        </is>
      </c>
    </row>
    <row r="1509">
      <c r="A1509" s="37" t="inlineStr">
        <is>
          <t>Amit Chakraborty</t>
        </is>
      </c>
      <c r="B1509" s="37" t="inlineStr">
        <is>
          <t>Bareilly</t>
        </is>
      </c>
      <c r="C1509" s="37" t="inlineStr">
        <is>
          <t>GROW Youth- Accenture</t>
        </is>
      </c>
      <c r="D1509" s="37" t="inlineStr">
        <is>
          <t>2026-07-15</t>
        </is>
      </c>
      <c r="E1509" s="37" t="inlineStr">
        <is>
          <t>Process Check</t>
        </is>
      </c>
      <c r="F1509" s="37" t="inlineStr">
        <is>
          <t>Check AH holds a quality weekly team meeting, documents action points in the weekly meeting format, and sends you a photo on WhatsApp.</t>
        </is>
      </c>
      <c r="G1509" s="37" t="inlineStr">
        <is>
          <t>Need Improvement</t>
        </is>
      </c>
    </row>
    <row r="1510">
      <c r="A1510" s="37" t="inlineStr">
        <is>
          <t>Amit Chakraborty</t>
        </is>
      </c>
      <c r="B1510" s="37" t="inlineStr">
        <is>
          <t>Bareilly</t>
        </is>
      </c>
      <c r="C1510" s="37" t="inlineStr">
        <is>
          <t>GROW Youth- Accenture</t>
        </is>
      </c>
      <c r="D1510" s="37" t="inlineStr">
        <is>
          <t>2026-07-15</t>
        </is>
      </c>
      <c r="E1510" s="37" t="inlineStr">
        <is>
          <t>Aspirant Interaction</t>
        </is>
      </c>
      <c r="F1510" s="37" t="inlineStr">
        <is>
          <t>Ask aspirants about the session plan — confirm training is happening as planned?</t>
        </is>
      </c>
      <c r="G1510" s="37" t="inlineStr">
        <is>
          <t>Need Improvement</t>
        </is>
      </c>
    </row>
    <row r="1511">
      <c r="A1511" s="37" t="inlineStr">
        <is>
          <t>Amit Chakraborty</t>
        </is>
      </c>
      <c r="B1511" s="37" t="inlineStr">
        <is>
          <t>Bareilly</t>
        </is>
      </c>
      <c r="C1511" s="37" t="inlineStr">
        <is>
          <t>GROW Youth- Accenture</t>
        </is>
      </c>
      <c r="D1511" s="37" t="inlineStr">
        <is>
          <t>2026-07-15</t>
        </is>
      </c>
      <c r="E1511" s="37" t="inlineStr">
        <is>
          <t>Aspirant Interaction</t>
        </is>
      </c>
      <c r="F1511" s="37" t="inlineStr">
        <is>
          <t>Ask about the quality of Core Employability component delivery (technical centres) and who delivers it.</t>
        </is>
      </c>
      <c r="G1511" s="37" t="inlineStr">
        <is>
          <t>Not Applicable</t>
        </is>
      </c>
    </row>
    <row r="1512">
      <c r="A1512" s="37" t="inlineStr">
        <is>
          <t>Amit Chakraborty</t>
        </is>
      </c>
      <c r="B1512" s="37" t="inlineStr">
        <is>
          <t>Bareilly</t>
        </is>
      </c>
      <c r="C1512" s="37" t="inlineStr">
        <is>
          <t>GROW Youth- Accenture</t>
        </is>
      </c>
      <c r="D1512" s="37" t="inlineStr">
        <is>
          <t>2026-07-15</t>
        </is>
      </c>
      <c r="E1512" s="37" t="inlineStr">
        <is>
          <t>Aspirant Interaction</t>
        </is>
      </c>
      <c r="F1512" s="37" t="inlineStr">
        <is>
          <t>Ask whether they are aware of the referral scheme?</t>
        </is>
      </c>
      <c r="G1512" s="37" t="inlineStr">
        <is>
          <t>Need Improvement</t>
        </is>
      </c>
    </row>
    <row r="1513">
      <c r="A1513" s="37" t="inlineStr">
        <is>
          <t>Amit Chakraborty</t>
        </is>
      </c>
      <c r="B1513" s="37" t="inlineStr">
        <is>
          <t>Bareilly</t>
        </is>
      </c>
      <c r="C1513" s="37" t="inlineStr">
        <is>
          <t>GROW Youth- Accenture</t>
        </is>
      </c>
      <c r="D1513" s="37" t="inlineStr">
        <is>
          <t>2026-07-15</t>
        </is>
      </c>
      <c r="E1513" s="37" t="inlineStr">
        <is>
          <t>Aspirant Interaction</t>
        </is>
      </c>
      <c r="F1513" s="37" t="inlineStr">
        <is>
          <t>Ask whether the AH explained the importance of the offer letter and sharing it with us once received for reporting purposes?</t>
        </is>
      </c>
      <c r="G1513" s="37" t="inlineStr">
        <is>
          <t>Need Improvement</t>
        </is>
      </c>
    </row>
    <row r="1514">
      <c r="A1514" s="37" t="inlineStr">
        <is>
          <t>Amit Chakraborty</t>
        </is>
      </c>
      <c r="B1514" s="37" t="inlineStr">
        <is>
          <t>Bareilly</t>
        </is>
      </c>
      <c r="C1514" s="37" t="inlineStr">
        <is>
          <t>GROW Youth- Accenture</t>
        </is>
      </c>
      <c r="D1514" s="37" t="inlineStr">
        <is>
          <t>2026-07-15</t>
        </is>
      </c>
      <c r="E1514" s="37" t="inlineStr">
        <is>
          <t>Aspirant Interaction</t>
        </is>
      </c>
      <c r="F1514" s="37" t="inlineStr">
        <is>
          <t>Ask how many are not interested in jobs — and if so, why they enrolled in the programme?</t>
        </is>
      </c>
      <c r="G1514" s="37" t="inlineStr">
        <is>
          <t>All is Well</t>
        </is>
      </c>
    </row>
    <row r="1515">
      <c r="A1515" s="37" t="inlineStr">
        <is>
          <t>Amit Chakraborty</t>
        </is>
      </c>
      <c r="B1515" s="37" t="inlineStr">
        <is>
          <t>Bareilly</t>
        </is>
      </c>
      <c r="C1515" s="37" t="inlineStr">
        <is>
          <t>GROW Youth- Accenture</t>
        </is>
      </c>
      <c r="D1515" s="37" t="inlineStr">
        <is>
          <t>2026-07-15</t>
        </is>
      </c>
      <c r="E1515" s="37" t="inlineStr">
        <is>
          <t>Aspirant Interaction</t>
        </is>
      </c>
      <c r="F1515" s="37" t="inlineStr">
        <is>
          <t>Ask whether they were told the kind of job they would get during counselling?</t>
        </is>
      </c>
      <c r="G1515" s="37" t="inlineStr">
        <is>
          <t>All is Well</t>
        </is>
      </c>
    </row>
    <row r="1516">
      <c r="A1516" s="37" t="inlineStr">
        <is>
          <t>Amit Chakraborty</t>
        </is>
      </c>
      <c r="B1516" s="37" t="inlineStr">
        <is>
          <t>Bareilly</t>
        </is>
      </c>
      <c r="C1516" s="37" t="inlineStr">
        <is>
          <t>GROW Youth- Accenture</t>
        </is>
      </c>
      <c r="D1516" s="37" t="inlineStr">
        <is>
          <t>2026-07-15</t>
        </is>
      </c>
      <c r="E1516" s="37" t="inlineStr">
        <is>
          <t>Aspirant Interaction</t>
        </is>
      </c>
      <c r="F1516" s="37" t="inlineStr">
        <is>
          <t>Ask whether they have been given LMS access?</t>
        </is>
      </c>
      <c r="G1516" s="37" t="inlineStr">
        <is>
          <t>All is Well</t>
        </is>
      </c>
    </row>
    <row r="1517">
      <c r="A1517" s="37" t="inlineStr">
        <is>
          <t>Amit Chakraborty</t>
        </is>
      </c>
      <c r="B1517" s="37" t="inlineStr">
        <is>
          <t>Bareilly</t>
        </is>
      </c>
      <c r="C1517" s="37" t="inlineStr">
        <is>
          <t>GROW Youth- Accenture</t>
        </is>
      </c>
      <c r="D1517" s="37" t="inlineStr">
        <is>
          <t>2026-07-15</t>
        </is>
      </c>
      <c r="E1517" s="37" t="inlineStr">
        <is>
          <t>Aspirant Interaction</t>
        </is>
      </c>
      <c r="F1517" s="37" t="inlineStr">
        <is>
          <t>Ask whether anyone asked them for money for training or placement?</t>
        </is>
      </c>
      <c r="G1517" s="37" t="inlineStr">
        <is>
          <t>All is Well</t>
        </is>
      </c>
    </row>
    <row r="1518">
      <c r="A1518" s="37" t="inlineStr">
        <is>
          <t>Amit Chakraborty</t>
        </is>
      </c>
      <c r="B1518" s="37" t="inlineStr">
        <is>
          <t>Bareilly</t>
        </is>
      </c>
      <c r="C1518" s="37" t="inlineStr">
        <is>
          <t>GROW Youth- Accenture</t>
        </is>
      </c>
      <c r="D1518" s="37" t="inlineStr">
        <is>
          <t>2026-07-15</t>
        </is>
      </c>
      <c r="E1518" s="37" t="inlineStr">
        <is>
          <t>Aspirant Interaction</t>
        </is>
      </c>
      <c r="F1518" s="37" t="inlineStr">
        <is>
          <t>Ask to show their mobile phones — are they enrolled on Skillfy? If not, get them enrolled and give written feedback to trainers and the AH in your presence.</t>
        </is>
      </c>
      <c r="G1518" s="37" t="inlineStr">
        <is>
          <t>Need Improvement</t>
        </is>
      </c>
    </row>
    <row r="1519">
      <c r="A1519" s="37" t="inlineStr">
        <is>
          <t>Amit Chakraborty</t>
        </is>
      </c>
      <c r="B1519" s="37" t="inlineStr">
        <is>
          <t>Bareilly</t>
        </is>
      </c>
      <c r="C1519" s="37" t="inlineStr">
        <is>
          <t>GROW Youth- Accenture</t>
        </is>
      </c>
      <c r="D1519" s="37" t="inlineStr">
        <is>
          <t>2026-07-15</t>
        </is>
      </c>
      <c r="E1519" s="37" t="inlineStr">
        <is>
          <t>Aspirant Interaction</t>
        </is>
      </c>
      <c r="F1519" s="37" t="inlineStr">
        <is>
          <t>Ask about the quality of the hostel and any issues they face.</t>
        </is>
      </c>
      <c r="G1519" s="37" t="inlineStr">
        <is>
          <t>Not Applicable</t>
        </is>
      </c>
    </row>
    <row r="1520">
      <c r="A1520" s="37" t="inlineStr">
        <is>
          <t>Amit Chakraborty</t>
        </is>
      </c>
      <c r="B1520" s="37" t="inlineStr">
        <is>
          <t>Bareilly</t>
        </is>
      </c>
      <c r="C1520" s="37" t="inlineStr">
        <is>
          <t>GROW Youth- Accenture</t>
        </is>
      </c>
      <c r="D1520" s="37" t="inlineStr">
        <is>
          <t>2026-07-15</t>
        </is>
      </c>
      <c r="E1520" s="37" t="inlineStr">
        <is>
          <t>Aspirant Interaction</t>
        </is>
      </c>
      <c r="F1520" s="37" t="inlineStr">
        <is>
          <t>Ask a few relevant screening questions to support the 10th-day report and remove non-serious candidates, explaining to them the reasons.</t>
        </is>
      </c>
      <c r="G1520" s="37" t="inlineStr">
        <is>
          <t>All is Well</t>
        </is>
      </c>
    </row>
    <row r="1521">
      <c r="A1521" s="37" t="inlineStr">
        <is>
          <t>Barna</t>
        </is>
      </c>
      <c r="B1521" s="37" t="inlineStr">
        <is>
          <t>Narmada Nagar Bilaspur</t>
        </is>
      </c>
      <c r="C1521" s="37" t="inlineStr">
        <is>
          <t>Youth Accenture</t>
        </is>
      </c>
      <c r="D1521" s="37" t="inlineStr">
        <is>
          <t>2026-07-16</t>
        </is>
      </c>
      <c r="E1521" s="37" t="inlineStr">
        <is>
          <t>Data Check</t>
        </is>
      </c>
      <c r="F1521" s="37" t="inlineStr">
        <is>
          <t>Reach the centre on time (unannounced) — confirm the centre opened on time.</t>
        </is>
      </c>
      <c r="G1521" s="37" t="inlineStr">
        <is>
          <t>All is Well</t>
        </is>
      </c>
    </row>
    <row r="1522">
      <c r="A1522" s="37" t="inlineStr">
        <is>
          <t>Barna</t>
        </is>
      </c>
      <c r="B1522" s="37" t="inlineStr">
        <is>
          <t>Narmada Nagar Bilaspur</t>
        </is>
      </c>
      <c r="C1522" s="37" t="inlineStr">
        <is>
          <t>Youth Accenture</t>
        </is>
      </c>
      <c r="D1522" s="37" t="inlineStr">
        <is>
          <t>2026-07-16</t>
        </is>
      </c>
      <c r="E1522" s="37" t="inlineStr">
        <is>
          <t>Data Check</t>
        </is>
      </c>
      <c r="F1522" s="37" t="inlineStr">
        <is>
          <t>Check the staff attendance register, the Google Sheet, and geo-tagged photos for aspirants.</t>
        </is>
      </c>
      <c r="G1522" s="37" t="inlineStr">
        <is>
          <t>All is Well</t>
        </is>
      </c>
    </row>
    <row r="1523">
      <c r="A1523" s="37" t="inlineStr">
        <is>
          <t>Barna</t>
        </is>
      </c>
      <c r="B1523" s="37" t="inlineStr">
        <is>
          <t>Narmada Nagar Bilaspur</t>
        </is>
      </c>
      <c r="C1523" s="37" t="inlineStr">
        <is>
          <t>Youth Accenture</t>
        </is>
      </c>
      <c r="D1523" s="37" t="inlineStr">
        <is>
          <t>2026-07-16</t>
        </is>
      </c>
      <c r="E1523" s="37" t="inlineStr">
        <is>
          <t>Data Check</t>
        </is>
      </c>
      <c r="F1523" s="37" t="inlineStr">
        <is>
          <t>Check Counselling and Screening Forms of recently started batches.</t>
        </is>
      </c>
      <c r="G1523" s="37" t="inlineStr">
        <is>
          <t>All is Well</t>
        </is>
      </c>
    </row>
    <row r="1524">
      <c r="A1524" s="37" t="inlineStr">
        <is>
          <t>Barna</t>
        </is>
      </c>
      <c r="B1524" s="37" t="inlineStr">
        <is>
          <t>Narmada Nagar Bilaspur</t>
        </is>
      </c>
      <c r="C1524" s="37" t="inlineStr">
        <is>
          <t>Youth Accenture</t>
        </is>
      </c>
      <c r="D1524" s="37" t="inlineStr">
        <is>
          <t>2026-07-16</t>
        </is>
      </c>
      <c r="E1524" s="37" t="inlineStr">
        <is>
          <t>Data Check</t>
        </is>
      </c>
      <c r="F1524" s="37" t="inlineStr">
        <is>
          <t>Check Aspirant Registration Forms and related documents.</t>
        </is>
      </c>
      <c r="G1524" s="37" t="inlineStr">
        <is>
          <t>All is Well</t>
        </is>
      </c>
    </row>
    <row r="1525">
      <c r="A1525" s="37" t="inlineStr">
        <is>
          <t>Barna</t>
        </is>
      </c>
      <c r="B1525" s="37" t="inlineStr">
        <is>
          <t>Narmada Nagar Bilaspur</t>
        </is>
      </c>
      <c r="C1525" s="37" t="inlineStr">
        <is>
          <t>Youth Accenture</t>
        </is>
      </c>
      <c r="D1525" s="37" t="inlineStr">
        <is>
          <t>2026-07-16</t>
        </is>
      </c>
      <c r="E1525" s="37" t="inlineStr">
        <is>
          <t>Data Check</t>
        </is>
      </c>
      <c r="F1525" s="37" t="inlineStr">
        <is>
          <t>On the GROW portal, confirm all student profile details and batch updates are currect.</t>
        </is>
      </c>
      <c r="G1525" s="37" t="inlineStr">
        <is>
          <t>All is Well</t>
        </is>
      </c>
    </row>
    <row r="1526">
      <c r="A1526" s="37" t="inlineStr">
        <is>
          <t>Barna</t>
        </is>
      </c>
      <c r="B1526" s="37" t="inlineStr">
        <is>
          <t>Narmada Nagar Bilaspur</t>
        </is>
      </c>
      <c r="C1526" s="37" t="inlineStr">
        <is>
          <t>Youth Accenture</t>
        </is>
      </c>
      <c r="D1526" s="37" t="inlineStr">
        <is>
          <t>2026-07-16</t>
        </is>
      </c>
      <c r="E1526" s="37" t="inlineStr">
        <is>
          <t>Data Check</t>
        </is>
      </c>
      <c r="F1526" s="37" t="inlineStr">
        <is>
          <t>Verify placement data — randomly call 3–4 alumni placed in the last 3 months to confirm veracity (random selection is essential).</t>
        </is>
      </c>
      <c r="G1526" s="37" t="inlineStr">
        <is>
          <t>All is Well</t>
        </is>
      </c>
    </row>
    <row r="1527">
      <c r="A1527" s="37" t="inlineStr">
        <is>
          <t>Barna</t>
        </is>
      </c>
      <c r="B1527" s="37" t="inlineStr">
        <is>
          <t>Narmada Nagar Bilaspur</t>
        </is>
      </c>
      <c r="C1527" s="37" t="inlineStr">
        <is>
          <t>Youth Accenture</t>
        </is>
      </c>
      <c r="D1527" s="37" t="inlineStr">
        <is>
          <t>2026-07-16</t>
        </is>
      </c>
      <c r="E1527" s="37" t="inlineStr">
        <is>
          <t>Data Check</t>
        </is>
      </c>
      <c r="F1527" s="37" t="inlineStr">
        <is>
          <t>Verify retention — check the Alumni Hand-holding Format is being updated as designed.</t>
        </is>
      </c>
      <c r="G1527" s="37" t="inlineStr">
        <is>
          <t>All is Well</t>
        </is>
      </c>
    </row>
    <row r="1528">
      <c r="A1528" s="37" t="inlineStr">
        <is>
          <t>Barna</t>
        </is>
      </c>
      <c r="B1528" s="37" t="inlineStr">
        <is>
          <t>Narmada Nagar Bilaspur</t>
        </is>
      </c>
      <c r="C1528" s="37" t="inlineStr">
        <is>
          <t>Youth Accenture</t>
        </is>
      </c>
      <c r="D1528" s="37" t="inlineStr">
        <is>
          <t>2026-07-16</t>
        </is>
      </c>
      <c r="E1528" s="37" t="inlineStr">
        <is>
          <t>Data Check</t>
        </is>
      </c>
      <c r="F1528" s="37" t="inlineStr">
        <is>
          <t>Check aspirant Hostel Forms are properly filled or not.</t>
        </is>
      </c>
      <c r="G1528" s="37" t="inlineStr">
        <is>
          <t>Not Applicable</t>
        </is>
      </c>
    </row>
    <row r="1529">
      <c r="A1529" s="37" t="inlineStr">
        <is>
          <t>Barna</t>
        </is>
      </c>
      <c r="B1529" s="37" t="inlineStr">
        <is>
          <t>Narmada Nagar Bilaspur</t>
        </is>
      </c>
      <c r="C1529" s="37" t="inlineStr">
        <is>
          <t>Youth Accenture</t>
        </is>
      </c>
      <c r="D1529" s="37" t="inlineStr">
        <is>
          <t>2026-07-16</t>
        </is>
      </c>
      <c r="E1529" s="37" t="inlineStr">
        <is>
          <t>Infra Check</t>
        </is>
      </c>
      <c r="F1529" s="37" t="inlineStr">
        <is>
          <t>Check all CCTV cameras; if any are not working, ask the AH to troubleshoot or call the vendor.</t>
        </is>
      </c>
      <c r="G1529" s="37" t="inlineStr">
        <is>
          <t>All is Well</t>
        </is>
      </c>
    </row>
    <row r="1530">
      <c r="A1530" s="37" t="inlineStr">
        <is>
          <t>Barna</t>
        </is>
      </c>
      <c r="B1530" s="37" t="inlineStr">
        <is>
          <t>Narmada Nagar Bilaspur</t>
        </is>
      </c>
      <c r="C1530" s="37" t="inlineStr">
        <is>
          <t>Youth Accenture</t>
        </is>
      </c>
      <c r="D1530" s="37" t="inlineStr">
        <is>
          <t>2026-07-16</t>
        </is>
      </c>
      <c r="E1530" s="37" t="inlineStr">
        <is>
          <t>Infra Check</t>
        </is>
      </c>
      <c r="F1530" s="37" t="inlineStr">
        <is>
          <t>Check for any scrap material and get it cleared, with support of Admin</t>
        </is>
      </c>
      <c r="G1530" s="37" t="inlineStr">
        <is>
          <t>Need Improvement</t>
        </is>
      </c>
    </row>
    <row r="1531">
      <c r="A1531" s="37" t="inlineStr">
        <is>
          <t>Barna</t>
        </is>
      </c>
      <c r="B1531" s="37" t="inlineStr">
        <is>
          <t>Narmada Nagar Bilaspur</t>
        </is>
      </c>
      <c r="C1531" s="37" t="inlineStr">
        <is>
          <t>Youth Accenture</t>
        </is>
      </c>
      <c r="D1531" s="37" t="inlineStr">
        <is>
          <t>2026-07-16</t>
        </is>
      </c>
      <c r="E1531" s="37" t="inlineStr">
        <is>
          <t>Infra Check</t>
        </is>
      </c>
      <c r="F1531" s="37" t="inlineStr">
        <is>
          <t>Check for any pending infra repairs.</t>
        </is>
      </c>
      <c r="G1531" s="37" t="inlineStr">
        <is>
          <t>Need Improvement</t>
        </is>
      </c>
    </row>
    <row r="1532">
      <c r="A1532" s="37" t="inlineStr">
        <is>
          <t>Barna</t>
        </is>
      </c>
      <c r="B1532" s="37" t="inlineStr">
        <is>
          <t>Narmada Nagar Bilaspur</t>
        </is>
      </c>
      <c r="C1532" s="37" t="inlineStr">
        <is>
          <t>Youth Accenture</t>
        </is>
      </c>
      <c r="D1532" s="37" t="inlineStr">
        <is>
          <t>2026-07-16</t>
        </is>
      </c>
      <c r="E1532" s="37" t="inlineStr">
        <is>
          <t>Infra Check</t>
        </is>
      </c>
      <c r="F1532" s="37" t="inlineStr">
        <is>
          <t>Check whether any fire extinguishers have expired (check the needle and expiry date both).</t>
        </is>
      </c>
      <c r="G1532" s="37" t="inlineStr">
        <is>
          <t>All is Well</t>
        </is>
      </c>
    </row>
    <row r="1533">
      <c r="A1533" s="37" t="inlineStr">
        <is>
          <t>Barna</t>
        </is>
      </c>
      <c r="B1533" s="37" t="inlineStr">
        <is>
          <t>Narmada Nagar Bilaspur</t>
        </is>
      </c>
      <c r="C1533" s="37" t="inlineStr">
        <is>
          <t>Youth Accenture</t>
        </is>
      </c>
      <c r="D1533" s="37" t="inlineStr">
        <is>
          <t>2026-07-16</t>
        </is>
      </c>
      <c r="E1533" s="37" t="inlineStr">
        <is>
          <t>Infra Check</t>
        </is>
      </c>
      <c r="F1533" s="37" t="inlineStr">
        <is>
          <t>Check basic cleanliness of the washrooms and the centre.</t>
        </is>
      </c>
      <c r="G1533" s="37" t="inlineStr">
        <is>
          <t>All is Well</t>
        </is>
      </c>
    </row>
    <row r="1534">
      <c r="A1534" s="37" t="inlineStr">
        <is>
          <t>Barna</t>
        </is>
      </c>
      <c r="B1534" s="37" t="inlineStr">
        <is>
          <t>Narmada Nagar Bilaspur</t>
        </is>
      </c>
      <c r="C1534" s="37" t="inlineStr">
        <is>
          <t>Youth Accenture</t>
        </is>
      </c>
      <c r="D1534" s="37" t="inlineStr">
        <is>
          <t>2026-07-16</t>
        </is>
      </c>
      <c r="E1534" s="37" t="inlineStr">
        <is>
          <t>Infra Check</t>
        </is>
      </c>
      <c r="F1534" s="37" t="inlineStr">
        <is>
          <t>Confirm the correct program and partner logos are displayed.</t>
        </is>
      </c>
      <c r="G1534" s="37" t="inlineStr">
        <is>
          <t>All is Well</t>
        </is>
      </c>
    </row>
    <row r="1535">
      <c r="A1535" s="37" t="inlineStr">
        <is>
          <t>Barna</t>
        </is>
      </c>
      <c r="B1535" s="37" t="inlineStr">
        <is>
          <t>Narmada Nagar Bilaspur</t>
        </is>
      </c>
      <c r="C1535" s="37" t="inlineStr">
        <is>
          <t>Youth Accenture</t>
        </is>
      </c>
      <c r="D1535" s="37" t="inlineStr">
        <is>
          <t>2026-07-16</t>
        </is>
      </c>
      <c r="E1535" s="37" t="inlineStr">
        <is>
          <t>Infra Check</t>
        </is>
      </c>
      <c r="F1535" s="37" t="inlineStr">
        <is>
          <t>Check the status of digital infra — PCs, smartboards, tablets, laptops, etc.</t>
        </is>
      </c>
      <c r="G1535" s="37" t="inlineStr">
        <is>
          <t>All is Well</t>
        </is>
      </c>
    </row>
    <row r="1536">
      <c r="A1536" s="37" t="inlineStr">
        <is>
          <t>Barna</t>
        </is>
      </c>
      <c r="B1536" s="37" t="inlineStr">
        <is>
          <t>Narmada Nagar Bilaspur</t>
        </is>
      </c>
      <c r="C1536" s="37" t="inlineStr">
        <is>
          <t>Youth Accenture</t>
        </is>
      </c>
      <c r="D1536" s="37" t="inlineStr">
        <is>
          <t>2026-07-16</t>
        </is>
      </c>
      <c r="E1536" s="37" t="inlineStr">
        <is>
          <t>Infra Check</t>
        </is>
      </c>
      <c r="F1536" s="37" t="inlineStr">
        <is>
          <t>Make a quick hostel visit; have lunch there if possible to test the food quality.</t>
        </is>
      </c>
      <c r="G1536" s="37" t="inlineStr">
        <is>
          <t>Not Applicable</t>
        </is>
      </c>
    </row>
    <row r="1537">
      <c r="A1537" s="37" t="inlineStr">
        <is>
          <t>Barna</t>
        </is>
      </c>
      <c r="B1537" s="37" t="inlineStr">
        <is>
          <t>Narmada Nagar Bilaspur</t>
        </is>
      </c>
      <c r="C1537" s="37" t="inlineStr">
        <is>
          <t>Youth Accenture</t>
        </is>
      </c>
      <c r="D1537" s="37" t="inlineStr">
        <is>
          <t>2026-07-16</t>
        </is>
      </c>
      <c r="E1537" s="37" t="inlineStr">
        <is>
          <t>Process Check</t>
        </is>
      </c>
      <c r="F1537" s="37" t="inlineStr">
        <is>
          <t>Refer to the activity planner — check if any activities are delayed.</t>
        </is>
      </c>
      <c r="G1537" s="37" t="inlineStr">
        <is>
          <t>All is Well</t>
        </is>
      </c>
    </row>
    <row r="1538">
      <c r="A1538" s="37" t="inlineStr">
        <is>
          <t>Barna</t>
        </is>
      </c>
      <c r="B1538" s="37" t="inlineStr">
        <is>
          <t>Narmada Nagar Bilaspur</t>
        </is>
      </c>
      <c r="C1538" s="37" t="inlineStr">
        <is>
          <t>Youth Accenture</t>
        </is>
      </c>
      <c r="D1538" s="37" t="inlineStr">
        <is>
          <t>2026-07-16</t>
        </is>
      </c>
      <c r="E1538" s="37" t="inlineStr">
        <is>
          <t>Process Check</t>
        </is>
      </c>
      <c r="F1538" s="37" t="inlineStr">
        <is>
          <t>Check planning for the next batch-start announcement.</t>
        </is>
      </c>
      <c r="G1538" s="37" t="inlineStr">
        <is>
          <t>Need Improvement</t>
        </is>
      </c>
    </row>
    <row r="1539">
      <c r="A1539" s="37" t="inlineStr">
        <is>
          <t>Barna</t>
        </is>
      </c>
      <c r="B1539" s="37" t="inlineStr">
        <is>
          <t>Narmada Nagar Bilaspur</t>
        </is>
      </c>
      <c r="C1539" s="37" t="inlineStr">
        <is>
          <t>Youth Accenture</t>
        </is>
      </c>
      <c r="D1539" s="37" t="inlineStr">
        <is>
          <t>2026-07-16</t>
        </is>
      </c>
      <c r="E1539" s="37" t="inlineStr">
        <is>
          <t>Process Check</t>
        </is>
      </c>
      <c r="F1539" s="37" t="inlineStr">
        <is>
          <t>Check if any hiring is delayed and plan a resolution.</t>
        </is>
      </c>
      <c r="G1539" s="37" t="inlineStr">
        <is>
          <t>All is Well</t>
        </is>
      </c>
    </row>
    <row r="1540">
      <c r="A1540" s="37" t="inlineStr">
        <is>
          <t>Barna</t>
        </is>
      </c>
      <c r="B1540" s="37" t="inlineStr">
        <is>
          <t>Narmada Nagar Bilaspur</t>
        </is>
      </c>
      <c r="C1540" s="37" t="inlineStr">
        <is>
          <t>Youth Accenture</t>
        </is>
      </c>
      <c r="D1540" s="37" t="inlineStr">
        <is>
          <t>2026-07-16</t>
        </is>
      </c>
      <c r="E1540" s="37" t="inlineStr">
        <is>
          <t>Process Check</t>
        </is>
      </c>
      <c r="F1540" s="37" t="inlineStr">
        <is>
          <t>Check the CA’s diary — is CA guided daily by the AH during planning days?</t>
        </is>
      </c>
      <c r="G1540" s="37" t="inlineStr">
        <is>
          <t>Need Improvement</t>
        </is>
      </c>
    </row>
    <row r="1541">
      <c r="A1541" s="37" t="inlineStr">
        <is>
          <t>Barna</t>
        </is>
      </c>
      <c r="B1541" s="37" t="inlineStr">
        <is>
          <t>Narmada Nagar Bilaspur</t>
        </is>
      </c>
      <c r="C1541" s="37" t="inlineStr">
        <is>
          <t>Youth Accenture</t>
        </is>
      </c>
      <c r="D1541" s="37" t="inlineStr">
        <is>
          <t>2026-07-16</t>
        </is>
      </c>
      <c r="E1541" s="37" t="inlineStr">
        <is>
          <t>Process Check</t>
        </is>
      </c>
      <c r="F1541" s="37" t="inlineStr">
        <is>
          <t>Check the AH is regularly meeting employers (in person and online) and updating the centre’s Top 20 Employer format.</t>
        </is>
      </c>
      <c r="G1541" s="37" t="inlineStr">
        <is>
          <t>Need Improvement</t>
        </is>
      </c>
    </row>
    <row r="1542">
      <c r="A1542" s="37" t="inlineStr">
        <is>
          <t>Barna</t>
        </is>
      </c>
      <c r="B1542" s="37" t="inlineStr">
        <is>
          <t>Narmada Nagar Bilaspur</t>
        </is>
      </c>
      <c r="C1542" s="37" t="inlineStr">
        <is>
          <t>Youth Accenture</t>
        </is>
      </c>
      <c r="D1542" s="37" t="inlineStr">
        <is>
          <t>2026-07-16</t>
        </is>
      </c>
      <c r="E1542" s="37" t="inlineStr">
        <is>
          <t>Process Check</t>
        </is>
      </c>
      <c r="F1542" s="37" t="inlineStr">
        <is>
          <t>Confirm all new employers are registered on portal as per new process.</t>
        </is>
      </c>
      <c r="G1542" s="37" t="inlineStr">
        <is>
          <t>All is Well</t>
        </is>
      </c>
    </row>
    <row r="1543">
      <c r="A1543" s="37" t="inlineStr">
        <is>
          <t>Barna</t>
        </is>
      </c>
      <c r="B1543" s="37" t="inlineStr">
        <is>
          <t>Narmada Nagar Bilaspur</t>
        </is>
      </c>
      <c r="C1543" s="37" t="inlineStr">
        <is>
          <t>Youth Accenture</t>
        </is>
      </c>
      <c r="D1543" s="37" t="inlineStr">
        <is>
          <t>2026-07-16</t>
        </is>
      </c>
      <c r="E1543" s="37" t="inlineStr">
        <is>
          <t>Process Check</t>
        </is>
      </c>
      <c r="F1543" s="37" t="inlineStr">
        <is>
          <t>Confirm 100% of enrolled students undergone screening (for technical courses).</t>
        </is>
      </c>
      <c r="G1543" s="37" t="inlineStr">
        <is>
          <t>Not Applicable</t>
        </is>
      </c>
    </row>
    <row r="1544">
      <c r="A1544" s="37" t="inlineStr">
        <is>
          <t>Barna</t>
        </is>
      </c>
      <c r="B1544" s="37" t="inlineStr">
        <is>
          <t>Narmada Nagar Bilaspur</t>
        </is>
      </c>
      <c r="C1544" s="37" t="inlineStr">
        <is>
          <t>Youth Accenture</t>
        </is>
      </c>
      <c r="D1544" s="37" t="inlineStr">
        <is>
          <t>2026-07-16</t>
        </is>
      </c>
      <c r="E1544" s="37" t="inlineStr">
        <is>
          <t>Process Check</t>
        </is>
      </c>
      <c r="F1544" s="37" t="inlineStr">
        <is>
          <t>Confirm ESA is done (in GROW full ESA and in Technical courses relevant sections of Core Employability Part).</t>
        </is>
      </c>
      <c r="G1544" s="37" t="inlineStr">
        <is>
          <t>Not Applicable</t>
        </is>
      </c>
    </row>
    <row r="1545">
      <c r="A1545" s="37" t="inlineStr">
        <is>
          <t>Barna</t>
        </is>
      </c>
      <c r="B1545" s="37" t="inlineStr">
        <is>
          <t>Narmada Nagar Bilaspur</t>
        </is>
      </c>
      <c r="C1545" s="37" t="inlineStr">
        <is>
          <t>Youth Accenture</t>
        </is>
      </c>
      <c r="D1545" s="37" t="inlineStr">
        <is>
          <t>2026-07-16</t>
        </is>
      </c>
      <c r="E1545" s="37" t="inlineStr">
        <is>
          <t>Process Check</t>
        </is>
      </c>
      <c r="F1545" s="37" t="inlineStr">
        <is>
          <t>Check is AH giving capstone project in GROW Tech.</t>
        </is>
      </c>
      <c r="G1545" s="37" t="inlineStr">
        <is>
          <t>Not Applicable</t>
        </is>
      </c>
    </row>
    <row r="1546">
      <c r="A1546" s="37" t="inlineStr">
        <is>
          <t>Barna</t>
        </is>
      </c>
      <c r="B1546" s="37" t="inlineStr">
        <is>
          <t>Narmada Nagar Bilaspur</t>
        </is>
      </c>
      <c r="C1546" s="37" t="inlineStr">
        <is>
          <t>Youth Accenture</t>
        </is>
      </c>
      <c r="D1546" s="37" t="inlineStr">
        <is>
          <t>2026-07-16</t>
        </is>
      </c>
      <c r="E1546" s="37" t="inlineStr">
        <is>
          <t>Process Check</t>
        </is>
      </c>
      <c r="F1546" s="37" t="inlineStr">
        <is>
          <t>Check is AH planning OJT as per guidelines and proofs are collected for technical courses.</t>
        </is>
      </c>
      <c r="G1546" s="37" t="inlineStr">
        <is>
          <t>Not Applicable</t>
        </is>
      </c>
    </row>
    <row r="1547">
      <c r="A1547" s="37" t="inlineStr">
        <is>
          <t>Barna</t>
        </is>
      </c>
      <c r="B1547" s="37" t="inlineStr">
        <is>
          <t>Narmada Nagar Bilaspur</t>
        </is>
      </c>
      <c r="C1547" s="37" t="inlineStr">
        <is>
          <t>Youth Accenture</t>
        </is>
      </c>
      <c r="D1547" s="37" t="inlineStr">
        <is>
          <t>2026-07-16</t>
        </is>
      </c>
      <c r="E1547" s="37" t="inlineStr">
        <is>
          <t>Process Check</t>
        </is>
      </c>
      <c r="F1547" s="37" t="inlineStr">
        <is>
          <t>Check are trainers contacting aspirants to find reason for their absenteeism of more than 1 day.</t>
        </is>
      </c>
      <c r="G1547" s="37" t="inlineStr">
        <is>
          <t>All is Well</t>
        </is>
      </c>
    </row>
    <row r="1548">
      <c r="A1548" s="37" t="inlineStr">
        <is>
          <t>Barna</t>
        </is>
      </c>
      <c r="B1548" s="37" t="inlineStr">
        <is>
          <t>Narmada Nagar Bilaspur</t>
        </is>
      </c>
      <c r="C1548" s="37" t="inlineStr">
        <is>
          <t>Youth Accenture</t>
        </is>
      </c>
      <c r="D1548" s="37" t="inlineStr">
        <is>
          <t>2026-07-16</t>
        </is>
      </c>
      <c r="E1548" s="37" t="inlineStr">
        <is>
          <t>Process Check</t>
        </is>
      </c>
      <c r="F1548" s="37" t="inlineStr">
        <is>
          <t>Check the AH plans monthly enrolment and placement numbers by the 3rd of each month and shares them with second level managers.</t>
        </is>
      </c>
      <c r="G1548" s="37" t="inlineStr">
        <is>
          <t>Need Improvement</t>
        </is>
      </c>
    </row>
    <row r="1549">
      <c r="A1549" s="37" t="inlineStr">
        <is>
          <t>Barna</t>
        </is>
      </c>
      <c r="B1549" s="37" t="inlineStr">
        <is>
          <t>Narmada Nagar Bilaspur</t>
        </is>
      </c>
      <c r="C1549" s="37" t="inlineStr">
        <is>
          <t>Youth Accenture</t>
        </is>
      </c>
      <c r="D1549" s="37" t="inlineStr">
        <is>
          <t>2026-07-16</t>
        </is>
      </c>
      <c r="E1549" s="37" t="inlineStr">
        <is>
          <t>Process Check</t>
        </is>
      </c>
      <c r="F1549" s="37" t="inlineStr">
        <is>
          <t>Check trainers submit aspirants’ placement interest areas to the AH by the batch’s 25th day (in GROW).</t>
        </is>
      </c>
      <c r="G1549" s="37" t="inlineStr">
        <is>
          <t>All is Well</t>
        </is>
      </c>
    </row>
    <row r="1550">
      <c r="A1550" s="37" t="inlineStr">
        <is>
          <t>Barna</t>
        </is>
      </c>
      <c r="B1550" s="37" t="inlineStr">
        <is>
          <t>Narmada Nagar Bilaspur</t>
        </is>
      </c>
      <c r="C1550" s="37" t="inlineStr">
        <is>
          <t>Youth Accenture</t>
        </is>
      </c>
      <c r="D1550" s="37" t="inlineStr">
        <is>
          <t>2026-07-16</t>
        </is>
      </c>
      <c r="E1550" s="37" t="inlineStr">
        <is>
          <t>Process Check</t>
        </is>
      </c>
      <c r="F1550" s="37" t="inlineStr">
        <is>
          <t>Ckeck For technical programs, placement is done only in technical jobs,on which aspirants are trained and relevant emplyers are identified by 45th day.</t>
        </is>
      </c>
      <c r="G1550" s="37" t="inlineStr">
        <is>
          <t>Not Applicable</t>
        </is>
      </c>
    </row>
    <row r="1551">
      <c r="A1551" s="37" t="inlineStr">
        <is>
          <t>Barna</t>
        </is>
      </c>
      <c r="B1551" s="37" t="inlineStr">
        <is>
          <t>Narmada Nagar Bilaspur</t>
        </is>
      </c>
      <c r="C1551" s="37" t="inlineStr">
        <is>
          <t>Youth Accenture</t>
        </is>
      </c>
      <c r="D1551" s="37" t="inlineStr">
        <is>
          <t>2026-07-16</t>
        </is>
      </c>
      <c r="E1551" s="37" t="inlineStr">
        <is>
          <t>Process Check</t>
        </is>
      </c>
      <c r="F1551" s="37" t="inlineStr">
        <is>
          <t>Check the AH follows EP guidelines and minimum benchmark salary guidelines.</t>
        </is>
      </c>
      <c r="G1551" s="37" t="inlineStr">
        <is>
          <t>All is Well</t>
        </is>
      </c>
    </row>
    <row r="1552">
      <c r="A1552" s="37" t="inlineStr">
        <is>
          <t>Barna</t>
        </is>
      </c>
      <c r="B1552" s="37" t="inlineStr">
        <is>
          <t>Narmada Nagar Bilaspur</t>
        </is>
      </c>
      <c r="C1552" s="37" t="inlineStr">
        <is>
          <t>Youth Accenture</t>
        </is>
      </c>
      <c r="D1552" s="37" t="inlineStr">
        <is>
          <t>2026-07-16</t>
        </is>
      </c>
      <c r="E1552" s="37" t="inlineStr">
        <is>
          <t>Process Check</t>
        </is>
      </c>
      <c r="F1552" s="37" t="inlineStr">
        <is>
          <t>Check that AH is enrolling only the right traget group in the program -as per the defined target.</t>
        </is>
      </c>
      <c r="G1552" s="37" t="inlineStr">
        <is>
          <t>All is Well</t>
        </is>
      </c>
    </row>
    <row r="1553">
      <c r="A1553" s="37" t="inlineStr">
        <is>
          <t>Barna</t>
        </is>
      </c>
      <c r="B1553" s="37" t="inlineStr">
        <is>
          <t>Narmada Nagar Bilaspur</t>
        </is>
      </c>
      <c r="C1553" s="37" t="inlineStr">
        <is>
          <t>Youth Accenture</t>
        </is>
      </c>
      <c r="D1553" s="37" t="inlineStr">
        <is>
          <t>2026-07-16</t>
        </is>
      </c>
      <c r="E1553" s="37" t="inlineStr">
        <is>
          <t>Process Check</t>
        </is>
      </c>
      <c r="F1553" s="37" t="inlineStr">
        <is>
          <t>Check the AH announces the next batch-start date by the 3rd of the month on all notice boards — focus on Zero-Day start.</t>
        </is>
      </c>
      <c r="G1553" s="37" t="inlineStr">
        <is>
          <t>Need Improvement</t>
        </is>
      </c>
    </row>
    <row r="1554">
      <c r="A1554" s="37" t="inlineStr">
        <is>
          <t>Barna</t>
        </is>
      </c>
      <c r="B1554" s="37" t="inlineStr">
        <is>
          <t>Narmada Nagar Bilaspur</t>
        </is>
      </c>
      <c r="C1554" s="37" t="inlineStr">
        <is>
          <t>Youth Accenture</t>
        </is>
      </c>
      <c r="D1554" s="37" t="inlineStr">
        <is>
          <t>2026-07-16</t>
        </is>
      </c>
      <c r="E1554" s="37" t="inlineStr">
        <is>
          <t>Process Check</t>
        </is>
      </c>
      <c r="F1554" s="37" t="inlineStr">
        <is>
          <t>Check the Aspirant Mock Interview Score Tracker is updated after every mock interview in the L&amp;D Google Sheet.</t>
        </is>
      </c>
      <c r="G1554" s="37" t="inlineStr">
        <is>
          <t>Need Improvement</t>
        </is>
      </c>
    </row>
    <row r="1555">
      <c r="A1555" s="37" t="inlineStr">
        <is>
          <t>Barna</t>
        </is>
      </c>
      <c r="B1555" s="37" t="inlineStr">
        <is>
          <t>Narmada Nagar Bilaspur</t>
        </is>
      </c>
      <c r="C1555" s="37" t="inlineStr">
        <is>
          <t>Youth Accenture</t>
        </is>
      </c>
      <c r="D1555" s="37" t="inlineStr">
        <is>
          <t>2026-07-16</t>
        </is>
      </c>
      <c r="E1555" s="37" t="inlineStr">
        <is>
          <t>Process Check</t>
        </is>
      </c>
      <c r="F1555" s="37" t="inlineStr">
        <is>
          <t>Confirm NPS (Net Promoter Score) is collected at MSDF centres.</t>
        </is>
      </c>
      <c r="G1555" s="37" t="inlineStr">
        <is>
          <t>Not Applicable</t>
        </is>
      </c>
    </row>
    <row r="1556">
      <c r="A1556" s="37" t="inlineStr">
        <is>
          <t>Barna</t>
        </is>
      </c>
      <c r="B1556" s="37" t="inlineStr">
        <is>
          <t>Narmada Nagar Bilaspur</t>
        </is>
      </c>
      <c r="C1556" s="37" t="inlineStr">
        <is>
          <t>Youth Accenture</t>
        </is>
      </c>
      <c r="D1556" s="37" t="inlineStr">
        <is>
          <t>2026-07-16</t>
        </is>
      </c>
      <c r="E1556" s="37" t="inlineStr">
        <is>
          <t>Process Check</t>
        </is>
      </c>
      <c r="F1556" s="37" t="inlineStr">
        <is>
          <t>Confirm that QAE is collecting student feedback for every batch.</t>
        </is>
      </c>
      <c r="G1556" s="37" t="inlineStr">
        <is>
          <t>All is Well</t>
        </is>
      </c>
    </row>
    <row r="1557">
      <c r="A1557" s="37" t="inlineStr">
        <is>
          <t>Barna</t>
        </is>
      </c>
      <c r="B1557" s="37" t="inlineStr">
        <is>
          <t>Narmada Nagar Bilaspur</t>
        </is>
      </c>
      <c r="C1557" s="37" t="inlineStr">
        <is>
          <t>Youth Accenture</t>
        </is>
      </c>
      <c r="D1557" s="37" t="inlineStr">
        <is>
          <t>2026-07-16</t>
        </is>
      </c>
      <c r="E1557" s="37" t="inlineStr">
        <is>
          <t>Process Check</t>
        </is>
      </c>
      <c r="F1557" s="37" t="inlineStr">
        <is>
          <t>Confirm all centre teams have completed the GROW Manual Course on Skillfy — ask for achievement certificates.</t>
        </is>
      </c>
      <c r="G1557" s="37" t="inlineStr">
        <is>
          <t>All is Well</t>
        </is>
      </c>
    </row>
    <row r="1558">
      <c r="A1558" s="37" t="inlineStr">
        <is>
          <t>Barna</t>
        </is>
      </c>
      <c r="B1558" s="37" t="inlineStr">
        <is>
          <t>Narmada Nagar Bilaspur</t>
        </is>
      </c>
      <c r="C1558" s="37" t="inlineStr">
        <is>
          <t>Youth Accenture</t>
        </is>
      </c>
      <c r="D1558" s="37" t="inlineStr">
        <is>
          <t>2026-07-16</t>
        </is>
      </c>
      <c r="E1558" s="37" t="inlineStr">
        <is>
          <t>Process Check</t>
        </is>
      </c>
      <c r="F1558" s="37" t="inlineStr">
        <is>
          <t>Check AH holds a quality weekly team meeting, documents action points in the weekly meeting format, and sends you a photo on WhatsApp.</t>
        </is>
      </c>
      <c r="G1558" s="37" t="inlineStr">
        <is>
          <t>Need Improvement</t>
        </is>
      </c>
    </row>
    <row r="1559">
      <c r="A1559" s="37" t="inlineStr">
        <is>
          <t>Barna</t>
        </is>
      </c>
      <c r="B1559" s="37" t="inlineStr">
        <is>
          <t>Narmada Nagar Bilaspur</t>
        </is>
      </c>
      <c r="C1559" s="37" t="inlineStr">
        <is>
          <t>Youth Accenture</t>
        </is>
      </c>
      <c r="D1559" s="37" t="inlineStr">
        <is>
          <t>2026-07-16</t>
        </is>
      </c>
      <c r="E1559" s="37" t="inlineStr">
        <is>
          <t>Aspirant Interaction</t>
        </is>
      </c>
      <c r="F1559" s="37" t="inlineStr">
        <is>
          <t>Ask aspirants about the session plan — confirm training is happening as planned?</t>
        </is>
      </c>
      <c r="G1559" s="37" t="inlineStr">
        <is>
          <t>All is Well</t>
        </is>
      </c>
    </row>
    <row r="1560">
      <c r="A1560" s="37" t="inlineStr">
        <is>
          <t>Barna</t>
        </is>
      </c>
      <c r="B1560" s="37" t="inlineStr">
        <is>
          <t>Narmada Nagar Bilaspur</t>
        </is>
      </c>
      <c r="C1560" s="37" t="inlineStr">
        <is>
          <t>Youth Accenture</t>
        </is>
      </c>
      <c r="D1560" s="37" t="inlineStr">
        <is>
          <t>2026-07-16</t>
        </is>
      </c>
      <c r="E1560" s="37" t="inlineStr">
        <is>
          <t>Aspirant Interaction</t>
        </is>
      </c>
      <c r="F1560" s="37" t="inlineStr">
        <is>
          <t>Ask about the quality of Core Employability component delivery (technical centres) and who delivers it.</t>
        </is>
      </c>
      <c r="G1560" s="37" t="inlineStr">
        <is>
          <t>Not Applicable</t>
        </is>
      </c>
    </row>
    <row r="1561">
      <c r="A1561" s="37" t="inlineStr">
        <is>
          <t>Barna</t>
        </is>
      </c>
      <c r="B1561" s="37" t="inlineStr">
        <is>
          <t>Narmada Nagar Bilaspur</t>
        </is>
      </c>
      <c r="C1561" s="37" t="inlineStr">
        <is>
          <t>Youth Accenture</t>
        </is>
      </c>
      <c r="D1561" s="37" t="inlineStr">
        <is>
          <t>2026-07-16</t>
        </is>
      </c>
      <c r="E1561" s="37" t="inlineStr">
        <is>
          <t>Aspirant Interaction</t>
        </is>
      </c>
      <c r="F1561" s="37" t="inlineStr">
        <is>
          <t>Ask whether they are aware of the referral scheme?</t>
        </is>
      </c>
      <c r="G1561" s="37" t="inlineStr">
        <is>
          <t>All is Well</t>
        </is>
      </c>
    </row>
    <row r="1562">
      <c r="A1562" s="37" t="inlineStr">
        <is>
          <t>Barna</t>
        </is>
      </c>
      <c r="B1562" s="37" t="inlineStr">
        <is>
          <t>Narmada Nagar Bilaspur</t>
        </is>
      </c>
      <c r="C1562" s="37" t="inlineStr">
        <is>
          <t>Youth Accenture</t>
        </is>
      </c>
      <c r="D1562" s="37" t="inlineStr">
        <is>
          <t>2026-07-16</t>
        </is>
      </c>
      <c r="E1562" s="37" t="inlineStr">
        <is>
          <t>Aspirant Interaction</t>
        </is>
      </c>
      <c r="F1562" s="37" t="inlineStr">
        <is>
          <t>Ask whether the AH explained the importance of the offer letter and sharing it with us once received for reporting purposes?</t>
        </is>
      </c>
      <c r="G1562" s="37" t="inlineStr">
        <is>
          <t>All is Well</t>
        </is>
      </c>
    </row>
    <row r="1563">
      <c r="A1563" s="37" t="inlineStr">
        <is>
          <t>Barna</t>
        </is>
      </c>
      <c r="B1563" s="37" t="inlineStr">
        <is>
          <t>Narmada Nagar Bilaspur</t>
        </is>
      </c>
      <c r="C1563" s="37" t="inlineStr">
        <is>
          <t>Youth Accenture</t>
        </is>
      </c>
      <c r="D1563" s="37" t="inlineStr">
        <is>
          <t>2026-07-16</t>
        </is>
      </c>
      <c r="E1563" s="37" t="inlineStr">
        <is>
          <t>Aspirant Interaction</t>
        </is>
      </c>
      <c r="F1563" s="37" t="inlineStr">
        <is>
          <t>Ask how many are not interested in jobs — and if so, why they enrolled in the programme?</t>
        </is>
      </c>
      <c r="G1563" s="37" t="inlineStr">
        <is>
          <t>All is Well</t>
        </is>
      </c>
    </row>
    <row r="1564">
      <c r="A1564" s="37" t="inlineStr">
        <is>
          <t>Barna</t>
        </is>
      </c>
      <c r="B1564" s="37" t="inlineStr">
        <is>
          <t>Narmada Nagar Bilaspur</t>
        </is>
      </c>
      <c r="C1564" s="37" t="inlineStr">
        <is>
          <t>Youth Accenture</t>
        </is>
      </c>
      <c r="D1564" s="37" t="inlineStr">
        <is>
          <t>2026-07-16</t>
        </is>
      </c>
      <c r="E1564" s="37" t="inlineStr">
        <is>
          <t>Aspirant Interaction</t>
        </is>
      </c>
      <c r="F1564" s="37" t="inlineStr">
        <is>
          <t>Ask whether they were told the kind of job they would get during counselling?</t>
        </is>
      </c>
      <c r="G1564" s="37" t="inlineStr">
        <is>
          <t>All is Well</t>
        </is>
      </c>
    </row>
    <row r="1565">
      <c r="A1565" s="37" t="inlineStr">
        <is>
          <t>Barna</t>
        </is>
      </c>
      <c r="B1565" s="37" t="inlineStr">
        <is>
          <t>Narmada Nagar Bilaspur</t>
        </is>
      </c>
      <c r="C1565" s="37" t="inlineStr">
        <is>
          <t>Youth Accenture</t>
        </is>
      </c>
      <c r="D1565" s="37" t="inlineStr">
        <is>
          <t>2026-07-16</t>
        </is>
      </c>
      <c r="E1565" s="37" t="inlineStr">
        <is>
          <t>Aspirant Interaction</t>
        </is>
      </c>
      <c r="F1565" s="37" t="inlineStr">
        <is>
          <t>Ask whether they have been given LMS access?</t>
        </is>
      </c>
      <c r="G1565" s="37" t="inlineStr">
        <is>
          <t>All is Well</t>
        </is>
      </c>
    </row>
    <row r="1566">
      <c r="A1566" s="37" t="inlineStr">
        <is>
          <t>Barna</t>
        </is>
      </c>
      <c r="B1566" s="37" t="inlineStr">
        <is>
          <t>Narmada Nagar Bilaspur</t>
        </is>
      </c>
      <c r="C1566" s="37" t="inlineStr">
        <is>
          <t>Youth Accenture</t>
        </is>
      </c>
      <c r="D1566" s="37" t="inlineStr">
        <is>
          <t>2026-07-16</t>
        </is>
      </c>
      <c r="E1566" s="37" t="inlineStr">
        <is>
          <t>Aspirant Interaction</t>
        </is>
      </c>
      <c r="F1566" s="37" t="inlineStr">
        <is>
          <t>Ask whether anyone asked them for money for training or placement?</t>
        </is>
      </c>
      <c r="G1566" s="37" t="inlineStr">
        <is>
          <t>All is Well</t>
        </is>
      </c>
    </row>
    <row r="1567">
      <c r="A1567" s="37" t="inlineStr">
        <is>
          <t>Barna</t>
        </is>
      </c>
      <c r="B1567" s="37" t="inlineStr">
        <is>
          <t>Narmada Nagar Bilaspur</t>
        </is>
      </c>
      <c r="C1567" s="37" t="inlineStr">
        <is>
          <t>Youth Accenture</t>
        </is>
      </c>
      <c r="D1567" s="37" t="inlineStr">
        <is>
          <t>2026-07-16</t>
        </is>
      </c>
      <c r="E1567" s="37" t="inlineStr">
        <is>
          <t>Aspirant Interaction</t>
        </is>
      </c>
      <c r="F1567" s="37" t="inlineStr">
        <is>
          <t>Ask to show their mobile phones — are they enrolled on Skillfy? If not, get them enrolled and give written feedback to trainers and the AH in your presence.</t>
        </is>
      </c>
      <c r="G1567" s="37" t="inlineStr">
        <is>
          <t>All is Well</t>
        </is>
      </c>
    </row>
    <row r="1568">
      <c r="A1568" s="37" t="inlineStr">
        <is>
          <t>Barna</t>
        </is>
      </c>
      <c r="B1568" s="37" t="inlineStr">
        <is>
          <t>Narmada Nagar Bilaspur</t>
        </is>
      </c>
      <c r="C1568" s="37" t="inlineStr">
        <is>
          <t>Youth Accenture</t>
        </is>
      </c>
      <c r="D1568" s="37" t="inlineStr">
        <is>
          <t>2026-07-16</t>
        </is>
      </c>
      <c r="E1568" s="37" t="inlineStr">
        <is>
          <t>Aspirant Interaction</t>
        </is>
      </c>
      <c r="F1568" s="37" t="inlineStr">
        <is>
          <t>Ask about the quality of the hostel and any issues they face.</t>
        </is>
      </c>
      <c r="G1568" s="37" t="inlineStr">
        <is>
          <t>Not Applicable</t>
        </is>
      </c>
    </row>
    <row r="1569">
      <c r="A1569" s="37" t="inlineStr">
        <is>
          <t>Barna</t>
        </is>
      </c>
      <c r="B1569" s="37" t="inlineStr">
        <is>
          <t>Narmada Nagar Bilaspur</t>
        </is>
      </c>
      <c r="C1569" s="37" t="inlineStr">
        <is>
          <t>Youth Accenture</t>
        </is>
      </c>
      <c r="D1569" s="37" t="inlineStr">
        <is>
          <t>2026-07-16</t>
        </is>
      </c>
      <c r="E1569" s="37" t="inlineStr">
        <is>
          <t>Aspirant Interaction</t>
        </is>
      </c>
      <c r="F1569" s="37" t="inlineStr">
        <is>
          <t>Ask a few relevant screening questions to support the 10th-day report and remove non-serious candidates, explaining to them the reasons.</t>
        </is>
      </c>
      <c r="G1569" s="37" t="inlineStr">
        <is>
          <t>All is Well</t>
        </is>
      </c>
    </row>
    <row r="1570">
      <c r="A1570" s="37" t="inlineStr">
        <is>
          <t>Amit Chakraborty</t>
        </is>
      </c>
      <c r="B1570" s="37" t="inlineStr">
        <is>
          <t>Baccha Park</t>
        </is>
      </c>
      <c r="C1570" s="37" t="inlineStr">
        <is>
          <t>GROW Youth-Accenture</t>
        </is>
      </c>
      <c r="D1570" s="37" t="inlineStr">
        <is>
          <t>2026-07-16</t>
        </is>
      </c>
      <c r="E1570" s="37" t="inlineStr">
        <is>
          <t>Data Check</t>
        </is>
      </c>
      <c r="F1570" s="37" t="inlineStr">
        <is>
          <t>Reach the centre on time (unannounced) — confirm the centre opened on time.</t>
        </is>
      </c>
      <c r="G1570" s="37" t="inlineStr">
        <is>
          <t>All is Well</t>
        </is>
      </c>
    </row>
    <row r="1571">
      <c r="A1571" s="37" t="inlineStr">
        <is>
          <t>Amit Chakraborty</t>
        </is>
      </c>
      <c r="B1571" s="37" t="inlineStr">
        <is>
          <t>Baccha Park</t>
        </is>
      </c>
      <c r="C1571" s="37" t="inlineStr">
        <is>
          <t>GROW Youth-Accenture</t>
        </is>
      </c>
      <c r="D1571" s="37" t="inlineStr">
        <is>
          <t>2026-07-16</t>
        </is>
      </c>
      <c r="E1571" s="37" t="inlineStr">
        <is>
          <t>Data Check</t>
        </is>
      </c>
      <c r="F1571" s="37" t="inlineStr">
        <is>
          <t>Check the staff attendance register, the Google Sheet, and geo-tagged photos for aspirants.</t>
        </is>
      </c>
      <c r="G1571" s="37" t="inlineStr">
        <is>
          <t>All is Well</t>
        </is>
      </c>
    </row>
    <row r="1572">
      <c r="A1572" s="37" t="inlineStr">
        <is>
          <t>Amit Chakraborty</t>
        </is>
      </c>
      <c r="B1572" s="37" t="inlineStr">
        <is>
          <t>Baccha Park</t>
        </is>
      </c>
      <c r="C1572" s="37" t="inlineStr">
        <is>
          <t>GROW Youth-Accenture</t>
        </is>
      </c>
      <c r="D1572" s="37" t="inlineStr">
        <is>
          <t>2026-07-16</t>
        </is>
      </c>
      <c r="E1572" s="37" t="inlineStr">
        <is>
          <t>Data Check</t>
        </is>
      </c>
      <c r="F1572" s="37" t="inlineStr">
        <is>
          <t>Check Counselling and Screening Forms of recently started batches.</t>
        </is>
      </c>
      <c r="G1572" s="37" t="inlineStr">
        <is>
          <t>All is Well</t>
        </is>
      </c>
    </row>
    <row r="1573">
      <c r="A1573" s="37" t="inlineStr">
        <is>
          <t>Amit Chakraborty</t>
        </is>
      </c>
      <c r="B1573" s="37" t="inlineStr">
        <is>
          <t>Baccha Park</t>
        </is>
      </c>
      <c r="C1573" s="37" t="inlineStr">
        <is>
          <t>GROW Youth-Accenture</t>
        </is>
      </c>
      <c r="D1573" s="37" t="inlineStr">
        <is>
          <t>2026-07-16</t>
        </is>
      </c>
      <c r="E1573" s="37" t="inlineStr">
        <is>
          <t>Data Check</t>
        </is>
      </c>
      <c r="F1573" s="37" t="inlineStr">
        <is>
          <t>Check Aspirant Registration Forms and related documents.</t>
        </is>
      </c>
      <c r="G1573" s="37" t="inlineStr">
        <is>
          <t>All is Well</t>
        </is>
      </c>
    </row>
    <row r="1574">
      <c r="A1574" s="37" t="inlineStr">
        <is>
          <t>Amit Chakraborty</t>
        </is>
      </c>
      <c r="B1574" s="37" t="inlineStr">
        <is>
          <t>Baccha Park</t>
        </is>
      </c>
      <c r="C1574" s="37" t="inlineStr">
        <is>
          <t>GROW Youth-Accenture</t>
        </is>
      </c>
      <c r="D1574" s="37" t="inlineStr">
        <is>
          <t>2026-07-16</t>
        </is>
      </c>
      <c r="E1574" s="37" t="inlineStr">
        <is>
          <t>Data Check</t>
        </is>
      </c>
      <c r="F1574" s="37" t="inlineStr">
        <is>
          <t>On the GROW portal, confirm all student profile details and batch updates are currect.</t>
        </is>
      </c>
      <c r="G1574" s="37" t="inlineStr">
        <is>
          <t>All is Well</t>
        </is>
      </c>
    </row>
    <row r="1575">
      <c r="A1575" s="37" t="inlineStr">
        <is>
          <t>Amit Chakraborty</t>
        </is>
      </c>
      <c r="B1575" s="37" t="inlineStr">
        <is>
          <t>Baccha Park</t>
        </is>
      </c>
      <c r="C1575" s="37" t="inlineStr">
        <is>
          <t>GROW Youth-Accenture</t>
        </is>
      </c>
      <c r="D1575" s="37" t="inlineStr">
        <is>
          <t>2026-07-16</t>
        </is>
      </c>
      <c r="E1575" s="37" t="inlineStr">
        <is>
          <t>Data Check</t>
        </is>
      </c>
      <c r="F1575" s="37" t="inlineStr">
        <is>
          <t>Verify placement data — randomly call 3–4 alumni placed in the last 3 months to confirm veracity (random selection is essential).</t>
        </is>
      </c>
      <c r="G1575" s="37" t="inlineStr">
        <is>
          <t>Not Applicable</t>
        </is>
      </c>
    </row>
    <row r="1576">
      <c r="A1576" s="37" t="inlineStr">
        <is>
          <t>Amit Chakraborty</t>
        </is>
      </c>
      <c r="B1576" s="37" t="inlineStr">
        <is>
          <t>Baccha Park</t>
        </is>
      </c>
      <c r="C1576" s="37" t="inlineStr">
        <is>
          <t>GROW Youth-Accenture</t>
        </is>
      </c>
      <c r="D1576" s="37" t="inlineStr">
        <is>
          <t>2026-07-16</t>
        </is>
      </c>
      <c r="E1576" s="37" t="inlineStr">
        <is>
          <t>Data Check</t>
        </is>
      </c>
      <c r="F1576" s="37" t="inlineStr">
        <is>
          <t>Verify retention — check the Alumni Hand-holding Format is being updated as designed.</t>
        </is>
      </c>
      <c r="G1576" s="37" t="inlineStr">
        <is>
          <t>All is Well</t>
        </is>
      </c>
    </row>
    <row r="1577">
      <c r="A1577" s="37" t="inlineStr">
        <is>
          <t>Amit Chakraborty</t>
        </is>
      </c>
      <c r="B1577" s="37" t="inlineStr">
        <is>
          <t>Baccha Park</t>
        </is>
      </c>
      <c r="C1577" s="37" t="inlineStr">
        <is>
          <t>GROW Youth-Accenture</t>
        </is>
      </c>
      <c r="D1577" s="37" t="inlineStr">
        <is>
          <t>2026-07-16</t>
        </is>
      </c>
      <c r="E1577" s="37" t="inlineStr">
        <is>
          <t>Data Check</t>
        </is>
      </c>
      <c r="F1577" s="37" t="inlineStr">
        <is>
          <t>Check aspirant Hostel Forms are properly filled or not.</t>
        </is>
      </c>
      <c r="G1577" s="37" t="inlineStr">
        <is>
          <t>Not Applicable</t>
        </is>
      </c>
    </row>
    <row r="1578">
      <c r="A1578" s="37" t="inlineStr">
        <is>
          <t>Amit Chakraborty</t>
        </is>
      </c>
      <c r="B1578" s="37" t="inlineStr">
        <is>
          <t>Baccha Park</t>
        </is>
      </c>
      <c r="C1578" s="37" t="inlineStr">
        <is>
          <t>GROW Youth-Accenture</t>
        </is>
      </c>
      <c r="D1578" s="37" t="inlineStr">
        <is>
          <t>2026-07-16</t>
        </is>
      </c>
      <c r="E1578" s="37" t="inlineStr">
        <is>
          <t>Infra Check</t>
        </is>
      </c>
      <c r="F1578" s="37" t="inlineStr">
        <is>
          <t>Check all CCTV cameras; if any are not working, ask the AH to troubleshoot or call the vendor.</t>
        </is>
      </c>
      <c r="G1578" s="37" t="inlineStr">
        <is>
          <t>Need Improvement</t>
        </is>
      </c>
    </row>
    <row r="1579">
      <c r="A1579" s="37" t="inlineStr">
        <is>
          <t>Amit Chakraborty</t>
        </is>
      </c>
      <c r="B1579" s="37" t="inlineStr">
        <is>
          <t>Baccha Park</t>
        </is>
      </c>
      <c r="C1579" s="37" t="inlineStr">
        <is>
          <t>GROW Youth-Accenture</t>
        </is>
      </c>
      <c r="D1579" s="37" t="inlineStr">
        <is>
          <t>2026-07-16</t>
        </is>
      </c>
      <c r="E1579" s="37" t="inlineStr">
        <is>
          <t>Infra Check</t>
        </is>
      </c>
      <c r="F1579" s="37" t="inlineStr">
        <is>
          <t>Check for any scrap material and get it cleared, with support of Admin</t>
        </is>
      </c>
      <c r="G1579" s="37" t="inlineStr">
        <is>
          <t>Need Improvement</t>
        </is>
      </c>
    </row>
    <row r="1580">
      <c r="A1580" s="37" t="inlineStr">
        <is>
          <t>Amit Chakraborty</t>
        </is>
      </c>
      <c r="B1580" s="37" t="inlineStr">
        <is>
          <t>Baccha Park</t>
        </is>
      </c>
      <c r="C1580" s="37" t="inlineStr">
        <is>
          <t>GROW Youth-Accenture</t>
        </is>
      </c>
      <c r="D1580" s="37" t="inlineStr">
        <is>
          <t>2026-07-16</t>
        </is>
      </c>
      <c r="E1580" s="37" t="inlineStr">
        <is>
          <t>Infra Check</t>
        </is>
      </c>
      <c r="F1580" s="37" t="inlineStr">
        <is>
          <t>Check for any pending infra repairs.</t>
        </is>
      </c>
      <c r="G1580" s="37" t="inlineStr">
        <is>
          <t>Need Improvement</t>
        </is>
      </c>
    </row>
    <row r="1581">
      <c r="A1581" s="37" t="inlineStr">
        <is>
          <t>Amit Chakraborty</t>
        </is>
      </c>
      <c r="B1581" s="37" t="inlineStr">
        <is>
          <t>Baccha Park</t>
        </is>
      </c>
      <c r="C1581" s="37" t="inlineStr">
        <is>
          <t>GROW Youth-Accenture</t>
        </is>
      </c>
      <c r="D1581" s="37" t="inlineStr">
        <is>
          <t>2026-07-16</t>
        </is>
      </c>
      <c r="E1581" s="37" t="inlineStr">
        <is>
          <t>Infra Check</t>
        </is>
      </c>
      <c r="F1581" s="37" t="inlineStr">
        <is>
          <t>Check whether any fire extinguishers have expired (check the needle and expiry date both).</t>
        </is>
      </c>
      <c r="G1581" s="37" t="inlineStr">
        <is>
          <t>All is Well</t>
        </is>
      </c>
    </row>
    <row r="1582">
      <c r="A1582" s="37" t="inlineStr">
        <is>
          <t>Amit Chakraborty</t>
        </is>
      </c>
      <c r="B1582" s="37" t="inlineStr">
        <is>
          <t>Baccha Park</t>
        </is>
      </c>
      <c r="C1582" s="37" t="inlineStr">
        <is>
          <t>GROW Youth-Accenture</t>
        </is>
      </c>
      <c r="D1582" s="37" t="inlineStr">
        <is>
          <t>2026-07-16</t>
        </is>
      </c>
      <c r="E1582" s="37" t="inlineStr">
        <is>
          <t>Infra Check</t>
        </is>
      </c>
      <c r="F1582" s="37" t="inlineStr">
        <is>
          <t>Check basic cleanliness of the washrooms and the centre.</t>
        </is>
      </c>
      <c r="G1582" s="37" t="inlineStr">
        <is>
          <t>All is Well</t>
        </is>
      </c>
    </row>
    <row r="1583">
      <c r="A1583" s="37" t="inlineStr">
        <is>
          <t>Amit Chakraborty</t>
        </is>
      </c>
      <c r="B1583" s="37" t="inlineStr">
        <is>
          <t>Baccha Park</t>
        </is>
      </c>
      <c r="C1583" s="37" t="inlineStr">
        <is>
          <t>GROW Youth-Accenture</t>
        </is>
      </c>
      <c r="D1583" s="37" t="inlineStr">
        <is>
          <t>2026-07-16</t>
        </is>
      </c>
      <c r="E1583" s="37" t="inlineStr">
        <is>
          <t>Infra Check</t>
        </is>
      </c>
      <c r="F1583" s="37" t="inlineStr">
        <is>
          <t>Confirm the correct program and partner logos are displayed.</t>
        </is>
      </c>
      <c r="G1583" s="37" t="inlineStr">
        <is>
          <t>All is Well</t>
        </is>
      </c>
    </row>
    <row r="1584">
      <c r="A1584" s="37" t="inlineStr">
        <is>
          <t>Amit Chakraborty</t>
        </is>
      </c>
      <c r="B1584" s="37" t="inlineStr">
        <is>
          <t>Baccha Park</t>
        </is>
      </c>
      <c r="C1584" s="37" t="inlineStr">
        <is>
          <t>GROW Youth-Accenture</t>
        </is>
      </c>
      <c r="D1584" s="37" t="inlineStr">
        <is>
          <t>2026-07-16</t>
        </is>
      </c>
      <c r="E1584" s="37" t="inlineStr">
        <is>
          <t>Infra Check</t>
        </is>
      </c>
      <c r="F1584" s="37" t="inlineStr">
        <is>
          <t>Check the status of digital infra — PCs, smartboards, tablets, laptops, etc.</t>
        </is>
      </c>
      <c r="G1584" s="37" t="inlineStr">
        <is>
          <t>All is Well</t>
        </is>
      </c>
    </row>
    <row r="1585">
      <c r="A1585" s="37" t="inlineStr">
        <is>
          <t>Amit Chakraborty</t>
        </is>
      </c>
      <c r="B1585" s="37" t="inlineStr">
        <is>
          <t>Baccha Park</t>
        </is>
      </c>
      <c r="C1585" s="37" t="inlineStr">
        <is>
          <t>GROW Youth-Accenture</t>
        </is>
      </c>
      <c r="D1585" s="37" t="inlineStr">
        <is>
          <t>2026-07-16</t>
        </is>
      </c>
      <c r="E1585" s="37" t="inlineStr">
        <is>
          <t>Infra Check</t>
        </is>
      </c>
      <c r="F1585" s="37" t="inlineStr">
        <is>
          <t>Make a quick hostel visit; have lunch there if possible to test the food quality.</t>
        </is>
      </c>
      <c r="G1585" s="37" t="inlineStr">
        <is>
          <t>Not Applicable</t>
        </is>
      </c>
    </row>
    <row r="1586">
      <c r="A1586" s="37" t="inlineStr">
        <is>
          <t>Amit Chakraborty</t>
        </is>
      </c>
      <c r="B1586" s="37" t="inlineStr">
        <is>
          <t>Baccha Park</t>
        </is>
      </c>
      <c r="C1586" s="37" t="inlineStr">
        <is>
          <t>GROW Youth-Accenture</t>
        </is>
      </c>
      <c r="D1586" s="37" t="inlineStr">
        <is>
          <t>2026-07-16</t>
        </is>
      </c>
      <c r="E1586" s="37" t="inlineStr">
        <is>
          <t>Process Check</t>
        </is>
      </c>
      <c r="F1586" s="37" t="inlineStr">
        <is>
          <t>Refer to the activity planner — check if any activities are delayed.</t>
        </is>
      </c>
      <c r="G1586" s="37" t="inlineStr">
        <is>
          <t>All is Well</t>
        </is>
      </c>
    </row>
    <row r="1587">
      <c r="A1587" s="37" t="inlineStr">
        <is>
          <t>Amit Chakraborty</t>
        </is>
      </c>
      <c r="B1587" s="37" t="inlineStr">
        <is>
          <t>Baccha Park</t>
        </is>
      </c>
      <c r="C1587" s="37" t="inlineStr">
        <is>
          <t>GROW Youth-Accenture</t>
        </is>
      </c>
      <c r="D1587" s="37" t="inlineStr">
        <is>
          <t>2026-07-16</t>
        </is>
      </c>
      <c r="E1587" s="37" t="inlineStr">
        <is>
          <t>Process Check</t>
        </is>
      </c>
      <c r="F1587" s="37" t="inlineStr">
        <is>
          <t>Check planning for the next batch-start announcement.</t>
        </is>
      </c>
      <c r="G1587" s="37" t="inlineStr">
        <is>
          <t>All is Well</t>
        </is>
      </c>
    </row>
    <row r="1588">
      <c r="A1588" s="37" t="inlineStr">
        <is>
          <t>Amit Chakraborty</t>
        </is>
      </c>
      <c r="B1588" s="37" t="inlineStr">
        <is>
          <t>Baccha Park</t>
        </is>
      </c>
      <c r="C1588" s="37" t="inlineStr">
        <is>
          <t>GROW Youth-Accenture</t>
        </is>
      </c>
      <c r="D1588" s="37" t="inlineStr">
        <is>
          <t>2026-07-16</t>
        </is>
      </c>
      <c r="E1588" s="37" t="inlineStr">
        <is>
          <t>Process Check</t>
        </is>
      </c>
      <c r="F1588" s="37" t="inlineStr">
        <is>
          <t>Check if any hiring is delayed and plan a resolution.</t>
        </is>
      </c>
      <c r="G1588" s="37" t="inlineStr">
        <is>
          <t>All is Well</t>
        </is>
      </c>
    </row>
    <row r="1589">
      <c r="A1589" s="37" t="inlineStr">
        <is>
          <t>Amit Chakraborty</t>
        </is>
      </c>
      <c r="B1589" s="37" t="inlineStr">
        <is>
          <t>Baccha Park</t>
        </is>
      </c>
      <c r="C1589" s="37" t="inlineStr">
        <is>
          <t>GROW Youth-Accenture</t>
        </is>
      </c>
      <c r="D1589" s="37" t="inlineStr">
        <is>
          <t>2026-07-16</t>
        </is>
      </c>
      <c r="E1589" s="37" t="inlineStr">
        <is>
          <t>Process Check</t>
        </is>
      </c>
      <c r="F1589" s="37" t="inlineStr">
        <is>
          <t>Check the CA’s diary — is CA guided daily by the AH during planning days?</t>
        </is>
      </c>
      <c r="G1589" s="37" t="inlineStr">
        <is>
          <t>Need Improvement</t>
        </is>
      </c>
    </row>
    <row r="1590">
      <c r="A1590" s="37" t="inlineStr">
        <is>
          <t>Amit Chakraborty</t>
        </is>
      </c>
      <c r="B1590" s="37" t="inlineStr">
        <is>
          <t>Baccha Park</t>
        </is>
      </c>
      <c r="C1590" s="37" t="inlineStr">
        <is>
          <t>GROW Youth-Accenture</t>
        </is>
      </c>
      <c r="D1590" s="37" t="inlineStr">
        <is>
          <t>2026-07-16</t>
        </is>
      </c>
      <c r="E1590" s="37" t="inlineStr">
        <is>
          <t>Process Check</t>
        </is>
      </c>
      <c r="F1590" s="37" t="inlineStr">
        <is>
          <t>Check the AH is regularly meeting employers (in person and online) and updating the centre’s Top 20 Employer format.</t>
        </is>
      </c>
      <c r="G1590" s="37" t="inlineStr">
        <is>
          <t>All is Well</t>
        </is>
      </c>
    </row>
    <row r="1591">
      <c r="A1591" s="37" t="inlineStr">
        <is>
          <t>Amit Chakraborty</t>
        </is>
      </c>
      <c r="B1591" s="37" t="inlineStr">
        <is>
          <t>Baccha Park</t>
        </is>
      </c>
      <c r="C1591" s="37" t="inlineStr">
        <is>
          <t>GROW Youth-Accenture</t>
        </is>
      </c>
      <c r="D1591" s="37" t="inlineStr">
        <is>
          <t>2026-07-16</t>
        </is>
      </c>
      <c r="E1591" s="37" t="inlineStr">
        <is>
          <t>Process Check</t>
        </is>
      </c>
      <c r="F1591" s="37" t="inlineStr">
        <is>
          <t>Confirm all new employers are registered on portal as per new process.</t>
        </is>
      </c>
      <c r="G1591" s="37" t="inlineStr">
        <is>
          <t>All is Well</t>
        </is>
      </c>
    </row>
    <row r="1592">
      <c r="A1592" s="37" t="inlineStr">
        <is>
          <t>Amit Chakraborty</t>
        </is>
      </c>
      <c r="B1592" s="37" t="inlineStr">
        <is>
          <t>Baccha Park</t>
        </is>
      </c>
      <c r="C1592" s="37" t="inlineStr">
        <is>
          <t>GROW Youth-Accenture</t>
        </is>
      </c>
      <c r="D1592" s="37" t="inlineStr">
        <is>
          <t>2026-07-16</t>
        </is>
      </c>
      <c r="E1592" s="37" t="inlineStr">
        <is>
          <t>Process Check</t>
        </is>
      </c>
      <c r="F1592" s="37" t="inlineStr">
        <is>
          <t>Confirm 100% of enrolled students undergone screening (for technical courses).</t>
        </is>
      </c>
      <c r="G1592" s="37" t="inlineStr">
        <is>
          <t>Not Applicable</t>
        </is>
      </c>
    </row>
    <row r="1593">
      <c r="A1593" s="37" t="inlineStr">
        <is>
          <t>Amit Chakraborty</t>
        </is>
      </c>
      <c r="B1593" s="37" t="inlineStr">
        <is>
          <t>Baccha Park</t>
        </is>
      </c>
      <c r="C1593" s="37" t="inlineStr">
        <is>
          <t>GROW Youth-Accenture</t>
        </is>
      </c>
      <c r="D1593" s="37" t="inlineStr">
        <is>
          <t>2026-07-16</t>
        </is>
      </c>
      <c r="E1593" s="37" t="inlineStr">
        <is>
          <t>Process Check</t>
        </is>
      </c>
      <c r="F1593" s="37" t="inlineStr">
        <is>
          <t>Confirm ESA is done (in GROW full ESA and in Technical courses relevant sections of Core Employability Part).</t>
        </is>
      </c>
      <c r="G1593" s="37" t="inlineStr">
        <is>
          <t>All is Well</t>
        </is>
      </c>
    </row>
    <row r="1594">
      <c r="A1594" s="37" t="inlineStr">
        <is>
          <t>Amit Chakraborty</t>
        </is>
      </c>
      <c r="B1594" s="37" t="inlineStr">
        <is>
          <t>Baccha Park</t>
        </is>
      </c>
      <c r="C1594" s="37" t="inlineStr">
        <is>
          <t>GROW Youth-Accenture</t>
        </is>
      </c>
      <c r="D1594" s="37" t="inlineStr">
        <is>
          <t>2026-07-16</t>
        </is>
      </c>
      <c r="E1594" s="37" t="inlineStr">
        <is>
          <t>Process Check</t>
        </is>
      </c>
      <c r="F1594" s="37" t="inlineStr">
        <is>
          <t>Check is AH giving capstone project in GROW Tech.</t>
        </is>
      </c>
      <c r="G1594" s="37" t="inlineStr">
        <is>
          <t>Not Applicable</t>
        </is>
      </c>
    </row>
    <row r="1595">
      <c r="A1595" s="37" t="inlineStr">
        <is>
          <t>Amit Chakraborty</t>
        </is>
      </c>
      <c r="B1595" s="37" t="inlineStr">
        <is>
          <t>Baccha Park</t>
        </is>
      </c>
      <c r="C1595" s="37" t="inlineStr">
        <is>
          <t>GROW Youth-Accenture</t>
        </is>
      </c>
      <c r="D1595" s="37" t="inlineStr">
        <is>
          <t>2026-07-16</t>
        </is>
      </c>
      <c r="E1595" s="37" t="inlineStr">
        <is>
          <t>Process Check</t>
        </is>
      </c>
      <c r="F1595" s="37" t="inlineStr">
        <is>
          <t>Check is AH planning OJT as per guidelines and proofs are collected for technical courses.</t>
        </is>
      </c>
      <c r="G1595" s="37" t="inlineStr">
        <is>
          <t>Not Applicable</t>
        </is>
      </c>
    </row>
    <row r="1596">
      <c r="A1596" s="37" t="inlineStr">
        <is>
          <t>Amit Chakraborty</t>
        </is>
      </c>
      <c r="B1596" s="37" t="inlineStr">
        <is>
          <t>Baccha Park</t>
        </is>
      </c>
      <c r="C1596" s="37" t="inlineStr">
        <is>
          <t>GROW Youth-Accenture</t>
        </is>
      </c>
      <c r="D1596" s="37" t="inlineStr">
        <is>
          <t>2026-07-16</t>
        </is>
      </c>
      <c r="E1596" s="37" t="inlineStr">
        <is>
          <t>Process Check</t>
        </is>
      </c>
      <c r="F1596" s="37" t="inlineStr">
        <is>
          <t>Check are trainers contacting aspirants to find reason for their absenteeism of more than 1 day.</t>
        </is>
      </c>
      <c r="G1596" s="37" t="inlineStr">
        <is>
          <t>All is Well</t>
        </is>
      </c>
    </row>
    <row r="1597">
      <c r="A1597" s="37" t="inlineStr">
        <is>
          <t>Amit Chakraborty</t>
        </is>
      </c>
      <c r="B1597" s="37" t="inlineStr">
        <is>
          <t>Baccha Park</t>
        </is>
      </c>
      <c r="C1597" s="37" t="inlineStr">
        <is>
          <t>GROW Youth-Accenture</t>
        </is>
      </c>
      <c r="D1597" s="37" t="inlineStr">
        <is>
          <t>2026-07-16</t>
        </is>
      </c>
      <c r="E1597" s="37" t="inlineStr">
        <is>
          <t>Process Check</t>
        </is>
      </c>
      <c r="F1597" s="37" t="inlineStr">
        <is>
          <t>Check the AH plans monthly enrolment and placement numbers by the 3rd of each month and shares them with second level managers.</t>
        </is>
      </c>
      <c r="G1597" s="37" t="inlineStr">
        <is>
          <t>All is Well</t>
        </is>
      </c>
    </row>
    <row r="1598">
      <c r="A1598" s="37" t="inlineStr">
        <is>
          <t>Amit Chakraborty</t>
        </is>
      </c>
      <c r="B1598" s="37" t="inlineStr">
        <is>
          <t>Baccha Park</t>
        </is>
      </c>
      <c r="C1598" s="37" t="inlineStr">
        <is>
          <t>GROW Youth-Accenture</t>
        </is>
      </c>
      <c r="D1598" s="37" t="inlineStr">
        <is>
          <t>2026-07-16</t>
        </is>
      </c>
      <c r="E1598" s="37" t="inlineStr">
        <is>
          <t>Process Check</t>
        </is>
      </c>
      <c r="F1598" s="37" t="inlineStr">
        <is>
          <t>Check trainers submit aspirants’ placement interest areas to the AH by the batch’s 25th day (in GROW).</t>
        </is>
      </c>
      <c r="G1598" s="37" t="inlineStr">
        <is>
          <t>Need Improvement</t>
        </is>
      </c>
    </row>
    <row r="1599">
      <c r="A1599" s="37" t="inlineStr">
        <is>
          <t>Amit Chakraborty</t>
        </is>
      </c>
      <c r="B1599" s="37" t="inlineStr">
        <is>
          <t>Baccha Park</t>
        </is>
      </c>
      <c r="C1599" s="37" t="inlineStr">
        <is>
          <t>GROW Youth-Accenture</t>
        </is>
      </c>
      <c r="D1599" s="37" t="inlineStr">
        <is>
          <t>2026-07-16</t>
        </is>
      </c>
      <c r="E1599" s="37" t="inlineStr">
        <is>
          <t>Process Check</t>
        </is>
      </c>
      <c r="F1599" s="37" t="inlineStr">
        <is>
          <t>Ckeck For technical programs, placement is done only in technical jobs,on which aspirants are trained and relevant emplyers are identified by 45th day.</t>
        </is>
      </c>
      <c r="G1599" s="37" t="inlineStr">
        <is>
          <t>Not Applicable</t>
        </is>
      </c>
    </row>
    <row r="1600">
      <c r="A1600" s="37" t="inlineStr">
        <is>
          <t>Amit Chakraborty</t>
        </is>
      </c>
      <c r="B1600" s="37" t="inlineStr">
        <is>
          <t>Baccha Park</t>
        </is>
      </c>
      <c r="C1600" s="37" t="inlineStr">
        <is>
          <t>GROW Youth-Accenture</t>
        </is>
      </c>
      <c r="D1600" s="37" t="inlineStr">
        <is>
          <t>2026-07-16</t>
        </is>
      </c>
      <c r="E1600" s="37" t="inlineStr">
        <is>
          <t>Process Check</t>
        </is>
      </c>
      <c r="F1600" s="37" t="inlineStr">
        <is>
          <t>Check the AH follows EP guidelines and minimum benchmark salary guidelines.</t>
        </is>
      </c>
      <c r="G1600" s="37" t="inlineStr">
        <is>
          <t>All is Well</t>
        </is>
      </c>
    </row>
    <row r="1601">
      <c r="A1601" s="37" t="inlineStr">
        <is>
          <t>Amit Chakraborty</t>
        </is>
      </c>
      <c r="B1601" s="37" t="inlineStr">
        <is>
          <t>Baccha Park</t>
        </is>
      </c>
      <c r="C1601" s="37" t="inlineStr">
        <is>
          <t>GROW Youth-Accenture</t>
        </is>
      </c>
      <c r="D1601" s="37" t="inlineStr">
        <is>
          <t>2026-07-16</t>
        </is>
      </c>
      <c r="E1601" s="37" t="inlineStr">
        <is>
          <t>Process Check</t>
        </is>
      </c>
      <c r="F1601" s="37" t="inlineStr">
        <is>
          <t>Check that AH is enrolling only the right traget group in the program -as per the defined target.</t>
        </is>
      </c>
      <c r="G1601" s="37" t="inlineStr">
        <is>
          <t>All is Well</t>
        </is>
      </c>
    </row>
    <row r="1602">
      <c r="A1602" s="37" t="inlineStr">
        <is>
          <t>Amit Chakraborty</t>
        </is>
      </c>
      <c r="B1602" s="37" t="inlineStr">
        <is>
          <t>Baccha Park</t>
        </is>
      </c>
      <c r="C1602" s="37" t="inlineStr">
        <is>
          <t>GROW Youth-Accenture</t>
        </is>
      </c>
      <c r="D1602" s="37" t="inlineStr">
        <is>
          <t>2026-07-16</t>
        </is>
      </c>
      <c r="E1602" s="37" t="inlineStr">
        <is>
          <t>Process Check</t>
        </is>
      </c>
      <c r="F1602" s="37" t="inlineStr">
        <is>
          <t>Check the AH announces the next batch-start date by the 3rd of the month on all notice boards — focus on Zero-Day start.</t>
        </is>
      </c>
      <c r="G1602" s="37" t="inlineStr">
        <is>
          <t>All is Well</t>
        </is>
      </c>
    </row>
    <row r="1603">
      <c r="A1603" s="37" t="inlineStr">
        <is>
          <t>Amit Chakraborty</t>
        </is>
      </c>
      <c r="B1603" s="37" t="inlineStr">
        <is>
          <t>Baccha Park</t>
        </is>
      </c>
      <c r="C1603" s="37" t="inlineStr">
        <is>
          <t>GROW Youth-Accenture</t>
        </is>
      </c>
      <c r="D1603" s="37" t="inlineStr">
        <is>
          <t>2026-07-16</t>
        </is>
      </c>
      <c r="E1603" s="37" t="inlineStr">
        <is>
          <t>Process Check</t>
        </is>
      </c>
      <c r="F1603" s="37" t="inlineStr">
        <is>
          <t>Check the Aspirant Mock Interview Score Tracker is updated after every mock interview in the L&amp;D Google Sheet.</t>
        </is>
      </c>
      <c r="G1603" s="37" t="inlineStr">
        <is>
          <t>All is Well</t>
        </is>
      </c>
    </row>
    <row r="1604">
      <c r="A1604" s="37" t="inlineStr">
        <is>
          <t>Amit Chakraborty</t>
        </is>
      </c>
      <c r="B1604" s="37" t="inlineStr">
        <is>
          <t>Baccha Park</t>
        </is>
      </c>
      <c r="C1604" s="37" t="inlineStr">
        <is>
          <t>GROW Youth-Accenture</t>
        </is>
      </c>
      <c r="D1604" s="37" t="inlineStr">
        <is>
          <t>2026-07-16</t>
        </is>
      </c>
      <c r="E1604" s="37" t="inlineStr">
        <is>
          <t>Process Check</t>
        </is>
      </c>
      <c r="F1604" s="37" t="inlineStr">
        <is>
          <t>Confirm NPS (Net Promoter Score) is collected at MSDF centres.</t>
        </is>
      </c>
      <c r="G1604" s="37" t="inlineStr">
        <is>
          <t>Not Applicable</t>
        </is>
      </c>
    </row>
    <row r="1605">
      <c r="A1605" s="37" t="inlineStr">
        <is>
          <t>Amit Chakraborty</t>
        </is>
      </c>
      <c r="B1605" s="37" t="inlineStr">
        <is>
          <t>Baccha Park</t>
        </is>
      </c>
      <c r="C1605" s="37" t="inlineStr">
        <is>
          <t>GROW Youth-Accenture</t>
        </is>
      </c>
      <c r="D1605" s="37" t="inlineStr">
        <is>
          <t>2026-07-16</t>
        </is>
      </c>
      <c r="E1605" s="37" t="inlineStr">
        <is>
          <t>Process Check</t>
        </is>
      </c>
      <c r="F1605" s="37" t="inlineStr">
        <is>
          <t>Confirm that QAE is collecting student feedback for every batch.</t>
        </is>
      </c>
      <c r="G1605" s="37" t="inlineStr">
        <is>
          <t>All is Well</t>
        </is>
      </c>
    </row>
    <row r="1606">
      <c r="A1606" s="37" t="inlineStr">
        <is>
          <t>Amit Chakraborty</t>
        </is>
      </c>
      <c r="B1606" s="37" t="inlineStr">
        <is>
          <t>Baccha Park</t>
        </is>
      </c>
      <c r="C1606" s="37" t="inlineStr">
        <is>
          <t>GROW Youth-Accenture</t>
        </is>
      </c>
      <c r="D1606" s="37" t="inlineStr">
        <is>
          <t>2026-07-16</t>
        </is>
      </c>
      <c r="E1606" s="37" t="inlineStr">
        <is>
          <t>Process Check</t>
        </is>
      </c>
      <c r="F1606" s="37" t="inlineStr">
        <is>
          <t>Confirm all centre teams have completed the GROW Manual Course on Skillfy — ask for achievement certificates.</t>
        </is>
      </c>
      <c r="G1606" s="37" t="inlineStr">
        <is>
          <t>All is Well</t>
        </is>
      </c>
    </row>
    <row r="1607">
      <c r="A1607" s="37" t="inlineStr">
        <is>
          <t>Amit Chakraborty</t>
        </is>
      </c>
      <c r="B1607" s="37" t="inlineStr">
        <is>
          <t>Baccha Park</t>
        </is>
      </c>
      <c r="C1607" s="37" t="inlineStr">
        <is>
          <t>GROW Youth-Accenture</t>
        </is>
      </c>
      <c r="D1607" s="37" t="inlineStr">
        <is>
          <t>2026-07-16</t>
        </is>
      </c>
      <c r="E1607" s="37" t="inlineStr">
        <is>
          <t>Process Check</t>
        </is>
      </c>
      <c r="F1607" s="37" t="inlineStr">
        <is>
          <t>Check AH holds a quality weekly team meeting, documents action points in the weekly meeting format, and sends you a photo on WhatsApp.</t>
        </is>
      </c>
      <c r="G1607" s="37" t="inlineStr">
        <is>
          <t>All is Well</t>
        </is>
      </c>
    </row>
    <row r="1608">
      <c r="A1608" s="37" t="inlineStr">
        <is>
          <t>Amit Chakraborty</t>
        </is>
      </c>
      <c r="B1608" s="37" t="inlineStr">
        <is>
          <t>Baccha Park</t>
        </is>
      </c>
      <c r="C1608" s="37" t="inlineStr">
        <is>
          <t>GROW Youth-Accenture</t>
        </is>
      </c>
      <c r="D1608" s="37" t="inlineStr">
        <is>
          <t>2026-07-16</t>
        </is>
      </c>
      <c r="E1608" s="37" t="inlineStr">
        <is>
          <t>Aspirant Interaction</t>
        </is>
      </c>
      <c r="F1608" s="37" t="inlineStr">
        <is>
          <t>Ask aspirants about the session plan — confirm training is happening as planned?</t>
        </is>
      </c>
      <c r="G1608" s="37" t="inlineStr">
        <is>
          <t>All is Well</t>
        </is>
      </c>
    </row>
    <row r="1609">
      <c r="A1609" s="37" t="inlineStr">
        <is>
          <t>Amit Chakraborty</t>
        </is>
      </c>
      <c r="B1609" s="37" t="inlineStr">
        <is>
          <t>Baccha Park</t>
        </is>
      </c>
      <c r="C1609" s="37" t="inlineStr">
        <is>
          <t>GROW Youth-Accenture</t>
        </is>
      </c>
      <c r="D1609" s="37" t="inlineStr">
        <is>
          <t>2026-07-16</t>
        </is>
      </c>
      <c r="E1609" s="37" t="inlineStr">
        <is>
          <t>Aspirant Interaction</t>
        </is>
      </c>
      <c r="F1609" s="37" t="inlineStr">
        <is>
          <t>Ask about the quality of Core Employability component delivery (technical centres) and who delivers it.</t>
        </is>
      </c>
      <c r="G1609" s="37" t="inlineStr">
        <is>
          <t>Not Applicable</t>
        </is>
      </c>
    </row>
    <row r="1610">
      <c r="A1610" s="37" t="inlineStr">
        <is>
          <t>Amit Chakraborty</t>
        </is>
      </c>
      <c r="B1610" s="37" t="inlineStr">
        <is>
          <t>Baccha Park</t>
        </is>
      </c>
      <c r="C1610" s="37" t="inlineStr">
        <is>
          <t>GROW Youth-Accenture</t>
        </is>
      </c>
      <c r="D1610" s="37" t="inlineStr">
        <is>
          <t>2026-07-16</t>
        </is>
      </c>
      <c r="E1610" s="37" t="inlineStr">
        <is>
          <t>Aspirant Interaction</t>
        </is>
      </c>
      <c r="F1610" s="37" t="inlineStr">
        <is>
          <t>Ask whether they are aware of the referral scheme?</t>
        </is>
      </c>
      <c r="G1610" s="37" t="inlineStr">
        <is>
          <t>All is Well</t>
        </is>
      </c>
    </row>
    <row r="1611">
      <c r="A1611" s="37" t="inlineStr">
        <is>
          <t>Amit Chakraborty</t>
        </is>
      </c>
      <c r="B1611" s="37" t="inlineStr">
        <is>
          <t>Baccha Park</t>
        </is>
      </c>
      <c r="C1611" s="37" t="inlineStr">
        <is>
          <t>GROW Youth-Accenture</t>
        </is>
      </c>
      <c r="D1611" s="37" t="inlineStr">
        <is>
          <t>2026-07-16</t>
        </is>
      </c>
      <c r="E1611" s="37" t="inlineStr">
        <is>
          <t>Aspirant Interaction</t>
        </is>
      </c>
      <c r="F1611" s="37" t="inlineStr">
        <is>
          <t>Ask whether the AH explained the importance of the offer letter and sharing it with us once received for reporting purposes?</t>
        </is>
      </c>
      <c r="G1611" s="37" t="inlineStr">
        <is>
          <t>All is Well</t>
        </is>
      </c>
    </row>
    <row r="1612">
      <c r="A1612" s="37" t="inlineStr">
        <is>
          <t>Amit Chakraborty</t>
        </is>
      </c>
      <c r="B1612" s="37" t="inlineStr">
        <is>
          <t>Baccha Park</t>
        </is>
      </c>
      <c r="C1612" s="37" t="inlineStr">
        <is>
          <t>GROW Youth-Accenture</t>
        </is>
      </c>
      <c r="D1612" s="37" t="inlineStr">
        <is>
          <t>2026-07-16</t>
        </is>
      </c>
      <c r="E1612" s="37" t="inlineStr">
        <is>
          <t>Aspirant Interaction</t>
        </is>
      </c>
      <c r="F1612" s="37" t="inlineStr">
        <is>
          <t>Ask how many are not interested in jobs — and if so, why they enrolled in the programme?</t>
        </is>
      </c>
      <c r="G1612" s="37" t="inlineStr">
        <is>
          <t>All is Well</t>
        </is>
      </c>
    </row>
    <row r="1613">
      <c r="A1613" s="37" t="inlineStr">
        <is>
          <t>Amit Chakraborty</t>
        </is>
      </c>
      <c r="B1613" s="37" t="inlineStr">
        <is>
          <t>Baccha Park</t>
        </is>
      </c>
      <c r="C1613" s="37" t="inlineStr">
        <is>
          <t>GROW Youth-Accenture</t>
        </is>
      </c>
      <c r="D1613" s="37" t="inlineStr">
        <is>
          <t>2026-07-16</t>
        </is>
      </c>
      <c r="E1613" s="37" t="inlineStr">
        <is>
          <t>Aspirant Interaction</t>
        </is>
      </c>
      <c r="F1613" s="37" t="inlineStr">
        <is>
          <t>Ask whether they were told the kind of job they would get during counselling?</t>
        </is>
      </c>
      <c r="G1613" s="37" t="inlineStr">
        <is>
          <t>All is Well</t>
        </is>
      </c>
    </row>
    <row r="1614">
      <c r="A1614" s="37" t="inlineStr">
        <is>
          <t>Amit Chakraborty</t>
        </is>
      </c>
      <c r="B1614" s="37" t="inlineStr">
        <is>
          <t>Baccha Park</t>
        </is>
      </c>
      <c r="C1614" s="37" t="inlineStr">
        <is>
          <t>GROW Youth-Accenture</t>
        </is>
      </c>
      <c r="D1614" s="37" t="inlineStr">
        <is>
          <t>2026-07-16</t>
        </is>
      </c>
      <c r="E1614" s="37" t="inlineStr">
        <is>
          <t>Aspirant Interaction</t>
        </is>
      </c>
      <c r="F1614" s="37" t="inlineStr">
        <is>
          <t>Ask whether they have been given LMS access?</t>
        </is>
      </c>
      <c r="G1614" s="37" t="inlineStr">
        <is>
          <t>All is Well</t>
        </is>
      </c>
    </row>
    <row r="1615">
      <c r="A1615" s="37" t="inlineStr">
        <is>
          <t>Amit Chakraborty</t>
        </is>
      </c>
      <c r="B1615" s="37" t="inlineStr">
        <is>
          <t>Baccha Park</t>
        </is>
      </c>
      <c r="C1615" s="37" t="inlineStr">
        <is>
          <t>GROW Youth-Accenture</t>
        </is>
      </c>
      <c r="D1615" s="37" t="inlineStr">
        <is>
          <t>2026-07-16</t>
        </is>
      </c>
      <c r="E1615" s="37" t="inlineStr">
        <is>
          <t>Aspirant Interaction</t>
        </is>
      </c>
      <c r="F1615" s="37" t="inlineStr">
        <is>
          <t>Ask whether anyone asked them for money for training or placement?</t>
        </is>
      </c>
      <c r="G1615" s="37" t="inlineStr">
        <is>
          <t>All is Well</t>
        </is>
      </c>
    </row>
    <row r="1616">
      <c r="A1616" s="37" t="inlineStr">
        <is>
          <t>Amit Chakraborty</t>
        </is>
      </c>
      <c r="B1616" s="37" t="inlineStr">
        <is>
          <t>Baccha Park</t>
        </is>
      </c>
      <c r="C1616" s="37" t="inlineStr">
        <is>
          <t>GROW Youth-Accenture</t>
        </is>
      </c>
      <c r="D1616" s="37" t="inlineStr">
        <is>
          <t>2026-07-16</t>
        </is>
      </c>
      <c r="E1616" s="37" t="inlineStr">
        <is>
          <t>Aspirant Interaction</t>
        </is>
      </c>
      <c r="F1616" s="37" t="inlineStr">
        <is>
          <t>Ask to show their mobile phones — are they enrolled on Skillfy? If not, get them enrolled and give written feedback to trainers and the AH in your presence.</t>
        </is>
      </c>
      <c r="G1616" s="37" t="inlineStr">
        <is>
          <t>All is Well</t>
        </is>
      </c>
    </row>
    <row r="1617">
      <c r="A1617" s="37" t="inlineStr">
        <is>
          <t>Amit Chakraborty</t>
        </is>
      </c>
      <c r="B1617" s="37" t="inlineStr">
        <is>
          <t>Baccha Park</t>
        </is>
      </c>
      <c r="C1617" s="37" t="inlineStr">
        <is>
          <t>GROW Youth-Accenture</t>
        </is>
      </c>
      <c r="D1617" s="37" t="inlineStr">
        <is>
          <t>2026-07-16</t>
        </is>
      </c>
      <c r="E1617" s="37" t="inlineStr">
        <is>
          <t>Aspirant Interaction</t>
        </is>
      </c>
      <c r="F1617" s="37" t="inlineStr">
        <is>
          <t>Ask about the quality of the hostel and any issues they face.</t>
        </is>
      </c>
      <c r="G1617" s="37" t="inlineStr">
        <is>
          <t>Not Applicable</t>
        </is>
      </c>
    </row>
    <row r="1618">
      <c r="A1618" s="37" t="inlineStr">
        <is>
          <t>Amit Chakraborty</t>
        </is>
      </c>
      <c r="B1618" s="37" t="inlineStr">
        <is>
          <t>Baccha Park</t>
        </is>
      </c>
      <c r="C1618" s="37" t="inlineStr">
        <is>
          <t>GROW Youth-Accenture</t>
        </is>
      </c>
      <c r="D1618" s="37" t="inlineStr">
        <is>
          <t>2026-07-16</t>
        </is>
      </c>
      <c r="E1618" s="37" t="inlineStr">
        <is>
          <t>Aspirant Interaction</t>
        </is>
      </c>
      <c r="F1618" s="37" t="inlineStr">
        <is>
          <t>Ask a few relevant screening questions to support the 10th-day report and remove non-serious candidates, explaining to them the reasons.</t>
        </is>
      </c>
      <c r="G1618" s="37" t="inlineStr">
        <is>
          <t>All is Well</t>
        </is>
      </c>
    </row>
    <row r="1619">
      <c r="A1619" s="37" t="inlineStr">
        <is>
          <t>Barna</t>
        </is>
      </c>
      <c r="B1619" s="37" t="inlineStr">
        <is>
          <t>Lakhe Nagar Raipur</t>
        </is>
      </c>
      <c r="C1619" s="37" t="inlineStr">
        <is>
          <t>Youth Accenture</t>
        </is>
      </c>
      <c r="D1619" s="37" t="inlineStr">
        <is>
          <t>2026-07-14</t>
        </is>
      </c>
      <c r="E1619" s="37" t="inlineStr">
        <is>
          <t>Data Check</t>
        </is>
      </c>
      <c r="F1619" s="37" t="inlineStr">
        <is>
          <t>Reach the centre on time (unannounced) — confirm the centre opened on time.</t>
        </is>
      </c>
      <c r="G1619" s="37" t="inlineStr">
        <is>
          <t>All is Well</t>
        </is>
      </c>
    </row>
    <row r="1620">
      <c r="A1620" s="37" t="inlineStr">
        <is>
          <t>Barna</t>
        </is>
      </c>
      <c r="B1620" s="37" t="inlineStr">
        <is>
          <t>Lakhe Nagar Raipur</t>
        </is>
      </c>
      <c r="C1620" s="37" t="inlineStr">
        <is>
          <t>Youth Accenture</t>
        </is>
      </c>
      <c r="D1620" s="37" t="inlineStr">
        <is>
          <t>2026-07-14</t>
        </is>
      </c>
      <c r="E1620" s="37" t="inlineStr">
        <is>
          <t>Data Check</t>
        </is>
      </c>
      <c r="F1620" s="37" t="inlineStr">
        <is>
          <t>Check the staff attendance register, the Google Sheet, and geo-tagged photos for aspirants.</t>
        </is>
      </c>
      <c r="G1620" s="37" t="inlineStr">
        <is>
          <t>All is Well</t>
        </is>
      </c>
    </row>
    <row r="1621">
      <c r="A1621" s="37" t="inlineStr">
        <is>
          <t>Barna</t>
        </is>
      </c>
      <c r="B1621" s="37" t="inlineStr">
        <is>
          <t>Lakhe Nagar Raipur</t>
        </is>
      </c>
      <c r="C1621" s="37" t="inlineStr">
        <is>
          <t>Youth Accenture</t>
        </is>
      </c>
      <c r="D1621" s="37" t="inlineStr">
        <is>
          <t>2026-07-14</t>
        </is>
      </c>
      <c r="E1621" s="37" t="inlineStr">
        <is>
          <t>Data Check</t>
        </is>
      </c>
      <c r="F1621" s="37" t="inlineStr">
        <is>
          <t>Check Counselling and Screening Forms of recently started batches.</t>
        </is>
      </c>
      <c r="G1621" s="37" t="inlineStr">
        <is>
          <t>All is Well</t>
        </is>
      </c>
    </row>
    <row r="1622">
      <c r="A1622" s="37" t="inlineStr">
        <is>
          <t>Barna</t>
        </is>
      </c>
      <c r="B1622" s="37" t="inlineStr">
        <is>
          <t>Lakhe Nagar Raipur</t>
        </is>
      </c>
      <c r="C1622" s="37" t="inlineStr">
        <is>
          <t>Youth Accenture</t>
        </is>
      </c>
      <c r="D1622" s="37" t="inlineStr">
        <is>
          <t>2026-07-14</t>
        </is>
      </c>
      <c r="E1622" s="37" t="inlineStr">
        <is>
          <t>Data Check</t>
        </is>
      </c>
      <c r="F1622" s="37" t="inlineStr">
        <is>
          <t>Check Aspirant Registration Forms and related documents.</t>
        </is>
      </c>
      <c r="G1622" s="37" t="inlineStr">
        <is>
          <t>Need Improvement</t>
        </is>
      </c>
    </row>
    <row r="1623">
      <c r="A1623" s="37" t="inlineStr">
        <is>
          <t>Barna</t>
        </is>
      </c>
      <c r="B1623" s="37" t="inlineStr">
        <is>
          <t>Lakhe Nagar Raipur</t>
        </is>
      </c>
      <c r="C1623" s="37" t="inlineStr">
        <is>
          <t>Youth Accenture</t>
        </is>
      </c>
      <c r="D1623" s="37" t="inlineStr">
        <is>
          <t>2026-07-14</t>
        </is>
      </c>
      <c r="E1623" s="37" t="inlineStr">
        <is>
          <t>Data Check</t>
        </is>
      </c>
      <c r="F1623" s="37" t="inlineStr">
        <is>
          <t>On the GROW portal, confirm all student profile details and batch updates are currect.</t>
        </is>
      </c>
      <c r="G1623" s="37" t="inlineStr">
        <is>
          <t>All is Well</t>
        </is>
      </c>
    </row>
    <row r="1624">
      <c r="A1624" s="37" t="inlineStr">
        <is>
          <t>Barna</t>
        </is>
      </c>
      <c r="B1624" s="37" t="inlineStr">
        <is>
          <t>Lakhe Nagar Raipur</t>
        </is>
      </c>
      <c r="C1624" s="37" t="inlineStr">
        <is>
          <t>Youth Accenture</t>
        </is>
      </c>
      <c r="D1624" s="37" t="inlineStr">
        <is>
          <t>2026-07-14</t>
        </is>
      </c>
      <c r="E1624" s="37" t="inlineStr">
        <is>
          <t>Data Check</t>
        </is>
      </c>
      <c r="F1624" s="37" t="inlineStr">
        <is>
          <t>Verify placement data — randomly call 3–4 alumni placed in the last 3 months to confirm veracity (random selection is essential).</t>
        </is>
      </c>
      <c r="G1624" s="37" t="inlineStr">
        <is>
          <t>All is Well</t>
        </is>
      </c>
    </row>
    <row r="1625">
      <c r="A1625" s="37" t="inlineStr">
        <is>
          <t>Barna</t>
        </is>
      </c>
      <c r="B1625" s="37" t="inlineStr">
        <is>
          <t>Lakhe Nagar Raipur</t>
        </is>
      </c>
      <c r="C1625" s="37" t="inlineStr">
        <is>
          <t>Youth Accenture</t>
        </is>
      </c>
      <c r="D1625" s="37" t="inlineStr">
        <is>
          <t>2026-07-14</t>
        </is>
      </c>
      <c r="E1625" s="37" t="inlineStr">
        <is>
          <t>Data Check</t>
        </is>
      </c>
      <c r="F1625" s="37" t="inlineStr">
        <is>
          <t>Verify retention — check the Alumni Hand-holding Format is being updated as designed.</t>
        </is>
      </c>
      <c r="G1625" s="37" t="inlineStr">
        <is>
          <t>Need Improvement</t>
        </is>
      </c>
    </row>
    <row r="1626">
      <c r="A1626" s="37" t="inlineStr">
        <is>
          <t>Barna</t>
        </is>
      </c>
      <c r="B1626" s="37" t="inlineStr">
        <is>
          <t>Lakhe Nagar Raipur</t>
        </is>
      </c>
      <c r="C1626" s="37" t="inlineStr">
        <is>
          <t>Youth Accenture</t>
        </is>
      </c>
      <c r="D1626" s="37" t="inlineStr">
        <is>
          <t>2026-07-14</t>
        </is>
      </c>
      <c r="E1626" s="37" t="inlineStr">
        <is>
          <t>Data Check</t>
        </is>
      </c>
      <c r="F1626" s="37" t="inlineStr">
        <is>
          <t>Check aspirant Hostel Forms are properly filled or not.</t>
        </is>
      </c>
      <c r="G1626" s="37" t="inlineStr">
        <is>
          <t>Not Applicable</t>
        </is>
      </c>
    </row>
    <row r="1627">
      <c r="A1627" s="37" t="inlineStr">
        <is>
          <t>Barna</t>
        </is>
      </c>
      <c r="B1627" s="37" t="inlineStr">
        <is>
          <t>Lakhe Nagar Raipur</t>
        </is>
      </c>
      <c r="C1627" s="37" t="inlineStr">
        <is>
          <t>Youth Accenture</t>
        </is>
      </c>
      <c r="D1627" s="37" t="inlineStr">
        <is>
          <t>2026-07-14</t>
        </is>
      </c>
      <c r="E1627" s="37" t="inlineStr">
        <is>
          <t>Infra Check</t>
        </is>
      </c>
      <c r="F1627" s="37" t="inlineStr">
        <is>
          <t>Check all CCTV cameras; if any are not working, ask the AH to troubleshoot or call the vendor.</t>
        </is>
      </c>
      <c r="G1627" s="37" t="inlineStr">
        <is>
          <t>All is Well</t>
        </is>
      </c>
    </row>
    <row r="1628">
      <c r="A1628" s="37" t="inlineStr">
        <is>
          <t>Barna</t>
        </is>
      </c>
      <c r="B1628" s="37" t="inlineStr">
        <is>
          <t>Lakhe Nagar Raipur</t>
        </is>
      </c>
      <c r="C1628" s="37" t="inlineStr">
        <is>
          <t>Youth Accenture</t>
        </is>
      </c>
      <c r="D1628" s="37" t="inlineStr">
        <is>
          <t>2026-07-14</t>
        </is>
      </c>
      <c r="E1628" s="37" t="inlineStr">
        <is>
          <t>Infra Check</t>
        </is>
      </c>
      <c r="F1628" s="37" t="inlineStr">
        <is>
          <t>Check for any scrap material and get it cleared, with support of Admin</t>
        </is>
      </c>
      <c r="G1628" s="37" t="inlineStr">
        <is>
          <t>All is Well</t>
        </is>
      </c>
    </row>
    <row r="1629">
      <c r="A1629" s="37" t="inlineStr">
        <is>
          <t>Barna</t>
        </is>
      </c>
      <c r="B1629" s="37" t="inlineStr">
        <is>
          <t>Lakhe Nagar Raipur</t>
        </is>
      </c>
      <c r="C1629" s="37" t="inlineStr">
        <is>
          <t>Youth Accenture</t>
        </is>
      </c>
      <c r="D1629" s="37" t="inlineStr">
        <is>
          <t>2026-07-14</t>
        </is>
      </c>
      <c r="E1629" s="37" t="inlineStr">
        <is>
          <t>Infra Check</t>
        </is>
      </c>
      <c r="F1629" s="37" t="inlineStr">
        <is>
          <t>Check for any pending infra repairs.</t>
        </is>
      </c>
      <c r="G1629" s="37" t="inlineStr">
        <is>
          <t>Need Improvement</t>
        </is>
      </c>
    </row>
    <row r="1630">
      <c r="A1630" s="37" t="inlineStr">
        <is>
          <t>Barna</t>
        </is>
      </c>
      <c r="B1630" s="37" t="inlineStr">
        <is>
          <t>Lakhe Nagar Raipur</t>
        </is>
      </c>
      <c r="C1630" s="37" t="inlineStr">
        <is>
          <t>Youth Accenture</t>
        </is>
      </c>
      <c r="D1630" s="37" t="inlineStr">
        <is>
          <t>2026-07-14</t>
        </is>
      </c>
      <c r="E1630" s="37" t="inlineStr">
        <is>
          <t>Infra Check</t>
        </is>
      </c>
      <c r="F1630" s="37" t="inlineStr">
        <is>
          <t>Check whether any fire extinguishers have expired (check the needle and expiry date both).</t>
        </is>
      </c>
      <c r="G1630" s="37" t="inlineStr">
        <is>
          <t>All is Well</t>
        </is>
      </c>
    </row>
    <row r="1631">
      <c r="A1631" s="37" t="inlineStr">
        <is>
          <t>Barna</t>
        </is>
      </c>
      <c r="B1631" s="37" t="inlineStr">
        <is>
          <t>Lakhe Nagar Raipur</t>
        </is>
      </c>
      <c r="C1631" s="37" t="inlineStr">
        <is>
          <t>Youth Accenture</t>
        </is>
      </c>
      <c r="D1631" s="37" t="inlineStr">
        <is>
          <t>2026-07-14</t>
        </is>
      </c>
      <c r="E1631" s="37" t="inlineStr">
        <is>
          <t>Infra Check</t>
        </is>
      </c>
      <c r="F1631" s="37" t="inlineStr">
        <is>
          <t>Check basic cleanliness of the washrooms and the centre.</t>
        </is>
      </c>
      <c r="G1631" s="37" t="inlineStr">
        <is>
          <t>All is Well</t>
        </is>
      </c>
    </row>
    <row r="1632">
      <c r="A1632" s="37" t="inlineStr">
        <is>
          <t>Barna</t>
        </is>
      </c>
      <c r="B1632" s="37" t="inlineStr">
        <is>
          <t>Lakhe Nagar Raipur</t>
        </is>
      </c>
      <c r="C1632" s="37" t="inlineStr">
        <is>
          <t>Youth Accenture</t>
        </is>
      </c>
      <c r="D1632" s="37" t="inlineStr">
        <is>
          <t>2026-07-14</t>
        </is>
      </c>
      <c r="E1632" s="37" t="inlineStr">
        <is>
          <t>Infra Check</t>
        </is>
      </c>
      <c r="F1632" s="37" t="inlineStr">
        <is>
          <t>Confirm the correct program and partner logos are displayed.</t>
        </is>
      </c>
      <c r="G1632" s="37" t="inlineStr">
        <is>
          <t>All is Well</t>
        </is>
      </c>
    </row>
    <row r="1633">
      <c r="A1633" s="37" t="inlineStr">
        <is>
          <t>Barna</t>
        </is>
      </c>
      <c r="B1633" s="37" t="inlineStr">
        <is>
          <t>Lakhe Nagar Raipur</t>
        </is>
      </c>
      <c r="C1633" s="37" t="inlineStr">
        <is>
          <t>Youth Accenture</t>
        </is>
      </c>
      <c r="D1633" s="37" t="inlineStr">
        <is>
          <t>2026-07-14</t>
        </is>
      </c>
      <c r="E1633" s="37" t="inlineStr">
        <is>
          <t>Infra Check</t>
        </is>
      </c>
      <c r="F1633" s="37" t="inlineStr">
        <is>
          <t>Check the status of digital infra — PCs, smartboards, tablets, laptops, etc.</t>
        </is>
      </c>
      <c r="G1633" s="37" t="inlineStr">
        <is>
          <t>All is Well</t>
        </is>
      </c>
    </row>
    <row r="1634">
      <c r="A1634" s="37" t="inlineStr">
        <is>
          <t>Barna</t>
        </is>
      </c>
      <c r="B1634" s="37" t="inlineStr">
        <is>
          <t>Lakhe Nagar Raipur</t>
        </is>
      </c>
      <c r="C1634" s="37" t="inlineStr">
        <is>
          <t>Youth Accenture</t>
        </is>
      </c>
      <c r="D1634" s="37" t="inlineStr">
        <is>
          <t>2026-07-14</t>
        </is>
      </c>
      <c r="E1634" s="37" t="inlineStr">
        <is>
          <t>Infra Check</t>
        </is>
      </c>
      <c r="F1634" s="37" t="inlineStr">
        <is>
          <t>Make a quick hostel visit; have lunch there if possible to test the food quality.</t>
        </is>
      </c>
      <c r="G1634" s="37" t="inlineStr">
        <is>
          <t>Not Applicable</t>
        </is>
      </c>
    </row>
    <row r="1635">
      <c r="A1635" s="37" t="inlineStr">
        <is>
          <t>Barna</t>
        </is>
      </c>
      <c r="B1635" s="37" t="inlineStr">
        <is>
          <t>Lakhe Nagar Raipur</t>
        </is>
      </c>
      <c r="C1635" s="37" t="inlineStr">
        <is>
          <t>Youth Accenture</t>
        </is>
      </c>
      <c r="D1635" s="37" t="inlineStr">
        <is>
          <t>2026-07-14</t>
        </is>
      </c>
      <c r="E1635" s="37" t="inlineStr">
        <is>
          <t>Process Check</t>
        </is>
      </c>
      <c r="F1635" s="37" t="inlineStr">
        <is>
          <t>Refer to the activity planner — check if any activities are delayed.</t>
        </is>
      </c>
      <c r="G1635" s="37" t="inlineStr">
        <is>
          <t>All is Well</t>
        </is>
      </c>
    </row>
    <row r="1636">
      <c r="A1636" s="37" t="inlineStr">
        <is>
          <t>Barna</t>
        </is>
      </c>
      <c r="B1636" s="37" t="inlineStr">
        <is>
          <t>Lakhe Nagar Raipur</t>
        </is>
      </c>
      <c r="C1636" s="37" t="inlineStr">
        <is>
          <t>Youth Accenture</t>
        </is>
      </c>
      <c r="D1636" s="37" t="inlineStr">
        <is>
          <t>2026-07-14</t>
        </is>
      </c>
      <c r="E1636" s="37" t="inlineStr">
        <is>
          <t>Process Check</t>
        </is>
      </c>
      <c r="F1636" s="37" t="inlineStr">
        <is>
          <t>Check planning for the next batch-start announcement.</t>
        </is>
      </c>
      <c r="G1636" s="37" t="inlineStr">
        <is>
          <t>Need Improvement</t>
        </is>
      </c>
    </row>
    <row r="1637">
      <c r="A1637" s="37" t="inlineStr">
        <is>
          <t>Barna</t>
        </is>
      </c>
      <c r="B1637" s="37" t="inlineStr">
        <is>
          <t>Lakhe Nagar Raipur</t>
        </is>
      </c>
      <c r="C1637" s="37" t="inlineStr">
        <is>
          <t>Youth Accenture</t>
        </is>
      </c>
      <c r="D1637" s="37" t="inlineStr">
        <is>
          <t>2026-07-14</t>
        </is>
      </c>
      <c r="E1637" s="37" t="inlineStr">
        <is>
          <t>Process Check</t>
        </is>
      </c>
      <c r="F1637" s="37" t="inlineStr">
        <is>
          <t>Check if any hiring is delayed and plan a resolution.</t>
        </is>
      </c>
      <c r="G1637" s="37" t="inlineStr">
        <is>
          <t>All is Well</t>
        </is>
      </c>
    </row>
    <row r="1638">
      <c r="A1638" s="37" t="inlineStr">
        <is>
          <t>Barna</t>
        </is>
      </c>
      <c r="B1638" s="37" t="inlineStr">
        <is>
          <t>Lakhe Nagar Raipur</t>
        </is>
      </c>
      <c r="C1638" s="37" t="inlineStr">
        <is>
          <t>Youth Accenture</t>
        </is>
      </c>
      <c r="D1638" s="37" t="inlineStr">
        <is>
          <t>2026-07-14</t>
        </is>
      </c>
      <c r="E1638" s="37" t="inlineStr">
        <is>
          <t>Process Check</t>
        </is>
      </c>
      <c r="F1638" s="37" t="inlineStr">
        <is>
          <t>Check the CA’s diary — is CA guided daily by the AH during planning days?</t>
        </is>
      </c>
      <c r="G1638" s="37" t="inlineStr">
        <is>
          <t>Need Improvement</t>
        </is>
      </c>
    </row>
    <row r="1639">
      <c r="A1639" s="37" t="inlineStr">
        <is>
          <t>Barna</t>
        </is>
      </c>
      <c r="B1639" s="37" t="inlineStr">
        <is>
          <t>Lakhe Nagar Raipur</t>
        </is>
      </c>
      <c r="C1639" s="37" t="inlineStr">
        <is>
          <t>Youth Accenture</t>
        </is>
      </c>
      <c r="D1639" s="37" t="inlineStr">
        <is>
          <t>2026-07-14</t>
        </is>
      </c>
      <c r="E1639" s="37" t="inlineStr">
        <is>
          <t>Process Check</t>
        </is>
      </c>
      <c r="F1639" s="37" t="inlineStr">
        <is>
          <t>Check the AH is regularly meeting employers (in person and online) and updating the centre’s Top 20 Employer format.</t>
        </is>
      </c>
      <c r="G1639" s="37" t="inlineStr">
        <is>
          <t>Need Improvement</t>
        </is>
      </c>
    </row>
    <row r="1640">
      <c r="A1640" s="37" t="inlineStr">
        <is>
          <t>Barna</t>
        </is>
      </c>
      <c r="B1640" s="37" t="inlineStr">
        <is>
          <t>Lakhe Nagar Raipur</t>
        </is>
      </c>
      <c r="C1640" s="37" t="inlineStr">
        <is>
          <t>Youth Accenture</t>
        </is>
      </c>
      <c r="D1640" s="37" t="inlineStr">
        <is>
          <t>2026-07-14</t>
        </is>
      </c>
      <c r="E1640" s="37" t="inlineStr">
        <is>
          <t>Process Check</t>
        </is>
      </c>
      <c r="F1640" s="37" t="inlineStr">
        <is>
          <t>Confirm all new employers are registered on portal as per new process.</t>
        </is>
      </c>
      <c r="G1640" s="37" t="inlineStr">
        <is>
          <t>All is Well</t>
        </is>
      </c>
    </row>
    <row r="1641">
      <c r="A1641" s="37" t="inlineStr">
        <is>
          <t>Barna</t>
        </is>
      </c>
      <c r="B1641" s="37" t="inlineStr">
        <is>
          <t>Lakhe Nagar Raipur</t>
        </is>
      </c>
      <c r="C1641" s="37" t="inlineStr">
        <is>
          <t>Youth Accenture</t>
        </is>
      </c>
      <c r="D1641" s="37" t="inlineStr">
        <is>
          <t>2026-07-14</t>
        </is>
      </c>
      <c r="E1641" s="37" t="inlineStr">
        <is>
          <t>Process Check</t>
        </is>
      </c>
      <c r="F1641" s="37" t="inlineStr">
        <is>
          <t>Confirm 100% of enrolled students undergone screening (for technical courses).</t>
        </is>
      </c>
      <c r="G1641" s="37" t="inlineStr">
        <is>
          <t>Not Applicable</t>
        </is>
      </c>
    </row>
    <row r="1642">
      <c r="A1642" s="37" t="inlineStr">
        <is>
          <t>Barna</t>
        </is>
      </c>
      <c r="B1642" s="37" t="inlineStr">
        <is>
          <t>Lakhe Nagar Raipur</t>
        </is>
      </c>
      <c r="C1642" s="37" t="inlineStr">
        <is>
          <t>Youth Accenture</t>
        </is>
      </c>
      <c r="D1642" s="37" t="inlineStr">
        <is>
          <t>2026-07-14</t>
        </is>
      </c>
      <c r="E1642" s="37" t="inlineStr">
        <is>
          <t>Process Check</t>
        </is>
      </c>
      <c r="F1642" s="37" t="inlineStr">
        <is>
          <t>Confirm ESA is done (in GROW full ESA and in Technical courses relevant sections of Core Employability Part).</t>
        </is>
      </c>
      <c r="G1642" s="37" t="inlineStr">
        <is>
          <t>Not Applicable</t>
        </is>
      </c>
    </row>
    <row r="1643">
      <c r="A1643" s="37" t="inlineStr">
        <is>
          <t>Barna</t>
        </is>
      </c>
      <c r="B1643" s="37" t="inlineStr">
        <is>
          <t>Lakhe Nagar Raipur</t>
        </is>
      </c>
      <c r="C1643" s="37" t="inlineStr">
        <is>
          <t>Youth Accenture</t>
        </is>
      </c>
      <c r="D1643" s="37" t="inlineStr">
        <is>
          <t>2026-07-14</t>
        </is>
      </c>
      <c r="E1643" s="37" t="inlineStr">
        <is>
          <t>Process Check</t>
        </is>
      </c>
      <c r="F1643" s="37" t="inlineStr">
        <is>
          <t>Check is AH giving capstone project in GROW Tech.</t>
        </is>
      </c>
      <c r="G1643" s="37" t="inlineStr">
        <is>
          <t>Not Applicable</t>
        </is>
      </c>
    </row>
    <row r="1644">
      <c r="A1644" s="37" t="inlineStr">
        <is>
          <t>Barna</t>
        </is>
      </c>
      <c r="B1644" s="37" t="inlineStr">
        <is>
          <t>Lakhe Nagar Raipur</t>
        </is>
      </c>
      <c r="C1644" s="37" t="inlineStr">
        <is>
          <t>Youth Accenture</t>
        </is>
      </c>
      <c r="D1644" s="37" t="inlineStr">
        <is>
          <t>2026-07-14</t>
        </is>
      </c>
      <c r="E1644" s="37" t="inlineStr">
        <is>
          <t>Process Check</t>
        </is>
      </c>
      <c r="F1644" s="37" t="inlineStr">
        <is>
          <t>Check is AH planning OJT as per guidelines and proofs are collected for technical courses.</t>
        </is>
      </c>
      <c r="G1644" s="37" t="inlineStr">
        <is>
          <t>Not Applicable</t>
        </is>
      </c>
    </row>
    <row r="1645">
      <c r="A1645" s="37" t="inlineStr">
        <is>
          <t>Barna</t>
        </is>
      </c>
      <c r="B1645" s="37" t="inlineStr">
        <is>
          <t>Lakhe Nagar Raipur</t>
        </is>
      </c>
      <c r="C1645" s="37" t="inlineStr">
        <is>
          <t>Youth Accenture</t>
        </is>
      </c>
      <c r="D1645" s="37" t="inlineStr">
        <is>
          <t>2026-07-14</t>
        </is>
      </c>
      <c r="E1645" s="37" t="inlineStr">
        <is>
          <t>Process Check</t>
        </is>
      </c>
      <c r="F1645" s="37" t="inlineStr">
        <is>
          <t>Check are trainers contacting aspirants to find reason for their absenteeism of more than 1 day.</t>
        </is>
      </c>
      <c r="G1645" s="37" t="inlineStr">
        <is>
          <t>All is Well</t>
        </is>
      </c>
    </row>
    <row r="1646">
      <c r="A1646" s="37" t="inlineStr">
        <is>
          <t>Barna</t>
        </is>
      </c>
      <c r="B1646" s="37" t="inlineStr">
        <is>
          <t>Lakhe Nagar Raipur</t>
        </is>
      </c>
      <c r="C1646" s="37" t="inlineStr">
        <is>
          <t>Youth Accenture</t>
        </is>
      </c>
      <c r="D1646" s="37" t="inlineStr">
        <is>
          <t>2026-07-14</t>
        </is>
      </c>
      <c r="E1646" s="37" t="inlineStr">
        <is>
          <t>Process Check</t>
        </is>
      </c>
      <c r="F1646" s="37" t="inlineStr">
        <is>
          <t>Check the AH plans monthly enrolment and placement numbers by the 3rd of each month and shares them with second level managers.</t>
        </is>
      </c>
      <c r="G1646" s="37" t="inlineStr">
        <is>
          <t>Need Improvement</t>
        </is>
      </c>
    </row>
    <row r="1647">
      <c r="A1647" s="37" t="inlineStr">
        <is>
          <t>Barna</t>
        </is>
      </c>
      <c r="B1647" s="37" t="inlineStr">
        <is>
          <t>Lakhe Nagar Raipur</t>
        </is>
      </c>
      <c r="C1647" s="37" t="inlineStr">
        <is>
          <t>Youth Accenture</t>
        </is>
      </c>
      <c r="D1647" s="37" t="inlineStr">
        <is>
          <t>2026-07-14</t>
        </is>
      </c>
      <c r="E1647" s="37" t="inlineStr">
        <is>
          <t>Process Check</t>
        </is>
      </c>
      <c r="F1647" s="37" t="inlineStr">
        <is>
          <t>Check trainers submit aspirants’ placement interest areas to the AH by the batch’s 25th day (in GROW).</t>
        </is>
      </c>
      <c r="G1647" s="37" t="inlineStr">
        <is>
          <t>All is Well</t>
        </is>
      </c>
    </row>
    <row r="1648">
      <c r="A1648" s="37" t="inlineStr">
        <is>
          <t>Barna</t>
        </is>
      </c>
      <c r="B1648" s="37" t="inlineStr">
        <is>
          <t>Lakhe Nagar Raipur</t>
        </is>
      </c>
      <c r="C1648" s="37" t="inlineStr">
        <is>
          <t>Youth Accenture</t>
        </is>
      </c>
      <c r="D1648" s="37" t="inlineStr">
        <is>
          <t>2026-07-14</t>
        </is>
      </c>
      <c r="E1648" s="37" t="inlineStr">
        <is>
          <t>Process Check</t>
        </is>
      </c>
      <c r="F1648" s="37" t="inlineStr">
        <is>
          <t>Ckeck For technical programs, placement is done only in technical jobs,on which aspirants are trained and relevant emplyers are identified by 45th day.</t>
        </is>
      </c>
      <c r="G1648" s="37" t="inlineStr">
        <is>
          <t>Not Applicable</t>
        </is>
      </c>
    </row>
    <row r="1649">
      <c r="A1649" s="37" t="inlineStr">
        <is>
          <t>Barna</t>
        </is>
      </c>
      <c r="B1649" s="37" t="inlineStr">
        <is>
          <t>Lakhe Nagar Raipur</t>
        </is>
      </c>
      <c r="C1649" s="37" t="inlineStr">
        <is>
          <t>Youth Accenture</t>
        </is>
      </c>
      <c r="D1649" s="37" t="inlineStr">
        <is>
          <t>2026-07-14</t>
        </is>
      </c>
      <c r="E1649" s="37" t="inlineStr">
        <is>
          <t>Process Check</t>
        </is>
      </c>
      <c r="F1649" s="37" t="inlineStr">
        <is>
          <t>Check the AH follows EP guidelines and minimum benchmark salary guidelines.</t>
        </is>
      </c>
      <c r="G1649" s="37" t="inlineStr">
        <is>
          <t>All is Well</t>
        </is>
      </c>
    </row>
    <row r="1650">
      <c r="A1650" s="37" t="inlineStr">
        <is>
          <t>Barna</t>
        </is>
      </c>
      <c r="B1650" s="37" t="inlineStr">
        <is>
          <t>Lakhe Nagar Raipur</t>
        </is>
      </c>
      <c r="C1650" s="37" t="inlineStr">
        <is>
          <t>Youth Accenture</t>
        </is>
      </c>
      <c r="D1650" s="37" t="inlineStr">
        <is>
          <t>2026-07-14</t>
        </is>
      </c>
      <c r="E1650" s="37" t="inlineStr">
        <is>
          <t>Process Check</t>
        </is>
      </c>
      <c r="F1650" s="37" t="inlineStr">
        <is>
          <t>Check that AH is enrolling only the right traget group in the program -as per the defined target.</t>
        </is>
      </c>
      <c r="G1650" s="37" t="inlineStr">
        <is>
          <t>All is Well</t>
        </is>
      </c>
    </row>
    <row r="1651">
      <c r="A1651" s="37" t="inlineStr">
        <is>
          <t>Barna</t>
        </is>
      </c>
      <c r="B1651" s="37" t="inlineStr">
        <is>
          <t>Lakhe Nagar Raipur</t>
        </is>
      </c>
      <c r="C1651" s="37" t="inlineStr">
        <is>
          <t>Youth Accenture</t>
        </is>
      </c>
      <c r="D1651" s="37" t="inlineStr">
        <is>
          <t>2026-07-14</t>
        </is>
      </c>
      <c r="E1651" s="37" t="inlineStr">
        <is>
          <t>Process Check</t>
        </is>
      </c>
      <c r="F1651" s="37" t="inlineStr">
        <is>
          <t>Check the AH announces the next batch-start date by the 3rd of the month on all notice boards — focus on Zero-Day start.</t>
        </is>
      </c>
      <c r="G1651" s="37" t="inlineStr">
        <is>
          <t>Need Improvement</t>
        </is>
      </c>
    </row>
    <row r="1652">
      <c r="A1652" s="37" t="inlineStr">
        <is>
          <t>Barna</t>
        </is>
      </c>
      <c r="B1652" s="37" t="inlineStr">
        <is>
          <t>Lakhe Nagar Raipur</t>
        </is>
      </c>
      <c r="C1652" s="37" t="inlineStr">
        <is>
          <t>Youth Accenture</t>
        </is>
      </c>
      <c r="D1652" s="37" t="inlineStr">
        <is>
          <t>2026-07-14</t>
        </is>
      </c>
      <c r="E1652" s="37" t="inlineStr">
        <is>
          <t>Process Check</t>
        </is>
      </c>
      <c r="F1652" s="37" t="inlineStr">
        <is>
          <t>Check the Aspirant Mock Interview Score Tracker is updated after every mock interview in the L&amp;D Google Sheet.</t>
        </is>
      </c>
      <c r="G1652" s="37" t="inlineStr">
        <is>
          <t>Need Improvement</t>
        </is>
      </c>
    </row>
    <row r="1653">
      <c r="A1653" s="37" t="inlineStr">
        <is>
          <t>Barna</t>
        </is>
      </c>
      <c r="B1653" s="37" t="inlineStr">
        <is>
          <t>Lakhe Nagar Raipur</t>
        </is>
      </c>
      <c r="C1653" s="37" t="inlineStr">
        <is>
          <t>Youth Accenture</t>
        </is>
      </c>
      <c r="D1653" s="37" t="inlineStr">
        <is>
          <t>2026-07-14</t>
        </is>
      </c>
      <c r="E1653" s="37" t="inlineStr">
        <is>
          <t>Process Check</t>
        </is>
      </c>
      <c r="F1653" s="37" t="inlineStr">
        <is>
          <t>Confirm NPS (Net Promoter Score) is collected at MSDF centres.</t>
        </is>
      </c>
      <c r="G1653" s="37" t="inlineStr">
        <is>
          <t>Not Applicable</t>
        </is>
      </c>
    </row>
    <row r="1654">
      <c r="A1654" s="37" t="inlineStr">
        <is>
          <t>Barna</t>
        </is>
      </c>
      <c r="B1654" s="37" t="inlineStr">
        <is>
          <t>Lakhe Nagar Raipur</t>
        </is>
      </c>
      <c r="C1654" s="37" t="inlineStr">
        <is>
          <t>Youth Accenture</t>
        </is>
      </c>
      <c r="D1654" s="37" t="inlineStr">
        <is>
          <t>2026-07-14</t>
        </is>
      </c>
      <c r="E1654" s="37" t="inlineStr">
        <is>
          <t>Process Check</t>
        </is>
      </c>
      <c r="F1654" s="37" t="inlineStr">
        <is>
          <t>Confirm that QAE is collecting student feedback for every batch.</t>
        </is>
      </c>
      <c r="G1654" s="37" t="inlineStr">
        <is>
          <t>All is Well</t>
        </is>
      </c>
    </row>
    <row r="1655">
      <c r="A1655" s="37" t="inlineStr">
        <is>
          <t>Barna</t>
        </is>
      </c>
      <c r="B1655" s="37" t="inlineStr">
        <is>
          <t>Lakhe Nagar Raipur</t>
        </is>
      </c>
      <c r="C1655" s="37" t="inlineStr">
        <is>
          <t>Youth Accenture</t>
        </is>
      </c>
      <c r="D1655" s="37" t="inlineStr">
        <is>
          <t>2026-07-14</t>
        </is>
      </c>
      <c r="E1655" s="37" t="inlineStr">
        <is>
          <t>Process Check</t>
        </is>
      </c>
      <c r="F1655" s="37" t="inlineStr">
        <is>
          <t>Confirm all centre teams have completed the GROW Manual Course on Skillfy — ask for achievement certificates.</t>
        </is>
      </c>
      <c r="G1655" s="37" t="inlineStr">
        <is>
          <t>All is Well</t>
        </is>
      </c>
    </row>
    <row r="1656">
      <c r="A1656" s="37" t="inlineStr">
        <is>
          <t>Barna</t>
        </is>
      </c>
      <c r="B1656" s="37" t="inlineStr">
        <is>
          <t>Lakhe Nagar Raipur</t>
        </is>
      </c>
      <c r="C1656" s="37" t="inlineStr">
        <is>
          <t>Youth Accenture</t>
        </is>
      </c>
      <c r="D1656" s="37" t="inlineStr">
        <is>
          <t>2026-07-14</t>
        </is>
      </c>
      <c r="E1656" s="37" t="inlineStr">
        <is>
          <t>Process Check</t>
        </is>
      </c>
      <c r="F1656" s="37" t="inlineStr">
        <is>
          <t>Check AH holds a quality weekly team meeting, documents action points in the weekly meeting format, and sends you a photo on WhatsApp.</t>
        </is>
      </c>
      <c r="G1656" s="37" t="inlineStr">
        <is>
          <t>Need Improvement</t>
        </is>
      </c>
    </row>
    <row r="1657">
      <c r="A1657" s="37" t="inlineStr">
        <is>
          <t>Barna</t>
        </is>
      </c>
      <c r="B1657" s="37" t="inlineStr">
        <is>
          <t>Lakhe Nagar Raipur</t>
        </is>
      </c>
      <c r="C1657" s="37" t="inlineStr">
        <is>
          <t>Youth Accenture</t>
        </is>
      </c>
      <c r="D1657" s="37" t="inlineStr">
        <is>
          <t>2026-07-14</t>
        </is>
      </c>
      <c r="E1657" s="37" t="inlineStr">
        <is>
          <t>Aspirant Interaction</t>
        </is>
      </c>
      <c r="F1657" s="37" t="inlineStr">
        <is>
          <t>Ask aspirants about the session plan — confirm training is happening as planned?</t>
        </is>
      </c>
      <c r="G1657" s="37" t="inlineStr">
        <is>
          <t>All is Well</t>
        </is>
      </c>
    </row>
    <row r="1658">
      <c r="A1658" s="37" t="inlineStr">
        <is>
          <t>Barna</t>
        </is>
      </c>
      <c r="B1658" s="37" t="inlineStr">
        <is>
          <t>Lakhe Nagar Raipur</t>
        </is>
      </c>
      <c r="C1658" s="37" t="inlineStr">
        <is>
          <t>Youth Accenture</t>
        </is>
      </c>
      <c r="D1658" s="37" t="inlineStr">
        <is>
          <t>2026-07-14</t>
        </is>
      </c>
      <c r="E1658" s="37" t="inlineStr">
        <is>
          <t>Aspirant Interaction</t>
        </is>
      </c>
      <c r="F1658" s="37" t="inlineStr">
        <is>
          <t>Ask about the quality of Core Employability component delivery (technical centres) and who delivers it.</t>
        </is>
      </c>
      <c r="G1658" s="37" t="inlineStr">
        <is>
          <t>Not Applicable</t>
        </is>
      </c>
    </row>
    <row r="1659">
      <c r="A1659" s="37" t="inlineStr">
        <is>
          <t>Barna</t>
        </is>
      </c>
      <c r="B1659" s="37" t="inlineStr">
        <is>
          <t>Lakhe Nagar Raipur</t>
        </is>
      </c>
      <c r="C1659" s="37" t="inlineStr">
        <is>
          <t>Youth Accenture</t>
        </is>
      </c>
      <c r="D1659" s="37" t="inlineStr">
        <is>
          <t>2026-07-14</t>
        </is>
      </c>
      <c r="E1659" s="37" t="inlineStr">
        <is>
          <t>Aspirant Interaction</t>
        </is>
      </c>
      <c r="F1659" s="37" t="inlineStr">
        <is>
          <t>Ask whether they are aware of the referral scheme?</t>
        </is>
      </c>
      <c r="G1659" s="37" t="inlineStr">
        <is>
          <t>All is Well</t>
        </is>
      </c>
    </row>
    <row r="1660">
      <c r="A1660" s="37" t="inlineStr">
        <is>
          <t>Barna</t>
        </is>
      </c>
      <c r="B1660" s="37" t="inlineStr">
        <is>
          <t>Lakhe Nagar Raipur</t>
        </is>
      </c>
      <c r="C1660" s="37" t="inlineStr">
        <is>
          <t>Youth Accenture</t>
        </is>
      </c>
      <c r="D1660" s="37" t="inlineStr">
        <is>
          <t>2026-07-14</t>
        </is>
      </c>
      <c r="E1660" s="37" t="inlineStr">
        <is>
          <t>Aspirant Interaction</t>
        </is>
      </c>
      <c r="F1660" s="37" t="inlineStr">
        <is>
          <t>Ask whether the AH explained the importance of the offer letter and sharing it with us once received for reporting purposes?</t>
        </is>
      </c>
      <c r="G1660" s="37" t="inlineStr">
        <is>
          <t>All is Well</t>
        </is>
      </c>
    </row>
    <row r="1661">
      <c r="A1661" s="37" t="inlineStr">
        <is>
          <t>Barna</t>
        </is>
      </c>
      <c r="B1661" s="37" t="inlineStr">
        <is>
          <t>Lakhe Nagar Raipur</t>
        </is>
      </c>
      <c r="C1661" s="37" t="inlineStr">
        <is>
          <t>Youth Accenture</t>
        </is>
      </c>
      <c r="D1661" s="37" t="inlineStr">
        <is>
          <t>2026-07-14</t>
        </is>
      </c>
      <c r="E1661" s="37" t="inlineStr">
        <is>
          <t>Aspirant Interaction</t>
        </is>
      </c>
      <c r="F1661" s="37" t="inlineStr">
        <is>
          <t>Ask how many are not interested in jobs — and if so, why they enrolled in the programme?</t>
        </is>
      </c>
      <c r="G1661" s="37" t="inlineStr">
        <is>
          <t>All is Well</t>
        </is>
      </c>
    </row>
    <row r="1662">
      <c r="A1662" s="37" t="inlineStr">
        <is>
          <t>Barna</t>
        </is>
      </c>
      <c r="B1662" s="37" t="inlineStr">
        <is>
          <t>Lakhe Nagar Raipur</t>
        </is>
      </c>
      <c r="C1662" s="37" t="inlineStr">
        <is>
          <t>Youth Accenture</t>
        </is>
      </c>
      <c r="D1662" s="37" t="inlineStr">
        <is>
          <t>2026-07-14</t>
        </is>
      </c>
      <c r="E1662" s="37" t="inlineStr">
        <is>
          <t>Aspirant Interaction</t>
        </is>
      </c>
      <c r="F1662" s="37" t="inlineStr">
        <is>
          <t>Ask whether they were told the kind of job they would get during counselling?</t>
        </is>
      </c>
      <c r="G1662" s="37" t="inlineStr">
        <is>
          <t>All is Well</t>
        </is>
      </c>
    </row>
    <row r="1663">
      <c r="A1663" s="37" t="inlineStr">
        <is>
          <t>Barna</t>
        </is>
      </c>
      <c r="B1663" s="37" t="inlineStr">
        <is>
          <t>Lakhe Nagar Raipur</t>
        </is>
      </c>
      <c r="C1663" s="37" t="inlineStr">
        <is>
          <t>Youth Accenture</t>
        </is>
      </c>
      <c r="D1663" s="37" t="inlineStr">
        <is>
          <t>2026-07-14</t>
        </is>
      </c>
      <c r="E1663" s="37" t="inlineStr">
        <is>
          <t>Aspirant Interaction</t>
        </is>
      </c>
      <c r="F1663" s="37" t="inlineStr">
        <is>
          <t>Ask whether they have been given LMS access?</t>
        </is>
      </c>
      <c r="G1663" s="37" t="inlineStr">
        <is>
          <t>All is Well</t>
        </is>
      </c>
    </row>
    <row r="1664">
      <c r="A1664" s="37" t="inlineStr">
        <is>
          <t>Barna</t>
        </is>
      </c>
      <c r="B1664" s="37" t="inlineStr">
        <is>
          <t>Lakhe Nagar Raipur</t>
        </is>
      </c>
      <c r="C1664" s="37" t="inlineStr">
        <is>
          <t>Youth Accenture</t>
        </is>
      </c>
      <c r="D1664" s="37" t="inlineStr">
        <is>
          <t>2026-07-14</t>
        </is>
      </c>
      <c r="E1664" s="37" t="inlineStr">
        <is>
          <t>Aspirant Interaction</t>
        </is>
      </c>
      <c r="F1664" s="37" t="inlineStr">
        <is>
          <t>Ask whether anyone asked them for money for training or placement?</t>
        </is>
      </c>
      <c r="G1664" s="37" t="inlineStr">
        <is>
          <t>All is Well</t>
        </is>
      </c>
    </row>
    <row r="1665">
      <c r="A1665" s="37" t="inlineStr">
        <is>
          <t>Barna</t>
        </is>
      </c>
      <c r="B1665" s="37" t="inlineStr">
        <is>
          <t>Lakhe Nagar Raipur</t>
        </is>
      </c>
      <c r="C1665" s="37" t="inlineStr">
        <is>
          <t>Youth Accenture</t>
        </is>
      </c>
      <c r="D1665" s="37" t="inlineStr">
        <is>
          <t>2026-07-14</t>
        </is>
      </c>
      <c r="E1665" s="37" t="inlineStr">
        <is>
          <t>Aspirant Interaction</t>
        </is>
      </c>
      <c r="F1665" s="37" t="inlineStr">
        <is>
          <t>Ask to show their mobile phones — are they enrolled on Skillfy? If not, get them enrolled and give written feedback to trainers and the AH in your presence.</t>
        </is>
      </c>
      <c r="G1665" s="37" t="inlineStr">
        <is>
          <t>All is Well</t>
        </is>
      </c>
    </row>
    <row r="1666">
      <c r="A1666" s="37" t="inlineStr">
        <is>
          <t>Barna</t>
        </is>
      </c>
      <c r="B1666" s="37" t="inlineStr">
        <is>
          <t>Lakhe Nagar Raipur</t>
        </is>
      </c>
      <c r="C1666" s="37" t="inlineStr">
        <is>
          <t>Youth Accenture</t>
        </is>
      </c>
      <c r="D1666" s="37" t="inlineStr">
        <is>
          <t>2026-07-14</t>
        </is>
      </c>
      <c r="E1666" s="37" t="inlineStr">
        <is>
          <t>Aspirant Interaction</t>
        </is>
      </c>
      <c r="F1666" s="37" t="inlineStr">
        <is>
          <t>Ask about the quality of the hostel and any issues they face.</t>
        </is>
      </c>
      <c r="G1666" s="37" t="inlineStr">
        <is>
          <t>All is Well</t>
        </is>
      </c>
    </row>
    <row r="1667">
      <c r="A1667" s="37" t="inlineStr">
        <is>
          <t>Barna</t>
        </is>
      </c>
      <c r="B1667" s="37" t="inlineStr">
        <is>
          <t>Lakhe Nagar Raipur</t>
        </is>
      </c>
      <c r="C1667" s="37" t="inlineStr">
        <is>
          <t>Youth Accenture</t>
        </is>
      </c>
      <c r="D1667" s="37" t="inlineStr">
        <is>
          <t>2026-07-14</t>
        </is>
      </c>
      <c r="E1667" s="37" t="inlineStr">
        <is>
          <t>Aspirant Interaction</t>
        </is>
      </c>
      <c r="F1667" s="37" t="inlineStr">
        <is>
          <t>Ask a few relevant screening questions to support the 10th-day report and remove non-serious candidates, explaining to them the reasons.</t>
        </is>
      </c>
      <c r="G1667" s="37" t="inlineStr">
        <is>
          <t>All is Well</t>
        </is>
      </c>
    </row>
    <row r="1668">
      <c r="A1668" s="37" t="inlineStr">
        <is>
          <t>Mahaboob Basha</t>
        </is>
      </c>
      <c r="B1668" s="37" t="inlineStr">
        <is>
          <t>Coimbatore</t>
        </is>
      </c>
      <c r="C1668" s="37" t="inlineStr">
        <is>
          <t>GROW-Youth-CITI</t>
        </is>
      </c>
      <c r="D1668" s="37" t="inlineStr">
        <is>
          <t>2026-07-17</t>
        </is>
      </c>
      <c r="E1668" s="37" t="inlineStr">
        <is>
          <t>Data Check</t>
        </is>
      </c>
      <c r="F1668" s="37" t="inlineStr">
        <is>
          <t>Reach the centre on time (unannounced) — confirm the centre opened on time.</t>
        </is>
      </c>
      <c r="G1668" s="37" t="inlineStr">
        <is>
          <t>All is Well</t>
        </is>
      </c>
    </row>
    <row r="1669">
      <c r="A1669" s="37" t="inlineStr">
        <is>
          <t>Mahaboob Basha</t>
        </is>
      </c>
      <c r="B1669" s="37" t="inlineStr">
        <is>
          <t>Coimbatore</t>
        </is>
      </c>
      <c r="C1669" s="37" t="inlineStr">
        <is>
          <t>GROW-Youth-CITI</t>
        </is>
      </c>
      <c r="D1669" s="37" t="inlineStr">
        <is>
          <t>2026-07-17</t>
        </is>
      </c>
      <c r="E1669" s="37" t="inlineStr">
        <is>
          <t>Data Check</t>
        </is>
      </c>
      <c r="F1669" s="37" t="inlineStr">
        <is>
          <t>Check the staff attendance register, the Google Sheet, and geo-tagged photos for aspirants.</t>
        </is>
      </c>
      <c r="G1669" s="37" t="inlineStr">
        <is>
          <t>Need Improvement</t>
        </is>
      </c>
    </row>
    <row r="1670">
      <c r="A1670" s="37" t="inlineStr">
        <is>
          <t>Mahaboob Basha</t>
        </is>
      </c>
      <c r="B1670" s="37" t="inlineStr">
        <is>
          <t>Coimbatore</t>
        </is>
      </c>
      <c r="C1670" s="37" t="inlineStr">
        <is>
          <t>GROW-Youth-CITI</t>
        </is>
      </c>
      <c r="D1670" s="37" t="inlineStr">
        <is>
          <t>2026-07-17</t>
        </is>
      </c>
      <c r="E1670" s="37" t="inlineStr">
        <is>
          <t>Data Check</t>
        </is>
      </c>
      <c r="F1670" s="37" t="inlineStr">
        <is>
          <t>Check Counselling and Screening Forms of recently started batches.</t>
        </is>
      </c>
      <c r="G1670" s="37" t="inlineStr">
        <is>
          <t>Need Improvement</t>
        </is>
      </c>
    </row>
    <row r="1671">
      <c r="A1671" s="37" t="inlineStr">
        <is>
          <t>Mahaboob Basha</t>
        </is>
      </c>
      <c r="B1671" s="37" t="inlineStr">
        <is>
          <t>Coimbatore</t>
        </is>
      </c>
      <c r="C1671" s="37" t="inlineStr">
        <is>
          <t>GROW-Youth-CITI</t>
        </is>
      </c>
      <c r="D1671" s="37" t="inlineStr">
        <is>
          <t>2026-07-17</t>
        </is>
      </c>
      <c r="E1671" s="37" t="inlineStr">
        <is>
          <t>Data Check</t>
        </is>
      </c>
      <c r="F1671" s="37" t="inlineStr">
        <is>
          <t>Check Aspirant Registration Forms and related documents.</t>
        </is>
      </c>
      <c r="G1671" s="37" t="inlineStr">
        <is>
          <t>Need Improvement</t>
        </is>
      </c>
    </row>
    <row r="1672">
      <c r="A1672" s="37" t="inlineStr">
        <is>
          <t>Mahaboob Basha</t>
        </is>
      </c>
      <c r="B1672" s="37" t="inlineStr">
        <is>
          <t>Coimbatore</t>
        </is>
      </c>
      <c r="C1672" s="37" t="inlineStr">
        <is>
          <t>GROW-Youth-CITI</t>
        </is>
      </c>
      <c r="D1672" s="37" t="inlineStr">
        <is>
          <t>2026-07-17</t>
        </is>
      </c>
      <c r="E1672" s="37" t="inlineStr">
        <is>
          <t>Data Check</t>
        </is>
      </c>
      <c r="F1672" s="37" t="inlineStr">
        <is>
          <t>On the GROW portal, confirm all student profile details and batch updates are currect.</t>
        </is>
      </c>
      <c r="G1672" s="37" t="inlineStr">
        <is>
          <t>All is Well</t>
        </is>
      </c>
    </row>
    <row r="1673">
      <c r="A1673" s="37" t="inlineStr">
        <is>
          <t>Mahaboob Basha</t>
        </is>
      </c>
      <c r="B1673" s="37" t="inlineStr">
        <is>
          <t>Coimbatore</t>
        </is>
      </c>
      <c r="C1673" s="37" t="inlineStr">
        <is>
          <t>GROW-Youth-CITI</t>
        </is>
      </c>
      <c r="D1673" s="37" t="inlineStr">
        <is>
          <t>2026-07-17</t>
        </is>
      </c>
      <c r="E1673" s="37" t="inlineStr">
        <is>
          <t>Data Check</t>
        </is>
      </c>
      <c r="F1673" s="37" t="inlineStr">
        <is>
          <t>Verify placement data — randomly call 3–4 alumni placed in the last 3 months to confirm veracity (random selection is essential).</t>
        </is>
      </c>
      <c r="G1673" s="37" t="inlineStr">
        <is>
          <t>All is Well</t>
        </is>
      </c>
    </row>
    <row r="1674">
      <c r="A1674" s="37" t="inlineStr">
        <is>
          <t>Mahaboob Basha</t>
        </is>
      </c>
      <c r="B1674" s="37" t="inlineStr">
        <is>
          <t>Coimbatore</t>
        </is>
      </c>
      <c r="C1674" s="37" t="inlineStr">
        <is>
          <t>GROW-Youth-CITI</t>
        </is>
      </c>
      <c r="D1674" s="37" t="inlineStr">
        <is>
          <t>2026-07-17</t>
        </is>
      </c>
      <c r="E1674" s="37" t="inlineStr">
        <is>
          <t>Data Check</t>
        </is>
      </c>
      <c r="F1674" s="37" t="inlineStr">
        <is>
          <t>Verify retention — check the Alumni Hand-holding Format is being updated as designed.</t>
        </is>
      </c>
      <c r="G1674" s="37" t="inlineStr">
        <is>
          <t>Need Improvement</t>
        </is>
      </c>
    </row>
    <row r="1675">
      <c r="A1675" s="37" t="inlineStr">
        <is>
          <t>Mahaboob Basha</t>
        </is>
      </c>
      <c r="B1675" s="37" t="inlineStr">
        <is>
          <t>Coimbatore</t>
        </is>
      </c>
      <c r="C1675" s="37" t="inlineStr">
        <is>
          <t>GROW-Youth-CITI</t>
        </is>
      </c>
      <c r="D1675" s="37" t="inlineStr">
        <is>
          <t>2026-07-17</t>
        </is>
      </c>
      <c r="E1675" s="37" t="inlineStr">
        <is>
          <t>Data Check</t>
        </is>
      </c>
      <c r="F1675" s="37" t="inlineStr">
        <is>
          <t>Check aspirant Hostel Forms are properly filled or not.</t>
        </is>
      </c>
      <c r="G1675" s="37" t="inlineStr">
        <is>
          <t>Not Applicable</t>
        </is>
      </c>
    </row>
    <row r="1676">
      <c r="A1676" s="37" t="inlineStr">
        <is>
          <t>Mahaboob Basha</t>
        </is>
      </c>
      <c r="B1676" s="37" t="inlineStr">
        <is>
          <t>Coimbatore</t>
        </is>
      </c>
      <c r="C1676" s="37" t="inlineStr">
        <is>
          <t>GROW-Youth-CITI</t>
        </is>
      </c>
      <c r="D1676" s="37" t="inlineStr">
        <is>
          <t>2026-07-17</t>
        </is>
      </c>
      <c r="E1676" s="37" t="inlineStr">
        <is>
          <t>Infra Check</t>
        </is>
      </c>
      <c r="F1676" s="37" t="inlineStr">
        <is>
          <t>Check all CCTV cameras; if any are not working, ask the AH to troubleshoot or call the vendor.</t>
        </is>
      </c>
      <c r="G1676" s="37" t="inlineStr">
        <is>
          <t>All is Well</t>
        </is>
      </c>
    </row>
    <row r="1677">
      <c r="A1677" s="37" t="inlineStr">
        <is>
          <t>Mahaboob Basha</t>
        </is>
      </c>
      <c r="B1677" s="37" t="inlineStr">
        <is>
          <t>Coimbatore</t>
        </is>
      </c>
      <c r="C1677" s="37" t="inlineStr">
        <is>
          <t>GROW-Youth-CITI</t>
        </is>
      </c>
      <c r="D1677" s="37" t="inlineStr">
        <is>
          <t>2026-07-17</t>
        </is>
      </c>
      <c r="E1677" s="37" t="inlineStr">
        <is>
          <t>Infra Check</t>
        </is>
      </c>
      <c r="F1677" s="37" t="inlineStr">
        <is>
          <t>Check for any scrap material and get it cleared, with support of Admin</t>
        </is>
      </c>
      <c r="G1677" s="37" t="inlineStr">
        <is>
          <t>All is Well</t>
        </is>
      </c>
    </row>
    <row r="1678">
      <c r="A1678" s="37" t="inlineStr">
        <is>
          <t>Mahaboob Basha</t>
        </is>
      </c>
      <c r="B1678" s="37" t="inlineStr">
        <is>
          <t>Coimbatore</t>
        </is>
      </c>
      <c r="C1678" s="37" t="inlineStr">
        <is>
          <t>GROW-Youth-CITI</t>
        </is>
      </c>
      <c r="D1678" s="37" t="inlineStr">
        <is>
          <t>2026-07-17</t>
        </is>
      </c>
      <c r="E1678" s="37" t="inlineStr">
        <is>
          <t>Infra Check</t>
        </is>
      </c>
      <c r="F1678" s="37" t="inlineStr">
        <is>
          <t>Check for any pending infra repairs.</t>
        </is>
      </c>
      <c r="G1678" s="37" t="inlineStr">
        <is>
          <t>All is Well</t>
        </is>
      </c>
    </row>
    <row r="1679">
      <c r="A1679" s="37" t="inlineStr">
        <is>
          <t>Mahaboob Basha</t>
        </is>
      </c>
      <c r="B1679" s="37" t="inlineStr">
        <is>
          <t>Coimbatore</t>
        </is>
      </c>
      <c r="C1679" s="37" t="inlineStr">
        <is>
          <t>GROW-Youth-CITI</t>
        </is>
      </c>
      <c r="D1679" s="37" t="inlineStr">
        <is>
          <t>2026-07-17</t>
        </is>
      </c>
      <c r="E1679" s="37" t="inlineStr">
        <is>
          <t>Infra Check</t>
        </is>
      </c>
      <c r="F1679" s="37" t="inlineStr">
        <is>
          <t>Check whether any fire extinguishers have expired (check the needle and expiry date both).</t>
        </is>
      </c>
      <c r="G1679" s="37" t="inlineStr">
        <is>
          <t>All is Well</t>
        </is>
      </c>
    </row>
    <row r="1680">
      <c r="A1680" s="37" t="inlineStr">
        <is>
          <t>Mahaboob Basha</t>
        </is>
      </c>
      <c r="B1680" s="37" t="inlineStr">
        <is>
          <t>Coimbatore</t>
        </is>
      </c>
      <c r="C1680" s="37" t="inlineStr">
        <is>
          <t>GROW-Youth-CITI</t>
        </is>
      </c>
      <c r="D1680" s="37" t="inlineStr">
        <is>
          <t>2026-07-17</t>
        </is>
      </c>
      <c r="E1680" s="37" t="inlineStr">
        <is>
          <t>Infra Check</t>
        </is>
      </c>
      <c r="F1680" s="37" t="inlineStr">
        <is>
          <t>Check basic cleanliness of the washrooms and the centre.</t>
        </is>
      </c>
      <c r="G1680" s="37" t="inlineStr">
        <is>
          <t>All is Well</t>
        </is>
      </c>
    </row>
    <row r="1681">
      <c r="A1681" s="37" t="inlineStr">
        <is>
          <t>Mahaboob Basha</t>
        </is>
      </c>
      <c r="B1681" s="37" t="inlineStr">
        <is>
          <t>Coimbatore</t>
        </is>
      </c>
      <c r="C1681" s="37" t="inlineStr">
        <is>
          <t>GROW-Youth-CITI</t>
        </is>
      </c>
      <c r="D1681" s="37" t="inlineStr">
        <is>
          <t>2026-07-17</t>
        </is>
      </c>
      <c r="E1681" s="37" t="inlineStr">
        <is>
          <t>Infra Check</t>
        </is>
      </c>
      <c r="F1681" s="37" t="inlineStr">
        <is>
          <t>Confirm the correct program and partner logos are displayed.</t>
        </is>
      </c>
      <c r="G1681" s="37" t="inlineStr">
        <is>
          <t>All is Well</t>
        </is>
      </c>
    </row>
    <row r="1682">
      <c r="A1682" s="37" t="inlineStr">
        <is>
          <t>Mahaboob Basha</t>
        </is>
      </c>
      <c r="B1682" s="37" t="inlineStr">
        <is>
          <t>Coimbatore</t>
        </is>
      </c>
      <c r="C1682" s="37" t="inlineStr">
        <is>
          <t>GROW-Youth-CITI</t>
        </is>
      </c>
      <c r="D1682" s="37" t="inlineStr">
        <is>
          <t>2026-07-17</t>
        </is>
      </c>
      <c r="E1682" s="37" t="inlineStr">
        <is>
          <t>Infra Check</t>
        </is>
      </c>
      <c r="F1682" s="37" t="inlineStr">
        <is>
          <t>Check the status of digital infra — PCs, smartboards, tablets, laptops, etc.</t>
        </is>
      </c>
      <c r="G1682" s="37" t="inlineStr">
        <is>
          <t>All is Well</t>
        </is>
      </c>
    </row>
    <row r="1683">
      <c r="A1683" s="37" t="inlineStr">
        <is>
          <t>Mahaboob Basha</t>
        </is>
      </c>
      <c r="B1683" s="37" t="inlineStr">
        <is>
          <t>Coimbatore</t>
        </is>
      </c>
      <c r="C1683" s="37" t="inlineStr">
        <is>
          <t>GROW-Youth-CITI</t>
        </is>
      </c>
      <c r="D1683" s="37" t="inlineStr">
        <is>
          <t>2026-07-17</t>
        </is>
      </c>
      <c r="E1683" s="37" t="inlineStr">
        <is>
          <t>Infra Check</t>
        </is>
      </c>
      <c r="F1683" s="37" t="inlineStr">
        <is>
          <t>Make a quick hostel visit; have lunch there if possible to test the food quality.</t>
        </is>
      </c>
      <c r="G1683" s="37" t="inlineStr">
        <is>
          <t>Not Applicable</t>
        </is>
      </c>
    </row>
    <row r="1684">
      <c r="A1684" s="37" t="inlineStr">
        <is>
          <t>Mahaboob Basha</t>
        </is>
      </c>
      <c r="B1684" s="37" t="inlineStr">
        <is>
          <t>Coimbatore</t>
        </is>
      </c>
      <c r="C1684" s="37" t="inlineStr">
        <is>
          <t>GROW-Youth-CITI</t>
        </is>
      </c>
      <c r="D1684" s="37" t="inlineStr">
        <is>
          <t>2026-07-17</t>
        </is>
      </c>
      <c r="E1684" s="37" t="inlineStr">
        <is>
          <t>Process Check</t>
        </is>
      </c>
      <c r="F1684" s="37" t="inlineStr">
        <is>
          <t>Refer to the activity planner — check if any activities are delayed.</t>
        </is>
      </c>
      <c r="G1684" s="37" t="inlineStr">
        <is>
          <t>Not Applicable</t>
        </is>
      </c>
    </row>
    <row r="1685">
      <c r="A1685" s="37" t="inlineStr">
        <is>
          <t>Mahaboob Basha</t>
        </is>
      </c>
      <c r="B1685" s="37" t="inlineStr">
        <is>
          <t>Coimbatore</t>
        </is>
      </c>
      <c r="C1685" s="37" t="inlineStr">
        <is>
          <t>GROW-Youth-CITI</t>
        </is>
      </c>
      <c r="D1685" s="37" t="inlineStr">
        <is>
          <t>2026-07-17</t>
        </is>
      </c>
      <c r="E1685" s="37" t="inlineStr">
        <is>
          <t>Process Check</t>
        </is>
      </c>
      <c r="F1685" s="37" t="inlineStr">
        <is>
          <t>Check planning for the next batch-start announcement.</t>
        </is>
      </c>
      <c r="G1685" s="37" t="inlineStr">
        <is>
          <t>All is Well</t>
        </is>
      </c>
    </row>
    <row r="1686">
      <c r="A1686" s="37" t="inlineStr">
        <is>
          <t>Mahaboob Basha</t>
        </is>
      </c>
      <c r="B1686" s="37" t="inlineStr">
        <is>
          <t>Coimbatore</t>
        </is>
      </c>
      <c r="C1686" s="37" t="inlineStr">
        <is>
          <t>GROW-Youth-CITI</t>
        </is>
      </c>
      <c r="D1686" s="37" t="inlineStr">
        <is>
          <t>2026-07-17</t>
        </is>
      </c>
      <c r="E1686" s="37" t="inlineStr">
        <is>
          <t>Process Check</t>
        </is>
      </c>
      <c r="F1686" s="37" t="inlineStr">
        <is>
          <t>Check if any hiring is delayed and plan a resolution.</t>
        </is>
      </c>
      <c r="G1686" s="37" t="inlineStr">
        <is>
          <t>All is Well</t>
        </is>
      </c>
    </row>
    <row r="1687">
      <c r="A1687" s="37" t="inlineStr">
        <is>
          <t>Mahaboob Basha</t>
        </is>
      </c>
      <c r="B1687" s="37" t="inlineStr">
        <is>
          <t>Coimbatore</t>
        </is>
      </c>
      <c r="C1687" s="37" t="inlineStr">
        <is>
          <t>GROW-Youth-CITI</t>
        </is>
      </c>
      <c r="D1687" s="37" t="inlineStr">
        <is>
          <t>2026-07-17</t>
        </is>
      </c>
      <c r="E1687" s="37" t="inlineStr">
        <is>
          <t>Process Check</t>
        </is>
      </c>
      <c r="F1687" s="37" t="inlineStr">
        <is>
          <t>Check the CA’s diary — is CA guided daily by the AH during planning days?</t>
        </is>
      </c>
      <c r="G1687" s="37" t="inlineStr">
        <is>
          <t>All is Well</t>
        </is>
      </c>
    </row>
    <row r="1688">
      <c r="A1688" s="37" t="inlineStr">
        <is>
          <t>Mahaboob Basha</t>
        </is>
      </c>
      <c r="B1688" s="37" t="inlineStr">
        <is>
          <t>Coimbatore</t>
        </is>
      </c>
      <c r="C1688" s="37" t="inlineStr">
        <is>
          <t>GROW-Youth-CITI</t>
        </is>
      </c>
      <c r="D1688" s="37" t="inlineStr">
        <is>
          <t>2026-07-17</t>
        </is>
      </c>
      <c r="E1688" s="37" t="inlineStr">
        <is>
          <t>Process Check</t>
        </is>
      </c>
      <c r="F1688" s="37" t="inlineStr">
        <is>
          <t>Check the AH is regularly meeting employers (in person and online) and updating the centre’s Top 20 Employer format.</t>
        </is>
      </c>
      <c r="G1688" s="37" t="inlineStr">
        <is>
          <t>All is Well</t>
        </is>
      </c>
    </row>
    <row r="1689">
      <c r="A1689" s="37" t="inlineStr">
        <is>
          <t>Mahaboob Basha</t>
        </is>
      </c>
      <c r="B1689" s="37" t="inlineStr">
        <is>
          <t>Coimbatore</t>
        </is>
      </c>
      <c r="C1689" s="37" t="inlineStr">
        <is>
          <t>GROW-Youth-CITI</t>
        </is>
      </c>
      <c r="D1689" s="37" t="inlineStr">
        <is>
          <t>2026-07-17</t>
        </is>
      </c>
      <c r="E1689" s="37" t="inlineStr">
        <is>
          <t>Process Check</t>
        </is>
      </c>
      <c r="F1689" s="37" t="inlineStr">
        <is>
          <t>Confirm all new employers are registered on portal as per new process.</t>
        </is>
      </c>
      <c r="G1689" s="37" t="inlineStr">
        <is>
          <t>All is Well</t>
        </is>
      </c>
    </row>
    <row r="1690">
      <c r="A1690" s="37" t="inlineStr">
        <is>
          <t>Mahaboob Basha</t>
        </is>
      </c>
      <c r="B1690" s="37" t="inlineStr">
        <is>
          <t>Coimbatore</t>
        </is>
      </c>
      <c r="C1690" s="37" t="inlineStr">
        <is>
          <t>GROW-Youth-CITI</t>
        </is>
      </c>
      <c r="D1690" s="37" t="inlineStr">
        <is>
          <t>2026-07-17</t>
        </is>
      </c>
      <c r="E1690" s="37" t="inlineStr">
        <is>
          <t>Process Check</t>
        </is>
      </c>
      <c r="F1690" s="37" t="inlineStr">
        <is>
          <t>Confirm 100% of enrolled students undergone screening (for technical courses).</t>
        </is>
      </c>
      <c r="G1690" s="37" t="inlineStr">
        <is>
          <t>Not Applicable</t>
        </is>
      </c>
    </row>
    <row r="1691">
      <c r="A1691" s="37" t="inlineStr">
        <is>
          <t>Mahaboob Basha</t>
        </is>
      </c>
      <c r="B1691" s="37" t="inlineStr">
        <is>
          <t>Coimbatore</t>
        </is>
      </c>
      <c r="C1691" s="37" t="inlineStr">
        <is>
          <t>GROW-Youth-CITI</t>
        </is>
      </c>
      <c r="D1691" s="37" t="inlineStr">
        <is>
          <t>2026-07-17</t>
        </is>
      </c>
      <c r="E1691" s="37" t="inlineStr">
        <is>
          <t>Process Check</t>
        </is>
      </c>
      <c r="F1691" s="37" t="inlineStr">
        <is>
          <t>Confirm ESA is done (in GROW full ESA and in Technical courses relevant sections of Core Employability Part).</t>
        </is>
      </c>
      <c r="G1691" s="37" t="inlineStr">
        <is>
          <t>All is Well</t>
        </is>
      </c>
    </row>
    <row r="1692">
      <c r="A1692" s="37" t="inlineStr">
        <is>
          <t>Mahaboob Basha</t>
        </is>
      </c>
      <c r="B1692" s="37" t="inlineStr">
        <is>
          <t>Coimbatore</t>
        </is>
      </c>
      <c r="C1692" s="37" t="inlineStr">
        <is>
          <t>GROW-Youth-CITI</t>
        </is>
      </c>
      <c r="D1692" s="37" t="inlineStr">
        <is>
          <t>2026-07-17</t>
        </is>
      </c>
      <c r="E1692" s="37" t="inlineStr">
        <is>
          <t>Process Check</t>
        </is>
      </c>
      <c r="F1692" s="37" t="inlineStr">
        <is>
          <t>Check is AH giving capstone project in GROW Tech.</t>
        </is>
      </c>
      <c r="G1692" s="37" t="inlineStr">
        <is>
          <t>Not Applicable</t>
        </is>
      </c>
    </row>
    <row r="1693">
      <c r="A1693" s="37" t="inlineStr">
        <is>
          <t>Mahaboob Basha</t>
        </is>
      </c>
      <c r="B1693" s="37" t="inlineStr">
        <is>
          <t>Coimbatore</t>
        </is>
      </c>
      <c r="C1693" s="37" t="inlineStr">
        <is>
          <t>GROW-Youth-CITI</t>
        </is>
      </c>
      <c r="D1693" s="37" t="inlineStr">
        <is>
          <t>2026-07-17</t>
        </is>
      </c>
      <c r="E1693" s="37" t="inlineStr">
        <is>
          <t>Process Check</t>
        </is>
      </c>
      <c r="F1693" s="37" t="inlineStr">
        <is>
          <t>Check is AH planning OJT as per guidelines and proofs are collected for technical courses.</t>
        </is>
      </c>
      <c r="G1693" s="37" t="inlineStr">
        <is>
          <t>Not Applicable</t>
        </is>
      </c>
    </row>
    <row r="1694">
      <c r="A1694" s="37" t="inlineStr">
        <is>
          <t>Mahaboob Basha</t>
        </is>
      </c>
      <c r="B1694" s="37" t="inlineStr">
        <is>
          <t>Coimbatore</t>
        </is>
      </c>
      <c r="C1694" s="37" t="inlineStr">
        <is>
          <t>GROW-Youth-CITI</t>
        </is>
      </c>
      <c r="D1694" s="37" t="inlineStr">
        <is>
          <t>2026-07-17</t>
        </is>
      </c>
      <c r="E1694" s="37" t="inlineStr">
        <is>
          <t>Process Check</t>
        </is>
      </c>
      <c r="F1694" s="37" t="inlineStr">
        <is>
          <t>Check are trainers contacting aspirants to find reason for their absenteeism of more than 1 day.</t>
        </is>
      </c>
      <c r="G1694" s="37" t="inlineStr">
        <is>
          <t>All is Well</t>
        </is>
      </c>
    </row>
    <row r="1695">
      <c r="A1695" s="37" t="inlineStr">
        <is>
          <t>Mahaboob Basha</t>
        </is>
      </c>
      <c r="B1695" s="37" t="inlineStr">
        <is>
          <t>Coimbatore</t>
        </is>
      </c>
      <c r="C1695" s="37" t="inlineStr">
        <is>
          <t>GROW-Youth-CITI</t>
        </is>
      </c>
      <c r="D1695" s="37" t="inlineStr">
        <is>
          <t>2026-07-17</t>
        </is>
      </c>
      <c r="E1695" s="37" t="inlineStr">
        <is>
          <t>Process Check</t>
        </is>
      </c>
      <c r="F1695" s="37" t="inlineStr">
        <is>
          <t>Check the AH plans monthly enrolment and placement numbers by the 3rd of each month and shares them with second level managers.</t>
        </is>
      </c>
      <c r="G1695" s="37" t="inlineStr">
        <is>
          <t>All is Well</t>
        </is>
      </c>
    </row>
    <row r="1696">
      <c r="A1696" s="37" t="inlineStr">
        <is>
          <t>Mahaboob Basha</t>
        </is>
      </c>
      <c r="B1696" s="37" t="inlineStr">
        <is>
          <t>Coimbatore</t>
        </is>
      </c>
      <c r="C1696" s="37" t="inlineStr">
        <is>
          <t>GROW-Youth-CITI</t>
        </is>
      </c>
      <c r="D1696" s="37" t="inlineStr">
        <is>
          <t>2026-07-17</t>
        </is>
      </c>
      <c r="E1696" s="37" t="inlineStr">
        <is>
          <t>Process Check</t>
        </is>
      </c>
      <c r="F1696" s="37" t="inlineStr">
        <is>
          <t>Check trainers submit aspirants’ placement interest areas to the AH by the batch’s 25th day (in GROW).</t>
        </is>
      </c>
      <c r="G1696" s="37" t="inlineStr">
        <is>
          <t>All is Well</t>
        </is>
      </c>
    </row>
    <row r="1697">
      <c r="A1697" s="37" t="inlineStr">
        <is>
          <t>Mahaboob Basha</t>
        </is>
      </c>
      <c r="B1697" s="37" t="inlineStr">
        <is>
          <t>Coimbatore</t>
        </is>
      </c>
      <c r="C1697" s="37" t="inlineStr">
        <is>
          <t>GROW-Youth-CITI</t>
        </is>
      </c>
      <c r="D1697" s="37" t="inlineStr">
        <is>
          <t>2026-07-17</t>
        </is>
      </c>
      <c r="E1697" s="37" t="inlineStr">
        <is>
          <t>Process Check</t>
        </is>
      </c>
      <c r="F1697" s="37" t="inlineStr">
        <is>
          <t>Ckeck For technical programs, placement is done only in technical jobs,on which aspirants are trained and relevant emplyers are identified by 45th day.</t>
        </is>
      </c>
      <c r="G1697" s="37" t="inlineStr">
        <is>
          <t>Not Applicable</t>
        </is>
      </c>
    </row>
    <row r="1698">
      <c r="A1698" s="37" t="inlineStr">
        <is>
          <t>Mahaboob Basha</t>
        </is>
      </c>
      <c r="B1698" s="37" t="inlineStr">
        <is>
          <t>Coimbatore</t>
        </is>
      </c>
      <c r="C1698" s="37" t="inlineStr">
        <is>
          <t>GROW-Youth-CITI</t>
        </is>
      </c>
      <c r="D1698" s="37" t="inlineStr">
        <is>
          <t>2026-07-17</t>
        </is>
      </c>
      <c r="E1698" s="37" t="inlineStr">
        <is>
          <t>Process Check</t>
        </is>
      </c>
      <c r="F1698" s="37" t="inlineStr">
        <is>
          <t>Check the AH follows EP guidelines and minimum benchmark salary guidelines.</t>
        </is>
      </c>
      <c r="G1698" s="37" t="inlineStr">
        <is>
          <t>All is Well</t>
        </is>
      </c>
    </row>
    <row r="1699">
      <c r="A1699" s="37" t="inlineStr">
        <is>
          <t>Mahaboob Basha</t>
        </is>
      </c>
      <c r="B1699" s="37" t="inlineStr">
        <is>
          <t>Coimbatore</t>
        </is>
      </c>
      <c r="C1699" s="37" t="inlineStr">
        <is>
          <t>GROW-Youth-CITI</t>
        </is>
      </c>
      <c r="D1699" s="37" t="inlineStr">
        <is>
          <t>2026-07-17</t>
        </is>
      </c>
      <c r="E1699" s="37" t="inlineStr">
        <is>
          <t>Process Check</t>
        </is>
      </c>
      <c r="F1699" s="37" t="inlineStr">
        <is>
          <t>Check that AH is enrolling only the right traget group in the program -as per the defined target.</t>
        </is>
      </c>
      <c r="G1699" s="37" t="inlineStr">
        <is>
          <t>All is Well</t>
        </is>
      </c>
    </row>
    <row r="1700">
      <c r="A1700" s="37" t="inlineStr">
        <is>
          <t>Mahaboob Basha</t>
        </is>
      </c>
      <c r="B1700" s="37" t="inlineStr">
        <is>
          <t>Coimbatore</t>
        </is>
      </c>
      <c r="C1700" s="37" t="inlineStr">
        <is>
          <t>GROW-Youth-CITI</t>
        </is>
      </c>
      <c r="D1700" s="37" t="inlineStr">
        <is>
          <t>2026-07-17</t>
        </is>
      </c>
      <c r="E1700" s="37" t="inlineStr">
        <is>
          <t>Process Check</t>
        </is>
      </c>
      <c r="F1700" s="37" t="inlineStr">
        <is>
          <t>Check the AH announces the next batch-start date by the 3rd of the month on all notice boards — focus on Zero-Day start.</t>
        </is>
      </c>
      <c r="G1700" s="37" t="inlineStr">
        <is>
          <t>All is Well</t>
        </is>
      </c>
    </row>
    <row r="1701">
      <c r="A1701" s="37" t="inlineStr">
        <is>
          <t>Mahaboob Basha</t>
        </is>
      </c>
      <c r="B1701" s="37" t="inlineStr">
        <is>
          <t>Coimbatore</t>
        </is>
      </c>
      <c r="C1701" s="37" t="inlineStr">
        <is>
          <t>GROW-Youth-CITI</t>
        </is>
      </c>
      <c r="D1701" s="37" t="inlineStr">
        <is>
          <t>2026-07-17</t>
        </is>
      </c>
      <c r="E1701" s="37" t="inlineStr">
        <is>
          <t>Process Check</t>
        </is>
      </c>
      <c r="F1701" s="37" t="inlineStr">
        <is>
          <t>Check the Aspirant Mock Interview Score Tracker is updated after every mock interview in the L&amp;D Google Sheet.</t>
        </is>
      </c>
      <c r="G1701" s="37" t="inlineStr">
        <is>
          <t>All is Well</t>
        </is>
      </c>
    </row>
    <row r="1702">
      <c r="A1702" s="37" t="inlineStr">
        <is>
          <t>Mahaboob Basha</t>
        </is>
      </c>
      <c r="B1702" s="37" t="inlineStr">
        <is>
          <t>Coimbatore</t>
        </is>
      </c>
      <c r="C1702" s="37" t="inlineStr">
        <is>
          <t>GROW-Youth-CITI</t>
        </is>
      </c>
      <c r="D1702" s="37" t="inlineStr">
        <is>
          <t>2026-07-17</t>
        </is>
      </c>
      <c r="E1702" s="37" t="inlineStr">
        <is>
          <t>Process Check</t>
        </is>
      </c>
      <c r="F1702" s="37" t="inlineStr">
        <is>
          <t>Confirm NPS (Net Promoter Score) is collected at MSDF centres.</t>
        </is>
      </c>
      <c r="G1702" s="37" t="inlineStr">
        <is>
          <t>Not Applicable</t>
        </is>
      </c>
    </row>
    <row r="1703">
      <c r="A1703" s="37" t="inlineStr">
        <is>
          <t>Mahaboob Basha</t>
        </is>
      </c>
      <c r="B1703" s="37" t="inlineStr">
        <is>
          <t>Coimbatore</t>
        </is>
      </c>
      <c r="C1703" s="37" t="inlineStr">
        <is>
          <t>GROW-Youth-CITI</t>
        </is>
      </c>
      <c r="D1703" s="37" t="inlineStr">
        <is>
          <t>2026-07-17</t>
        </is>
      </c>
      <c r="E1703" s="37" t="inlineStr">
        <is>
          <t>Process Check</t>
        </is>
      </c>
      <c r="F1703" s="37" t="inlineStr">
        <is>
          <t>Confirm that QAE is collecting student feedback for every batch.</t>
        </is>
      </c>
      <c r="G1703" s="37" t="inlineStr">
        <is>
          <t>All is Well</t>
        </is>
      </c>
    </row>
    <row r="1704">
      <c r="A1704" s="37" t="inlineStr">
        <is>
          <t>Mahaboob Basha</t>
        </is>
      </c>
      <c r="B1704" s="37" t="inlineStr">
        <is>
          <t>Coimbatore</t>
        </is>
      </c>
      <c r="C1704" s="37" t="inlineStr">
        <is>
          <t>GROW-Youth-CITI</t>
        </is>
      </c>
      <c r="D1704" s="37" t="inlineStr">
        <is>
          <t>2026-07-17</t>
        </is>
      </c>
      <c r="E1704" s="37" t="inlineStr">
        <is>
          <t>Process Check</t>
        </is>
      </c>
      <c r="F1704" s="37" t="inlineStr">
        <is>
          <t>Confirm all centre teams have completed the GROW Manual Course on Skillfy — ask for achievement certificates.</t>
        </is>
      </c>
      <c r="G1704" s="37" t="inlineStr">
        <is>
          <t>Need Improvement</t>
        </is>
      </c>
    </row>
    <row r="1705">
      <c r="A1705" s="37" t="inlineStr">
        <is>
          <t>Mahaboob Basha</t>
        </is>
      </c>
      <c r="B1705" s="37" t="inlineStr">
        <is>
          <t>Coimbatore</t>
        </is>
      </c>
      <c r="C1705" s="37" t="inlineStr">
        <is>
          <t>GROW-Youth-CITI</t>
        </is>
      </c>
      <c r="D1705" s="37" t="inlineStr">
        <is>
          <t>2026-07-17</t>
        </is>
      </c>
      <c r="E1705" s="37" t="inlineStr">
        <is>
          <t>Process Check</t>
        </is>
      </c>
      <c r="F1705" s="37" t="inlineStr">
        <is>
          <t>Check AH holds a quality weekly team meeting, documents action points in the weekly meeting format, and sends you a photo on WhatsApp.</t>
        </is>
      </c>
      <c r="G1705" s="37" t="inlineStr">
        <is>
          <t>All is Well</t>
        </is>
      </c>
    </row>
    <row r="1706">
      <c r="A1706" s="37" t="inlineStr">
        <is>
          <t>Mahaboob Basha</t>
        </is>
      </c>
      <c r="B1706" s="37" t="inlineStr">
        <is>
          <t>Coimbatore</t>
        </is>
      </c>
      <c r="C1706" s="37" t="inlineStr">
        <is>
          <t>GROW-Youth-CITI</t>
        </is>
      </c>
      <c r="D1706" s="37" t="inlineStr">
        <is>
          <t>2026-07-17</t>
        </is>
      </c>
      <c r="E1706" s="37" t="inlineStr">
        <is>
          <t>Aspirant Interaction</t>
        </is>
      </c>
      <c r="F1706" s="37" t="inlineStr">
        <is>
          <t>Ask aspirants about the session plan — confirm training is happening as planned?</t>
        </is>
      </c>
      <c r="G1706" s="37" t="inlineStr">
        <is>
          <t>All is Well</t>
        </is>
      </c>
    </row>
    <row r="1707">
      <c r="A1707" s="37" t="inlineStr">
        <is>
          <t>Mahaboob Basha</t>
        </is>
      </c>
      <c r="B1707" s="37" t="inlineStr">
        <is>
          <t>Coimbatore</t>
        </is>
      </c>
      <c r="C1707" s="37" t="inlineStr">
        <is>
          <t>GROW-Youth-CITI</t>
        </is>
      </c>
      <c r="D1707" s="37" t="inlineStr">
        <is>
          <t>2026-07-17</t>
        </is>
      </c>
      <c r="E1707" s="37" t="inlineStr">
        <is>
          <t>Aspirant Interaction</t>
        </is>
      </c>
      <c r="F1707" s="37" t="inlineStr">
        <is>
          <t>Ask about the quality of Core Employability component delivery (technical centres) and who delivers it.</t>
        </is>
      </c>
      <c r="G1707" s="37" t="inlineStr">
        <is>
          <t>All is Well</t>
        </is>
      </c>
    </row>
    <row r="1708">
      <c r="A1708" s="37" t="inlineStr">
        <is>
          <t>Mahaboob Basha</t>
        </is>
      </c>
      <c r="B1708" s="37" t="inlineStr">
        <is>
          <t>Coimbatore</t>
        </is>
      </c>
      <c r="C1708" s="37" t="inlineStr">
        <is>
          <t>GROW-Youth-CITI</t>
        </is>
      </c>
      <c r="D1708" s="37" t="inlineStr">
        <is>
          <t>2026-07-17</t>
        </is>
      </c>
      <c r="E1708" s="37" t="inlineStr">
        <is>
          <t>Aspirant Interaction</t>
        </is>
      </c>
      <c r="F1708" s="37" t="inlineStr">
        <is>
          <t>Ask whether they are aware of the referral scheme?</t>
        </is>
      </c>
      <c r="G1708" s="37" t="inlineStr">
        <is>
          <t>All is Well</t>
        </is>
      </c>
    </row>
    <row r="1709">
      <c r="A1709" s="37" t="inlineStr">
        <is>
          <t>Mahaboob Basha</t>
        </is>
      </c>
      <c r="B1709" s="37" t="inlineStr">
        <is>
          <t>Coimbatore</t>
        </is>
      </c>
      <c r="C1709" s="37" t="inlineStr">
        <is>
          <t>GROW-Youth-CITI</t>
        </is>
      </c>
      <c r="D1709" s="37" t="inlineStr">
        <is>
          <t>2026-07-17</t>
        </is>
      </c>
      <c r="E1709" s="37" t="inlineStr">
        <is>
          <t>Aspirant Interaction</t>
        </is>
      </c>
      <c r="F1709" s="37" t="inlineStr">
        <is>
          <t>Ask whether the AH explained the importance of the offer letter and sharing it with us once received for reporting purposes?</t>
        </is>
      </c>
      <c r="G1709" s="37" t="inlineStr">
        <is>
          <t>All is Well</t>
        </is>
      </c>
    </row>
    <row r="1710">
      <c r="A1710" s="37" t="inlineStr">
        <is>
          <t>Mahaboob Basha</t>
        </is>
      </c>
      <c r="B1710" s="37" t="inlineStr">
        <is>
          <t>Coimbatore</t>
        </is>
      </c>
      <c r="C1710" s="37" t="inlineStr">
        <is>
          <t>GROW-Youth-CITI</t>
        </is>
      </c>
      <c r="D1710" s="37" t="inlineStr">
        <is>
          <t>2026-07-17</t>
        </is>
      </c>
      <c r="E1710" s="37" t="inlineStr">
        <is>
          <t>Aspirant Interaction</t>
        </is>
      </c>
      <c r="F1710" s="37" t="inlineStr">
        <is>
          <t>Ask how many are not interested in jobs — and if so, why they enrolled in the programme?</t>
        </is>
      </c>
      <c r="G1710" s="37" t="inlineStr">
        <is>
          <t>All is Well</t>
        </is>
      </c>
    </row>
    <row r="1711">
      <c r="A1711" s="37" t="inlineStr">
        <is>
          <t>Mahaboob Basha</t>
        </is>
      </c>
      <c r="B1711" s="37" t="inlineStr">
        <is>
          <t>Coimbatore</t>
        </is>
      </c>
      <c r="C1711" s="37" t="inlineStr">
        <is>
          <t>GROW-Youth-CITI</t>
        </is>
      </c>
      <c r="D1711" s="37" t="inlineStr">
        <is>
          <t>2026-07-17</t>
        </is>
      </c>
      <c r="E1711" s="37" t="inlineStr">
        <is>
          <t>Aspirant Interaction</t>
        </is>
      </c>
      <c r="F1711" s="37" t="inlineStr">
        <is>
          <t>Ask whether they were told the kind of job they would get during counselling?</t>
        </is>
      </c>
      <c r="G1711" s="37" t="inlineStr">
        <is>
          <t>All is Well</t>
        </is>
      </c>
    </row>
    <row r="1712">
      <c r="A1712" s="37" t="inlineStr">
        <is>
          <t>Mahaboob Basha</t>
        </is>
      </c>
      <c r="B1712" s="37" t="inlineStr">
        <is>
          <t>Coimbatore</t>
        </is>
      </c>
      <c r="C1712" s="37" t="inlineStr">
        <is>
          <t>GROW-Youth-CITI</t>
        </is>
      </c>
      <c r="D1712" s="37" t="inlineStr">
        <is>
          <t>2026-07-17</t>
        </is>
      </c>
      <c r="E1712" s="37" t="inlineStr">
        <is>
          <t>Aspirant Interaction</t>
        </is>
      </c>
      <c r="F1712" s="37" t="inlineStr">
        <is>
          <t>Ask whether they have been given LMS access?</t>
        </is>
      </c>
      <c r="G1712" s="37" t="inlineStr">
        <is>
          <t>All is Well</t>
        </is>
      </c>
    </row>
    <row r="1713">
      <c r="A1713" s="37" t="inlineStr">
        <is>
          <t>Mahaboob Basha</t>
        </is>
      </c>
      <c r="B1713" s="37" t="inlineStr">
        <is>
          <t>Coimbatore</t>
        </is>
      </c>
      <c r="C1713" s="37" t="inlineStr">
        <is>
          <t>GROW-Youth-CITI</t>
        </is>
      </c>
      <c r="D1713" s="37" t="inlineStr">
        <is>
          <t>2026-07-17</t>
        </is>
      </c>
      <c r="E1713" s="37" t="inlineStr">
        <is>
          <t>Aspirant Interaction</t>
        </is>
      </c>
      <c r="F1713" s="37" t="inlineStr">
        <is>
          <t>Ask whether anyone asked them for money for training or placement?</t>
        </is>
      </c>
      <c r="G1713" s="37" t="inlineStr">
        <is>
          <t>All is Well</t>
        </is>
      </c>
    </row>
    <row r="1714">
      <c r="A1714" s="37" t="inlineStr">
        <is>
          <t>Mahaboob Basha</t>
        </is>
      </c>
      <c r="B1714" s="37" t="inlineStr">
        <is>
          <t>Coimbatore</t>
        </is>
      </c>
      <c r="C1714" s="37" t="inlineStr">
        <is>
          <t>GROW-Youth-CITI</t>
        </is>
      </c>
      <c r="D1714" s="37" t="inlineStr">
        <is>
          <t>2026-07-17</t>
        </is>
      </c>
      <c r="E1714" s="37" t="inlineStr">
        <is>
          <t>Aspirant Interaction</t>
        </is>
      </c>
      <c r="F1714" s="37" t="inlineStr">
        <is>
          <t>Ask to show their mobile phones — are they enrolled on Skillfy? If not, get them enrolled and give written feedback to trainers and the AH in your presence.</t>
        </is>
      </c>
      <c r="G1714" s="37" t="inlineStr">
        <is>
          <t>All is Well</t>
        </is>
      </c>
    </row>
    <row r="1715">
      <c r="A1715" s="37" t="inlineStr">
        <is>
          <t>Mahaboob Basha</t>
        </is>
      </c>
      <c r="B1715" s="37" t="inlineStr">
        <is>
          <t>Coimbatore</t>
        </is>
      </c>
      <c r="C1715" s="37" t="inlineStr">
        <is>
          <t>GROW-Youth-CITI</t>
        </is>
      </c>
      <c r="D1715" s="37" t="inlineStr">
        <is>
          <t>2026-07-17</t>
        </is>
      </c>
      <c r="E1715" s="37" t="inlineStr">
        <is>
          <t>Aspirant Interaction</t>
        </is>
      </c>
      <c r="F1715" s="37" t="inlineStr">
        <is>
          <t>Ask about the quality of the hostel and any issues they face.</t>
        </is>
      </c>
      <c r="G1715" s="37" t="inlineStr">
        <is>
          <t>Not Applicable</t>
        </is>
      </c>
    </row>
    <row r="1716">
      <c r="A1716" s="37" t="inlineStr">
        <is>
          <t>Mahaboob Basha</t>
        </is>
      </c>
      <c r="B1716" s="37" t="inlineStr">
        <is>
          <t>Coimbatore</t>
        </is>
      </c>
      <c r="C1716" s="37" t="inlineStr">
        <is>
          <t>GROW-Youth-CITI</t>
        </is>
      </c>
      <c r="D1716" s="37" t="inlineStr">
        <is>
          <t>2026-07-17</t>
        </is>
      </c>
      <c r="E1716" s="37" t="inlineStr">
        <is>
          <t>Aspirant Interaction</t>
        </is>
      </c>
      <c r="F1716" s="37" t="inlineStr">
        <is>
          <t>Ask a few relevant screening questions to support the 10th-day report and remove non-serious candidates, explaining to them the reasons.</t>
        </is>
      </c>
      <c r="G1716" s="37" t="inlineStr">
        <is>
          <t>All is Well</t>
        </is>
      </c>
    </row>
    <row r="1717">
      <c r="A1717" s="37" t="inlineStr">
        <is>
          <t>Gagandeep Singh Sachar</t>
        </is>
      </c>
      <c r="B1717" s="37" t="inlineStr">
        <is>
          <t xml:space="preserve">Pune Green </t>
        </is>
      </c>
      <c r="C1717" s="37" t="inlineStr">
        <is>
          <t>Grow Green</t>
        </is>
      </c>
      <c r="D1717" s="37" t="inlineStr">
        <is>
          <t>2026-07-17</t>
        </is>
      </c>
      <c r="E1717" s="37" t="inlineStr">
        <is>
          <t>Data Check</t>
        </is>
      </c>
      <c r="F1717" s="37" t="inlineStr">
        <is>
          <t>Reach the centre on time (unannounced) — confirm the centre opened on time.</t>
        </is>
      </c>
      <c r="G1717" s="37" t="inlineStr">
        <is>
          <t>All is Well</t>
        </is>
      </c>
    </row>
    <row r="1718">
      <c r="A1718" s="37" t="inlineStr">
        <is>
          <t>Gagandeep Singh Sachar</t>
        </is>
      </c>
      <c r="B1718" s="37" t="inlineStr">
        <is>
          <t xml:space="preserve">Pune Green </t>
        </is>
      </c>
      <c r="C1718" s="37" t="inlineStr">
        <is>
          <t>Grow Green</t>
        </is>
      </c>
      <c r="D1718" s="37" t="inlineStr">
        <is>
          <t>2026-07-17</t>
        </is>
      </c>
      <c r="E1718" s="37" t="inlineStr">
        <is>
          <t>Data Check</t>
        </is>
      </c>
      <c r="F1718" s="37" t="inlineStr">
        <is>
          <t>Check the staff attendance register, the Google Sheet, and geo-tagged photos for aspirants.</t>
        </is>
      </c>
      <c r="G1718" s="37" t="inlineStr">
        <is>
          <t>Not Applicable</t>
        </is>
      </c>
    </row>
    <row r="1719">
      <c r="A1719" s="37" t="inlineStr">
        <is>
          <t>Gagandeep Singh Sachar</t>
        </is>
      </c>
      <c r="B1719" s="37" t="inlineStr">
        <is>
          <t xml:space="preserve">Pune Green </t>
        </is>
      </c>
      <c r="C1719" s="37" t="inlineStr">
        <is>
          <t>Grow Green</t>
        </is>
      </c>
      <c r="D1719" s="37" t="inlineStr">
        <is>
          <t>2026-07-17</t>
        </is>
      </c>
      <c r="E1719" s="37" t="inlineStr">
        <is>
          <t>Data Check</t>
        </is>
      </c>
      <c r="F1719" s="37" t="inlineStr">
        <is>
          <t>Check Counselling and Screening Forms of recently started batches.</t>
        </is>
      </c>
      <c r="G1719" s="37" t="inlineStr">
        <is>
          <t>All is Well</t>
        </is>
      </c>
    </row>
    <row r="1720">
      <c r="A1720" s="37" t="inlineStr">
        <is>
          <t>Gagandeep Singh Sachar</t>
        </is>
      </c>
      <c r="B1720" s="37" t="inlineStr">
        <is>
          <t xml:space="preserve">Pune Green </t>
        </is>
      </c>
      <c r="C1720" s="37" t="inlineStr">
        <is>
          <t>Grow Green</t>
        </is>
      </c>
      <c r="D1720" s="37" t="inlineStr">
        <is>
          <t>2026-07-17</t>
        </is>
      </c>
      <c r="E1720" s="37" t="inlineStr">
        <is>
          <t>Data Check</t>
        </is>
      </c>
      <c r="F1720" s="37" t="inlineStr">
        <is>
          <t>Check Aspirant Registration Forms and related documents.</t>
        </is>
      </c>
      <c r="G1720" s="37" t="inlineStr">
        <is>
          <t>Need Improvement</t>
        </is>
      </c>
    </row>
    <row r="1721">
      <c r="A1721" s="37" t="inlineStr">
        <is>
          <t>Gagandeep Singh Sachar</t>
        </is>
      </c>
      <c r="B1721" s="37" t="inlineStr">
        <is>
          <t xml:space="preserve">Pune Green </t>
        </is>
      </c>
      <c r="C1721" s="37" t="inlineStr">
        <is>
          <t>Grow Green</t>
        </is>
      </c>
      <c r="D1721" s="37" t="inlineStr">
        <is>
          <t>2026-07-17</t>
        </is>
      </c>
      <c r="E1721" s="37" t="inlineStr">
        <is>
          <t>Data Check</t>
        </is>
      </c>
      <c r="F1721" s="37" t="inlineStr">
        <is>
          <t>On the GROW portal, confirm all student profile details and batch updates are currect.</t>
        </is>
      </c>
      <c r="G1721" s="37" t="inlineStr">
        <is>
          <t>All is Well</t>
        </is>
      </c>
    </row>
    <row r="1722">
      <c r="A1722" s="37" t="inlineStr">
        <is>
          <t>Gagandeep Singh Sachar</t>
        </is>
      </c>
      <c r="B1722" s="37" t="inlineStr">
        <is>
          <t xml:space="preserve">Pune Green </t>
        </is>
      </c>
      <c r="C1722" s="37" t="inlineStr">
        <is>
          <t>Grow Green</t>
        </is>
      </c>
      <c r="D1722" s="37" t="inlineStr">
        <is>
          <t>2026-07-17</t>
        </is>
      </c>
      <c r="E1722" s="37" t="inlineStr">
        <is>
          <t>Data Check</t>
        </is>
      </c>
      <c r="F1722" s="37" t="inlineStr">
        <is>
          <t>Verify placement data — randomly call 3–4 alumni placed in the last 3 months to confirm veracity (random selection is essential).</t>
        </is>
      </c>
      <c r="G1722" s="37" t="inlineStr">
        <is>
          <t>Not Applicable</t>
        </is>
      </c>
    </row>
    <row r="1723">
      <c r="A1723" s="37" t="inlineStr">
        <is>
          <t>Gagandeep Singh Sachar</t>
        </is>
      </c>
      <c r="B1723" s="37" t="inlineStr">
        <is>
          <t xml:space="preserve">Pune Green </t>
        </is>
      </c>
      <c r="C1723" s="37" t="inlineStr">
        <is>
          <t>Grow Green</t>
        </is>
      </c>
      <c r="D1723" s="37" t="inlineStr">
        <is>
          <t>2026-07-17</t>
        </is>
      </c>
      <c r="E1723" s="37" t="inlineStr">
        <is>
          <t>Data Check</t>
        </is>
      </c>
      <c r="F1723" s="37" t="inlineStr">
        <is>
          <t>Verify retention — check the Alumni Hand-holding Format is being updated as designed.</t>
        </is>
      </c>
      <c r="G1723" s="37" t="inlineStr">
        <is>
          <t>Not Applicable</t>
        </is>
      </c>
    </row>
    <row r="1724">
      <c r="A1724" s="37" t="inlineStr">
        <is>
          <t>Gagandeep Singh Sachar</t>
        </is>
      </c>
      <c r="B1724" s="37" t="inlineStr">
        <is>
          <t xml:space="preserve">Pune Green </t>
        </is>
      </c>
      <c r="C1724" s="37" t="inlineStr">
        <is>
          <t>Grow Green</t>
        </is>
      </c>
      <c r="D1724" s="37" t="inlineStr">
        <is>
          <t>2026-07-17</t>
        </is>
      </c>
      <c r="E1724" s="37" t="inlineStr">
        <is>
          <t>Data Check</t>
        </is>
      </c>
      <c r="F1724" s="37" t="inlineStr">
        <is>
          <t>Check aspirant Hostel Forms are properly filled or not.</t>
        </is>
      </c>
      <c r="G1724" s="37" t="inlineStr">
        <is>
          <t>All is Well</t>
        </is>
      </c>
    </row>
    <row r="1725">
      <c r="A1725" s="37" t="inlineStr">
        <is>
          <t>Gagandeep Singh Sachar</t>
        </is>
      </c>
      <c r="B1725" s="37" t="inlineStr">
        <is>
          <t xml:space="preserve">Pune Green </t>
        </is>
      </c>
      <c r="C1725" s="37" t="inlineStr">
        <is>
          <t>Grow Green</t>
        </is>
      </c>
      <c r="D1725" s="37" t="inlineStr">
        <is>
          <t>2026-07-17</t>
        </is>
      </c>
      <c r="E1725" s="37" t="inlineStr">
        <is>
          <t>Infra Check</t>
        </is>
      </c>
      <c r="F1725" s="37" t="inlineStr">
        <is>
          <t>Check all CCTV cameras; if any are not working, ask the AH to troubleshoot or call the vendor.</t>
        </is>
      </c>
      <c r="G1725" s="37" t="inlineStr">
        <is>
          <t>All is Well</t>
        </is>
      </c>
    </row>
    <row r="1726">
      <c r="A1726" s="37" t="inlineStr">
        <is>
          <t>Gagandeep Singh Sachar</t>
        </is>
      </c>
      <c r="B1726" s="37" t="inlineStr">
        <is>
          <t xml:space="preserve">Pune Green </t>
        </is>
      </c>
      <c r="C1726" s="37" t="inlineStr">
        <is>
          <t>Grow Green</t>
        </is>
      </c>
      <c r="D1726" s="37" t="inlineStr">
        <is>
          <t>2026-07-17</t>
        </is>
      </c>
      <c r="E1726" s="37" t="inlineStr">
        <is>
          <t>Infra Check</t>
        </is>
      </c>
      <c r="F1726" s="37" t="inlineStr">
        <is>
          <t>Check for any scrap material and get it cleared, with support of Admin</t>
        </is>
      </c>
      <c r="G1726" s="37" t="inlineStr">
        <is>
          <t>Need Improvement</t>
        </is>
      </c>
    </row>
    <row r="1727">
      <c r="A1727" s="37" t="inlineStr">
        <is>
          <t>Gagandeep Singh Sachar</t>
        </is>
      </c>
      <c r="B1727" s="37" t="inlineStr">
        <is>
          <t xml:space="preserve">Pune Green </t>
        </is>
      </c>
      <c r="C1727" s="37" t="inlineStr">
        <is>
          <t>Grow Green</t>
        </is>
      </c>
      <c r="D1727" s="37" t="inlineStr">
        <is>
          <t>2026-07-17</t>
        </is>
      </c>
      <c r="E1727" s="37" t="inlineStr">
        <is>
          <t>Infra Check</t>
        </is>
      </c>
      <c r="F1727" s="37" t="inlineStr">
        <is>
          <t>Check for any pending infra repairs.</t>
        </is>
      </c>
      <c r="G1727" s="37" t="inlineStr">
        <is>
          <t>Need Improvement</t>
        </is>
      </c>
    </row>
    <row r="1728">
      <c r="A1728" s="37" t="inlineStr">
        <is>
          <t>Gagandeep Singh Sachar</t>
        </is>
      </c>
      <c r="B1728" s="37" t="inlineStr">
        <is>
          <t xml:space="preserve">Pune Green </t>
        </is>
      </c>
      <c r="C1728" s="37" t="inlineStr">
        <is>
          <t>Grow Green</t>
        </is>
      </c>
      <c r="D1728" s="37" t="inlineStr">
        <is>
          <t>2026-07-17</t>
        </is>
      </c>
      <c r="E1728" s="37" t="inlineStr">
        <is>
          <t>Infra Check</t>
        </is>
      </c>
      <c r="F1728" s="37" t="inlineStr">
        <is>
          <t>Check whether any fire extinguishers have expired (check the needle and expiry date both).</t>
        </is>
      </c>
      <c r="G1728" s="37" t="inlineStr">
        <is>
          <t>All is Well</t>
        </is>
      </c>
    </row>
    <row r="1729">
      <c r="A1729" s="37" t="inlineStr">
        <is>
          <t>Gagandeep Singh Sachar</t>
        </is>
      </c>
      <c r="B1729" s="37" t="inlineStr">
        <is>
          <t xml:space="preserve">Pune Green </t>
        </is>
      </c>
      <c r="C1729" s="37" t="inlineStr">
        <is>
          <t>Grow Green</t>
        </is>
      </c>
      <c r="D1729" s="37" t="inlineStr">
        <is>
          <t>2026-07-17</t>
        </is>
      </c>
      <c r="E1729" s="37" t="inlineStr">
        <is>
          <t>Infra Check</t>
        </is>
      </c>
      <c r="F1729" s="37" t="inlineStr">
        <is>
          <t>Check basic cleanliness of the washrooms and the centre.</t>
        </is>
      </c>
      <c r="G1729" s="37" t="inlineStr">
        <is>
          <t>All is Well</t>
        </is>
      </c>
    </row>
    <row r="1730">
      <c r="A1730" s="37" t="inlineStr">
        <is>
          <t>Gagandeep Singh Sachar</t>
        </is>
      </c>
      <c r="B1730" s="37" t="inlineStr">
        <is>
          <t xml:space="preserve">Pune Green </t>
        </is>
      </c>
      <c r="C1730" s="37" t="inlineStr">
        <is>
          <t>Grow Green</t>
        </is>
      </c>
      <c r="D1730" s="37" t="inlineStr">
        <is>
          <t>2026-07-17</t>
        </is>
      </c>
      <c r="E1730" s="37" t="inlineStr">
        <is>
          <t>Infra Check</t>
        </is>
      </c>
      <c r="F1730" s="37" t="inlineStr">
        <is>
          <t>Confirm the correct program and partner logos are displayed.</t>
        </is>
      </c>
      <c r="G1730" s="37" t="inlineStr">
        <is>
          <t>Not Applicable</t>
        </is>
      </c>
    </row>
    <row r="1731">
      <c r="A1731" s="37" t="inlineStr">
        <is>
          <t>Gagandeep Singh Sachar</t>
        </is>
      </c>
      <c r="B1731" s="37" t="inlineStr">
        <is>
          <t xml:space="preserve">Pune Green </t>
        </is>
      </c>
      <c r="C1731" s="37" t="inlineStr">
        <is>
          <t>Grow Green</t>
        </is>
      </c>
      <c r="D1731" s="37" t="inlineStr">
        <is>
          <t>2026-07-17</t>
        </is>
      </c>
      <c r="E1731" s="37" t="inlineStr">
        <is>
          <t>Infra Check</t>
        </is>
      </c>
      <c r="F1731" s="37" t="inlineStr">
        <is>
          <t>Check the status of digital infra — PCs, smartboards, tablets, laptops, etc.</t>
        </is>
      </c>
      <c r="G1731" s="37" t="inlineStr">
        <is>
          <t>All is Well</t>
        </is>
      </c>
    </row>
    <row r="1732">
      <c r="A1732" s="37" t="inlineStr">
        <is>
          <t>Gagandeep Singh Sachar</t>
        </is>
      </c>
      <c r="B1732" s="37" t="inlineStr">
        <is>
          <t xml:space="preserve">Pune Green </t>
        </is>
      </c>
      <c r="C1732" s="37" t="inlineStr">
        <is>
          <t>Grow Green</t>
        </is>
      </c>
      <c r="D1732" s="37" t="inlineStr">
        <is>
          <t>2026-07-17</t>
        </is>
      </c>
      <c r="E1732" s="37" t="inlineStr">
        <is>
          <t>Infra Check</t>
        </is>
      </c>
      <c r="F1732" s="37" t="inlineStr">
        <is>
          <t>Make a quick hostel visit; have lunch there if possible to test the food quality.</t>
        </is>
      </c>
      <c r="G1732" s="37" t="inlineStr">
        <is>
          <t>All is Well</t>
        </is>
      </c>
    </row>
    <row r="1733">
      <c r="A1733" s="37" t="inlineStr">
        <is>
          <t>Gagandeep Singh Sachar</t>
        </is>
      </c>
      <c r="B1733" s="37" t="inlineStr">
        <is>
          <t xml:space="preserve">Pune Green </t>
        </is>
      </c>
      <c r="C1733" s="37" t="inlineStr">
        <is>
          <t>Grow Green</t>
        </is>
      </c>
      <c r="D1733" s="37" t="inlineStr">
        <is>
          <t>2026-07-17</t>
        </is>
      </c>
      <c r="E1733" s="37" t="inlineStr">
        <is>
          <t>Process Check</t>
        </is>
      </c>
      <c r="F1733" s="37" t="inlineStr">
        <is>
          <t>Refer to the activity planner — check if any activities are delayed.</t>
        </is>
      </c>
      <c r="G1733" s="37" t="inlineStr">
        <is>
          <t>Not Applicable</t>
        </is>
      </c>
    </row>
    <row r="1734">
      <c r="A1734" s="37" t="inlineStr">
        <is>
          <t>Gagandeep Singh Sachar</t>
        </is>
      </c>
      <c r="B1734" s="37" t="inlineStr">
        <is>
          <t xml:space="preserve">Pune Green </t>
        </is>
      </c>
      <c r="C1734" s="37" t="inlineStr">
        <is>
          <t>Grow Green</t>
        </is>
      </c>
      <c r="D1734" s="37" t="inlineStr">
        <is>
          <t>2026-07-17</t>
        </is>
      </c>
      <c r="E1734" s="37" t="inlineStr">
        <is>
          <t>Process Check</t>
        </is>
      </c>
      <c r="F1734" s="37" t="inlineStr">
        <is>
          <t>Check planning for the next batch-start announcement.</t>
        </is>
      </c>
      <c r="G1734" s="37" t="inlineStr">
        <is>
          <t>All is Well</t>
        </is>
      </c>
    </row>
    <row r="1735">
      <c r="A1735" s="37" t="inlineStr">
        <is>
          <t>Gagandeep Singh Sachar</t>
        </is>
      </c>
      <c r="B1735" s="37" t="inlineStr">
        <is>
          <t xml:space="preserve">Pune Green </t>
        </is>
      </c>
      <c r="C1735" s="37" t="inlineStr">
        <is>
          <t>Grow Green</t>
        </is>
      </c>
      <c r="D1735" s="37" t="inlineStr">
        <is>
          <t>2026-07-17</t>
        </is>
      </c>
      <c r="E1735" s="37" t="inlineStr">
        <is>
          <t>Process Check</t>
        </is>
      </c>
      <c r="F1735" s="37" t="inlineStr">
        <is>
          <t>Check if any hiring is delayed and plan a resolution.</t>
        </is>
      </c>
      <c r="G1735" s="37" t="inlineStr">
        <is>
          <t>All is Well</t>
        </is>
      </c>
    </row>
    <row r="1736">
      <c r="A1736" s="37" t="inlineStr">
        <is>
          <t>Gagandeep Singh Sachar</t>
        </is>
      </c>
      <c r="B1736" s="37" t="inlineStr">
        <is>
          <t xml:space="preserve">Pune Green </t>
        </is>
      </c>
      <c r="C1736" s="37" t="inlineStr">
        <is>
          <t>Grow Green</t>
        </is>
      </c>
      <c r="D1736" s="37" t="inlineStr">
        <is>
          <t>2026-07-17</t>
        </is>
      </c>
      <c r="E1736" s="37" t="inlineStr">
        <is>
          <t>Process Check</t>
        </is>
      </c>
      <c r="F1736" s="37" t="inlineStr">
        <is>
          <t>Check the CA’s diary — is CA guided daily by the AH during planning days?</t>
        </is>
      </c>
      <c r="G1736" s="37" t="inlineStr">
        <is>
          <t>Need Improvement</t>
        </is>
      </c>
    </row>
    <row r="1737">
      <c r="A1737" s="37" t="inlineStr">
        <is>
          <t>Gagandeep Singh Sachar</t>
        </is>
      </c>
      <c r="B1737" s="37" t="inlineStr">
        <is>
          <t xml:space="preserve">Pune Green </t>
        </is>
      </c>
      <c r="C1737" s="37" t="inlineStr">
        <is>
          <t>Grow Green</t>
        </is>
      </c>
      <c r="D1737" s="37" t="inlineStr">
        <is>
          <t>2026-07-17</t>
        </is>
      </c>
      <c r="E1737" s="37" t="inlineStr">
        <is>
          <t>Process Check</t>
        </is>
      </c>
      <c r="F1737" s="37" t="inlineStr">
        <is>
          <t>Check the AH is regularly meeting employers (in person and online) and updating the centre’s Top 20 Employer format.</t>
        </is>
      </c>
      <c r="G1737" s="37" t="inlineStr">
        <is>
          <t>Not Applicable</t>
        </is>
      </c>
    </row>
    <row r="1738">
      <c r="A1738" s="37" t="inlineStr">
        <is>
          <t>Gagandeep Singh Sachar</t>
        </is>
      </c>
      <c r="B1738" s="37" t="inlineStr">
        <is>
          <t xml:space="preserve">Pune Green </t>
        </is>
      </c>
      <c r="C1738" s="37" t="inlineStr">
        <is>
          <t>Grow Green</t>
        </is>
      </c>
      <c r="D1738" s="37" t="inlineStr">
        <is>
          <t>2026-07-17</t>
        </is>
      </c>
      <c r="E1738" s="37" t="inlineStr">
        <is>
          <t>Process Check</t>
        </is>
      </c>
      <c r="F1738" s="37" t="inlineStr">
        <is>
          <t>Confirm all new employers are registered on portal as per new process.</t>
        </is>
      </c>
      <c r="G1738" s="37" t="inlineStr">
        <is>
          <t>Not Applicable</t>
        </is>
      </c>
    </row>
    <row r="1739">
      <c r="A1739" s="37" t="inlineStr">
        <is>
          <t>Gagandeep Singh Sachar</t>
        </is>
      </c>
      <c r="B1739" s="37" t="inlineStr">
        <is>
          <t xml:space="preserve">Pune Green </t>
        </is>
      </c>
      <c r="C1739" s="37" t="inlineStr">
        <is>
          <t>Grow Green</t>
        </is>
      </c>
      <c r="D1739" s="37" t="inlineStr">
        <is>
          <t>2026-07-17</t>
        </is>
      </c>
      <c r="E1739" s="37" t="inlineStr">
        <is>
          <t>Process Check</t>
        </is>
      </c>
      <c r="F1739" s="37" t="inlineStr">
        <is>
          <t>Confirm 100% of enrolled students undergone screening (for technical courses).</t>
        </is>
      </c>
      <c r="G1739" s="37" t="inlineStr">
        <is>
          <t>All is Well</t>
        </is>
      </c>
    </row>
    <row r="1740">
      <c r="A1740" s="37" t="inlineStr">
        <is>
          <t>Gagandeep Singh Sachar</t>
        </is>
      </c>
      <c r="B1740" s="37" t="inlineStr">
        <is>
          <t xml:space="preserve">Pune Green </t>
        </is>
      </c>
      <c r="C1740" s="37" t="inlineStr">
        <is>
          <t>Grow Green</t>
        </is>
      </c>
      <c r="D1740" s="37" t="inlineStr">
        <is>
          <t>2026-07-17</t>
        </is>
      </c>
      <c r="E1740" s="37" t="inlineStr">
        <is>
          <t>Process Check</t>
        </is>
      </c>
      <c r="F1740" s="37" t="inlineStr">
        <is>
          <t>Confirm ESA is done (in GROW full ESA and in Technical courses relevant sections of Core Employability Part).</t>
        </is>
      </c>
      <c r="G1740" s="37" t="inlineStr">
        <is>
          <t>Not Applicable</t>
        </is>
      </c>
    </row>
    <row r="1741">
      <c r="A1741" s="37" t="inlineStr">
        <is>
          <t>Gagandeep Singh Sachar</t>
        </is>
      </c>
      <c r="B1741" s="37" t="inlineStr">
        <is>
          <t xml:space="preserve">Pune Green </t>
        </is>
      </c>
      <c r="C1741" s="37" t="inlineStr">
        <is>
          <t>Grow Green</t>
        </is>
      </c>
      <c r="D1741" s="37" t="inlineStr">
        <is>
          <t>2026-07-17</t>
        </is>
      </c>
      <c r="E1741" s="37" t="inlineStr">
        <is>
          <t>Process Check</t>
        </is>
      </c>
      <c r="F1741" s="37" t="inlineStr">
        <is>
          <t>Check is AH giving capstone project in GROW Tech.</t>
        </is>
      </c>
      <c r="G1741" s="37" t="inlineStr">
        <is>
          <t>Not Applicable</t>
        </is>
      </c>
    </row>
    <row r="1742">
      <c r="A1742" s="37" t="inlineStr">
        <is>
          <t>Gagandeep Singh Sachar</t>
        </is>
      </c>
      <c r="B1742" s="37" t="inlineStr">
        <is>
          <t xml:space="preserve">Pune Green </t>
        </is>
      </c>
      <c r="C1742" s="37" t="inlineStr">
        <is>
          <t>Grow Green</t>
        </is>
      </c>
      <c r="D1742" s="37" t="inlineStr">
        <is>
          <t>2026-07-17</t>
        </is>
      </c>
      <c r="E1742" s="37" t="inlineStr">
        <is>
          <t>Process Check</t>
        </is>
      </c>
      <c r="F1742" s="37" t="inlineStr">
        <is>
          <t>Check is AH planning OJT as per guidelines and proofs are collected for technical courses.</t>
        </is>
      </c>
      <c r="G1742" s="37" t="inlineStr">
        <is>
          <t>Not Applicable</t>
        </is>
      </c>
    </row>
    <row r="1743">
      <c r="A1743" s="37" t="inlineStr">
        <is>
          <t>Gagandeep Singh Sachar</t>
        </is>
      </c>
      <c r="B1743" s="37" t="inlineStr">
        <is>
          <t xml:space="preserve">Pune Green </t>
        </is>
      </c>
      <c r="C1743" s="37" t="inlineStr">
        <is>
          <t>Grow Green</t>
        </is>
      </c>
      <c r="D1743" s="37" t="inlineStr">
        <is>
          <t>2026-07-17</t>
        </is>
      </c>
      <c r="E1743" s="37" t="inlineStr">
        <is>
          <t>Process Check</t>
        </is>
      </c>
      <c r="F1743" s="37" t="inlineStr">
        <is>
          <t>Check are trainers contacting aspirants to find reason for their absenteeism of more than 1 day.</t>
        </is>
      </c>
      <c r="G1743" s="37" t="inlineStr">
        <is>
          <t>All is Well</t>
        </is>
      </c>
    </row>
    <row r="1744">
      <c r="A1744" s="37" t="inlineStr">
        <is>
          <t>Gagandeep Singh Sachar</t>
        </is>
      </c>
      <c r="B1744" s="37" t="inlineStr">
        <is>
          <t xml:space="preserve">Pune Green </t>
        </is>
      </c>
      <c r="C1744" s="37" t="inlineStr">
        <is>
          <t>Grow Green</t>
        </is>
      </c>
      <c r="D1744" s="37" t="inlineStr">
        <is>
          <t>2026-07-17</t>
        </is>
      </c>
      <c r="E1744" s="37" t="inlineStr">
        <is>
          <t>Process Check</t>
        </is>
      </c>
      <c r="F1744" s="37" t="inlineStr">
        <is>
          <t>Check the AH plans monthly enrolment and placement numbers by the 3rd of each month and shares them with second level managers.</t>
        </is>
      </c>
      <c r="G1744" s="37" t="inlineStr">
        <is>
          <t>All is Well</t>
        </is>
      </c>
    </row>
    <row r="1745">
      <c r="A1745" s="37" t="inlineStr">
        <is>
          <t>Gagandeep Singh Sachar</t>
        </is>
      </c>
      <c r="B1745" s="37" t="inlineStr">
        <is>
          <t xml:space="preserve">Pune Green </t>
        </is>
      </c>
      <c r="C1745" s="37" t="inlineStr">
        <is>
          <t>Grow Green</t>
        </is>
      </c>
      <c r="D1745" s="37" t="inlineStr">
        <is>
          <t>2026-07-17</t>
        </is>
      </c>
      <c r="E1745" s="37" t="inlineStr">
        <is>
          <t>Process Check</t>
        </is>
      </c>
      <c r="F1745" s="37" t="inlineStr">
        <is>
          <t>Check trainers submit aspirants’ placement interest areas to the AH by the batch’s 25th day (in GROW).</t>
        </is>
      </c>
      <c r="G1745" s="37" t="inlineStr">
        <is>
          <t>Not Applicable</t>
        </is>
      </c>
    </row>
    <row r="1746">
      <c r="A1746" s="37" t="inlineStr">
        <is>
          <t>Gagandeep Singh Sachar</t>
        </is>
      </c>
      <c r="B1746" s="37" t="inlineStr">
        <is>
          <t xml:space="preserve">Pune Green </t>
        </is>
      </c>
      <c r="C1746" s="37" t="inlineStr">
        <is>
          <t>Grow Green</t>
        </is>
      </c>
      <c r="D1746" s="37" t="inlineStr">
        <is>
          <t>2026-07-17</t>
        </is>
      </c>
      <c r="E1746" s="37" t="inlineStr">
        <is>
          <t>Process Check</t>
        </is>
      </c>
      <c r="F1746" s="37" t="inlineStr">
        <is>
          <t>Ckeck For technical programs, placement is done only in technical jobs,on which aspirants are trained and relevant emplyers are identified by 45th day.</t>
        </is>
      </c>
      <c r="G1746" s="37" t="inlineStr">
        <is>
          <t>Not Applicable</t>
        </is>
      </c>
    </row>
    <row r="1747">
      <c r="A1747" s="37" t="inlineStr">
        <is>
          <t>Gagandeep Singh Sachar</t>
        </is>
      </c>
      <c r="B1747" s="37" t="inlineStr">
        <is>
          <t xml:space="preserve">Pune Green </t>
        </is>
      </c>
      <c r="C1747" s="37" t="inlineStr">
        <is>
          <t>Grow Green</t>
        </is>
      </c>
      <c r="D1747" s="37" t="inlineStr">
        <is>
          <t>2026-07-17</t>
        </is>
      </c>
      <c r="E1747" s="37" t="inlineStr">
        <is>
          <t>Process Check</t>
        </is>
      </c>
      <c r="F1747" s="37" t="inlineStr">
        <is>
          <t>Check the AH follows EP guidelines and minimum benchmark salary guidelines.</t>
        </is>
      </c>
      <c r="G1747" s="37" t="inlineStr">
        <is>
          <t>All is Well</t>
        </is>
      </c>
    </row>
    <row r="1748">
      <c r="A1748" s="37" t="inlineStr">
        <is>
          <t>Gagandeep Singh Sachar</t>
        </is>
      </c>
      <c r="B1748" s="37" t="inlineStr">
        <is>
          <t xml:space="preserve">Pune Green </t>
        </is>
      </c>
      <c r="C1748" s="37" t="inlineStr">
        <is>
          <t>Grow Green</t>
        </is>
      </c>
      <c r="D1748" s="37" t="inlineStr">
        <is>
          <t>2026-07-17</t>
        </is>
      </c>
      <c r="E1748" s="37" t="inlineStr">
        <is>
          <t>Process Check</t>
        </is>
      </c>
      <c r="F1748" s="37" t="inlineStr">
        <is>
          <t>Check that AH is enrolling only the right traget group in the program -as per the defined target.</t>
        </is>
      </c>
      <c r="G1748" s="37" t="inlineStr">
        <is>
          <t>All is Well</t>
        </is>
      </c>
    </row>
    <row r="1749">
      <c r="A1749" s="37" t="inlineStr">
        <is>
          <t>Gagandeep Singh Sachar</t>
        </is>
      </c>
      <c r="B1749" s="37" t="inlineStr">
        <is>
          <t xml:space="preserve">Pune Green </t>
        </is>
      </c>
      <c r="C1749" s="37" t="inlineStr">
        <is>
          <t>Grow Green</t>
        </is>
      </c>
      <c r="D1749" s="37" t="inlineStr">
        <is>
          <t>2026-07-17</t>
        </is>
      </c>
      <c r="E1749" s="37" t="inlineStr">
        <is>
          <t>Process Check</t>
        </is>
      </c>
      <c r="F1749" s="37" t="inlineStr">
        <is>
          <t>Check the AH announces the next batch-start date by the 3rd of the month on all notice boards — focus on Zero-Day start.</t>
        </is>
      </c>
      <c r="G1749" s="37" t="inlineStr">
        <is>
          <t>Need Improvement</t>
        </is>
      </c>
    </row>
    <row r="1750">
      <c r="A1750" s="37" t="inlineStr">
        <is>
          <t>Gagandeep Singh Sachar</t>
        </is>
      </c>
      <c r="B1750" s="37" t="inlineStr">
        <is>
          <t xml:space="preserve">Pune Green </t>
        </is>
      </c>
      <c r="C1750" s="37" t="inlineStr">
        <is>
          <t>Grow Green</t>
        </is>
      </c>
      <c r="D1750" s="37" t="inlineStr">
        <is>
          <t>2026-07-17</t>
        </is>
      </c>
      <c r="E1750" s="37" t="inlineStr">
        <is>
          <t>Process Check</t>
        </is>
      </c>
      <c r="F1750" s="37" t="inlineStr">
        <is>
          <t>Check the Aspirant Mock Interview Score Tracker is updated after every mock interview in the L&amp;D Google Sheet.</t>
        </is>
      </c>
      <c r="G1750" s="37" t="inlineStr">
        <is>
          <t>Not Applicable</t>
        </is>
      </c>
    </row>
    <row r="1751">
      <c r="A1751" s="37" t="inlineStr">
        <is>
          <t>Gagandeep Singh Sachar</t>
        </is>
      </c>
      <c r="B1751" s="37" t="inlineStr">
        <is>
          <t xml:space="preserve">Pune Green </t>
        </is>
      </c>
      <c r="C1751" s="37" t="inlineStr">
        <is>
          <t>Grow Green</t>
        </is>
      </c>
      <c r="D1751" s="37" t="inlineStr">
        <is>
          <t>2026-07-17</t>
        </is>
      </c>
      <c r="E1751" s="37" t="inlineStr">
        <is>
          <t>Process Check</t>
        </is>
      </c>
      <c r="F1751" s="37" t="inlineStr">
        <is>
          <t>Confirm NPS (Net Promoter Score) is collected at MSDF centres.</t>
        </is>
      </c>
      <c r="G1751" s="37" t="inlineStr">
        <is>
          <t>Not Applicable</t>
        </is>
      </c>
    </row>
    <row r="1752">
      <c r="A1752" s="37" t="inlineStr">
        <is>
          <t>Gagandeep Singh Sachar</t>
        </is>
      </c>
      <c r="B1752" s="37" t="inlineStr">
        <is>
          <t xml:space="preserve">Pune Green </t>
        </is>
      </c>
      <c r="C1752" s="37" t="inlineStr">
        <is>
          <t>Grow Green</t>
        </is>
      </c>
      <c r="D1752" s="37" t="inlineStr">
        <is>
          <t>2026-07-17</t>
        </is>
      </c>
      <c r="E1752" s="37" t="inlineStr">
        <is>
          <t>Process Check</t>
        </is>
      </c>
      <c r="F1752" s="37" t="inlineStr">
        <is>
          <t>Confirm that QAE is collecting student feedback for every batch.</t>
        </is>
      </c>
      <c r="G1752" s="37" t="inlineStr">
        <is>
          <t>Not Applicable</t>
        </is>
      </c>
    </row>
    <row r="1753">
      <c r="A1753" s="37" t="inlineStr">
        <is>
          <t>Gagandeep Singh Sachar</t>
        </is>
      </c>
      <c r="B1753" s="37" t="inlineStr">
        <is>
          <t xml:space="preserve">Pune Green </t>
        </is>
      </c>
      <c r="C1753" s="37" t="inlineStr">
        <is>
          <t>Grow Green</t>
        </is>
      </c>
      <c r="D1753" s="37" t="inlineStr">
        <is>
          <t>2026-07-17</t>
        </is>
      </c>
      <c r="E1753" s="37" t="inlineStr">
        <is>
          <t>Process Check</t>
        </is>
      </c>
      <c r="F1753" s="37" t="inlineStr">
        <is>
          <t>Confirm all centre teams have completed the GROW Manual Course on Skillfy — ask for achievement certificates.</t>
        </is>
      </c>
      <c r="G1753" s="37" t="inlineStr">
        <is>
          <t>Need Improvement</t>
        </is>
      </c>
    </row>
    <row r="1754">
      <c r="A1754" s="37" t="inlineStr">
        <is>
          <t>Gagandeep Singh Sachar</t>
        </is>
      </c>
      <c r="B1754" s="37" t="inlineStr">
        <is>
          <t xml:space="preserve">Pune Green </t>
        </is>
      </c>
      <c r="C1754" s="37" t="inlineStr">
        <is>
          <t>Grow Green</t>
        </is>
      </c>
      <c r="D1754" s="37" t="inlineStr">
        <is>
          <t>2026-07-17</t>
        </is>
      </c>
      <c r="E1754" s="37" t="inlineStr">
        <is>
          <t>Process Check</t>
        </is>
      </c>
      <c r="F1754" s="37" t="inlineStr">
        <is>
          <t>Check AH holds a quality weekly team meeting, documents action points in the weekly meeting format, and sends you a photo on WhatsApp.</t>
        </is>
      </c>
      <c r="G1754" s="37" t="inlineStr">
        <is>
          <t>Need Improvement</t>
        </is>
      </c>
    </row>
    <row r="1755">
      <c r="A1755" s="37" t="inlineStr">
        <is>
          <t>Gagandeep Singh Sachar</t>
        </is>
      </c>
      <c r="B1755" s="37" t="inlineStr">
        <is>
          <t xml:space="preserve">Pune Green </t>
        </is>
      </c>
      <c r="C1755" s="37" t="inlineStr">
        <is>
          <t>Grow Green</t>
        </is>
      </c>
      <c r="D1755" s="37" t="inlineStr">
        <is>
          <t>2026-07-17</t>
        </is>
      </c>
      <c r="E1755" s="37" t="inlineStr">
        <is>
          <t>Aspirant Interaction</t>
        </is>
      </c>
      <c r="F1755" s="37" t="inlineStr">
        <is>
          <t>Ask aspirants about the session plan — confirm training is happening as planned?</t>
        </is>
      </c>
      <c r="G1755" s="37" t="inlineStr">
        <is>
          <t>All is Well</t>
        </is>
      </c>
    </row>
    <row r="1756">
      <c r="A1756" s="37" t="inlineStr">
        <is>
          <t>Gagandeep Singh Sachar</t>
        </is>
      </c>
      <c r="B1756" s="37" t="inlineStr">
        <is>
          <t xml:space="preserve">Pune Green </t>
        </is>
      </c>
      <c r="C1756" s="37" t="inlineStr">
        <is>
          <t>Grow Green</t>
        </is>
      </c>
      <c r="D1756" s="37" t="inlineStr">
        <is>
          <t>2026-07-17</t>
        </is>
      </c>
      <c r="E1756" s="37" t="inlineStr">
        <is>
          <t>Aspirant Interaction</t>
        </is>
      </c>
      <c r="F1756" s="37" t="inlineStr">
        <is>
          <t>Ask about the quality of Core Employability component delivery (technical centres) and who delivers it.</t>
        </is>
      </c>
      <c r="G1756" s="37" t="inlineStr">
        <is>
          <t>Need Improvement</t>
        </is>
      </c>
    </row>
    <row r="1757">
      <c r="A1757" s="37" t="inlineStr">
        <is>
          <t>Gagandeep Singh Sachar</t>
        </is>
      </c>
      <c r="B1757" s="37" t="inlineStr">
        <is>
          <t xml:space="preserve">Pune Green </t>
        </is>
      </c>
      <c r="C1757" s="37" t="inlineStr">
        <is>
          <t>Grow Green</t>
        </is>
      </c>
      <c r="D1757" s="37" t="inlineStr">
        <is>
          <t>2026-07-17</t>
        </is>
      </c>
      <c r="E1757" s="37" t="inlineStr">
        <is>
          <t>Aspirant Interaction</t>
        </is>
      </c>
      <c r="F1757" s="37" t="inlineStr">
        <is>
          <t>Ask whether they are aware of the referral scheme?</t>
        </is>
      </c>
      <c r="G1757" s="37" t="inlineStr">
        <is>
          <t>Need Improvement</t>
        </is>
      </c>
    </row>
    <row r="1758">
      <c r="A1758" s="37" t="inlineStr">
        <is>
          <t>Gagandeep Singh Sachar</t>
        </is>
      </c>
      <c r="B1758" s="37" t="inlineStr">
        <is>
          <t xml:space="preserve">Pune Green </t>
        </is>
      </c>
      <c r="C1758" s="37" t="inlineStr">
        <is>
          <t>Grow Green</t>
        </is>
      </c>
      <c r="D1758" s="37" t="inlineStr">
        <is>
          <t>2026-07-17</t>
        </is>
      </c>
      <c r="E1758" s="37" t="inlineStr">
        <is>
          <t>Aspirant Interaction</t>
        </is>
      </c>
      <c r="F1758" s="37" t="inlineStr">
        <is>
          <t>Ask whether the AH explained the importance of the offer letter and sharing it with us once received for reporting purposes?</t>
        </is>
      </c>
      <c r="G1758" s="37" t="inlineStr">
        <is>
          <t>Not Applicable</t>
        </is>
      </c>
    </row>
    <row r="1759">
      <c r="A1759" s="37" t="inlineStr">
        <is>
          <t>Gagandeep Singh Sachar</t>
        </is>
      </c>
      <c r="B1759" s="37" t="inlineStr">
        <is>
          <t xml:space="preserve">Pune Green </t>
        </is>
      </c>
      <c r="C1759" s="37" t="inlineStr">
        <is>
          <t>Grow Green</t>
        </is>
      </c>
      <c r="D1759" s="37" t="inlineStr">
        <is>
          <t>2026-07-17</t>
        </is>
      </c>
      <c r="E1759" s="37" t="inlineStr">
        <is>
          <t>Aspirant Interaction</t>
        </is>
      </c>
      <c r="F1759" s="37" t="inlineStr">
        <is>
          <t>Ask how many are not interested in jobs — and if so, why they enrolled in the programme?</t>
        </is>
      </c>
      <c r="G1759" s="37" t="inlineStr">
        <is>
          <t>All is Well</t>
        </is>
      </c>
    </row>
    <row r="1760">
      <c r="A1760" s="37" t="inlineStr">
        <is>
          <t>Gagandeep Singh Sachar</t>
        </is>
      </c>
      <c r="B1760" s="37" t="inlineStr">
        <is>
          <t xml:space="preserve">Pune Green </t>
        </is>
      </c>
      <c r="C1760" s="37" t="inlineStr">
        <is>
          <t>Grow Green</t>
        </is>
      </c>
      <c r="D1760" s="37" t="inlineStr">
        <is>
          <t>2026-07-17</t>
        </is>
      </c>
      <c r="E1760" s="37" t="inlineStr">
        <is>
          <t>Aspirant Interaction</t>
        </is>
      </c>
      <c r="F1760" s="37" t="inlineStr">
        <is>
          <t>Ask whether they were told the kind of job they would get during counselling?</t>
        </is>
      </c>
      <c r="G1760" s="37" t="inlineStr">
        <is>
          <t>All is Well</t>
        </is>
      </c>
    </row>
    <row r="1761">
      <c r="A1761" s="37" t="inlineStr">
        <is>
          <t>Gagandeep Singh Sachar</t>
        </is>
      </c>
      <c r="B1761" s="37" t="inlineStr">
        <is>
          <t xml:space="preserve">Pune Green </t>
        </is>
      </c>
      <c r="C1761" s="37" t="inlineStr">
        <is>
          <t>Grow Green</t>
        </is>
      </c>
      <c r="D1761" s="37" t="inlineStr">
        <is>
          <t>2026-07-17</t>
        </is>
      </c>
      <c r="E1761" s="37" t="inlineStr">
        <is>
          <t>Aspirant Interaction</t>
        </is>
      </c>
      <c r="F1761" s="37" t="inlineStr">
        <is>
          <t>Ask whether they have been given LMS access?</t>
        </is>
      </c>
      <c r="G1761" s="37" t="inlineStr">
        <is>
          <t>All is Well</t>
        </is>
      </c>
    </row>
    <row r="1762">
      <c r="A1762" s="37" t="inlineStr">
        <is>
          <t>Gagandeep Singh Sachar</t>
        </is>
      </c>
      <c r="B1762" s="37" t="inlineStr">
        <is>
          <t xml:space="preserve">Pune Green </t>
        </is>
      </c>
      <c r="C1762" s="37" t="inlineStr">
        <is>
          <t>Grow Green</t>
        </is>
      </c>
      <c r="D1762" s="37" t="inlineStr">
        <is>
          <t>2026-07-17</t>
        </is>
      </c>
      <c r="E1762" s="37" t="inlineStr">
        <is>
          <t>Aspirant Interaction</t>
        </is>
      </c>
      <c r="F1762" s="37" t="inlineStr">
        <is>
          <t>Ask whether anyone asked them for money for training or placement?</t>
        </is>
      </c>
      <c r="G1762" s="37" t="inlineStr">
        <is>
          <t>All is Well</t>
        </is>
      </c>
    </row>
    <row r="1763">
      <c r="A1763" s="37" t="inlineStr">
        <is>
          <t>Gagandeep Singh Sachar</t>
        </is>
      </c>
      <c r="B1763" s="37" t="inlineStr">
        <is>
          <t xml:space="preserve">Pune Green </t>
        </is>
      </c>
      <c r="C1763" s="37" t="inlineStr">
        <is>
          <t>Grow Green</t>
        </is>
      </c>
      <c r="D1763" s="37" t="inlineStr">
        <is>
          <t>2026-07-17</t>
        </is>
      </c>
      <c r="E1763" s="37" t="inlineStr">
        <is>
          <t>Aspirant Interaction</t>
        </is>
      </c>
      <c r="F1763" s="37" t="inlineStr">
        <is>
          <t>Ask to show their mobile phones — are they enrolled on Skillfy? If not, get them enrolled and give written feedback to trainers and the AH in your presence.</t>
        </is>
      </c>
      <c r="G1763" s="37" t="inlineStr">
        <is>
          <t>Need Improvement</t>
        </is>
      </c>
    </row>
    <row r="1764">
      <c r="A1764" s="37" t="inlineStr">
        <is>
          <t>Gagandeep Singh Sachar</t>
        </is>
      </c>
      <c r="B1764" s="37" t="inlineStr">
        <is>
          <t xml:space="preserve">Pune Green </t>
        </is>
      </c>
      <c r="C1764" s="37" t="inlineStr">
        <is>
          <t>Grow Green</t>
        </is>
      </c>
      <c r="D1764" s="37" t="inlineStr">
        <is>
          <t>2026-07-17</t>
        </is>
      </c>
      <c r="E1764" s="37" t="inlineStr">
        <is>
          <t>Aspirant Interaction</t>
        </is>
      </c>
      <c r="F1764" s="37" t="inlineStr">
        <is>
          <t>Ask about the quality of the hostel and any issues they face.</t>
        </is>
      </c>
      <c r="G1764" s="37" t="inlineStr">
        <is>
          <t>Need Improvement</t>
        </is>
      </c>
    </row>
    <row r="1765">
      <c r="A1765" s="37" t="inlineStr">
        <is>
          <t>Gagandeep Singh Sachar</t>
        </is>
      </c>
      <c r="B1765" s="37" t="inlineStr">
        <is>
          <t xml:space="preserve">Pune Green </t>
        </is>
      </c>
      <c r="C1765" s="37" t="inlineStr">
        <is>
          <t>Grow Green</t>
        </is>
      </c>
      <c r="D1765" s="37" t="inlineStr">
        <is>
          <t>2026-07-17</t>
        </is>
      </c>
      <c r="E1765" s="37" t="inlineStr">
        <is>
          <t>Aspirant Interaction</t>
        </is>
      </c>
      <c r="F1765" s="37" t="inlineStr">
        <is>
          <t>Ask a few relevant screening questions to support the 10th-day report and remove non-serious candidates, explaining to them the reasons.</t>
        </is>
      </c>
      <c r="G1765" s="37" t="inlineStr">
        <is>
          <t>All is Well</t>
        </is>
      </c>
    </row>
    <row r="1766">
      <c r="A1766" s="37" t="inlineStr">
        <is>
          <t>Gagandeep Singh Sachar</t>
        </is>
      </c>
      <c r="B1766" s="37" t="inlineStr">
        <is>
          <t>Bund Garden Pune</t>
        </is>
      </c>
      <c r="C1766" s="37" t="inlineStr">
        <is>
          <t>GROW</t>
        </is>
      </c>
      <c r="D1766" s="37" t="inlineStr">
        <is>
          <t>2026-07-18</t>
        </is>
      </c>
      <c r="E1766" s="37" t="inlineStr">
        <is>
          <t>Data Check</t>
        </is>
      </c>
      <c r="F1766" s="37" t="inlineStr">
        <is>
          <t>Reach the centre on time (unannounced) — confirm the centre opened on time.</t>
        </is>
      </c>
      <c r="G1766" s="37" t="inlineStr">
        <is>
          <t>All is Well</t>
        </is>
      </c>
    </row>
    <row r="1767">
      <c r="A1767" s="37" t="inlineStr">
        <is>
          <t>Gagandeep Singh Sachar</t>
        </is>
      </c>
      <c r="B1767" s="37" t="inlineStr">
        <is>
          <t>Bund Garden Pune</t>
        </is>
      </c>
      <c r="C1767" s="37" t="inlineStr">
        <is>
          <t>GROW</t>
        </is>
      </c>
      <c r="D1767" s="37" t="inlineStr">
        <is>
          <t>2026-07-18</t>
        </is>
      </c>
      <c r="E1767" s="37" t="inlineStr">
        <is>
          <t>Data Check</t>
        </is>
      </c>
      <c r="F1767" s="37" t="inlineStr">
        <is>
          <t>Check the staff attendance register, the Google Sheet, and geo-tagged photos for aspirants.</t>
        </is>
      </c>
      <c r="G1767" s="37" t="inlineStr">
        <is>
          <t>All is Well</t>
        </is>
      </c>
    </row>
    <row r="1768">
      <c r="A1768" s="37" t="inlineStr">
        <is>
          <t>Gagandeep Singh Sachar</t>
        </is>
      </c>
      <c r="B1768" s="37" t="inlineStr">
        <is>
          <t>Bund Garden Pune</t>
        </is>
      </c>
      <c r="C1768" s="37" t="inlineStr">
        <is>
          <t>GROW</t>
        </is>
      </c>
      <c r="D1768" s="37" t="inlineStr">
        <is>
          <t>2026-07-18</t>
        </is>
      </c>
      <c r="E1768" s="37" t="inlineStr">
        <is>
          <t>Data Check</t>
        </is>
      </c>
      <c r="F1768" s="37" t="inlineStr">
        <is>
          <t>Check Counselling and Screening Forms of recently started batches.</t>
        </is>
      </c>
      <c r="G1768" s="37" t="inlineStr">
        <is>
          <t>All is Well</t>
        </is>
      </c>
    </row>
    <row r="1769">
      <c r="A1769" s="37" t="inlineStr">
        <is>
          <t>Gagandeep Singh Sachar</t>
        </is>
      </c>
      <c r="B1769" s="37" t="inlineStr">
        <is>
          <t>Bund Garden Pune</t>
        </is>
      </c>
      <c r="C1769" s="37" t="inlineStr">
        <is>
          <t>GROW</t>
        </is>
      </c>
      <c r="D1769" s="37" t="inlineStr">
        <is>
          <t>2026-07-18</t>
        </is>
      </c>
      <c r="E1769" s="37" t="inlineStr">
        <is>
          <t>Data Check</t>
        </is>
      </c>
      <c r="F1769" s="37" t="inlineStr">
        <is>
          <t>Check Aspirant Registration Forms and related documents.</t>
        </is>
      </c>
      <c r="G1769" s="37" t="inlineStr">
        <is>
          <t>All is Well</t>
        </is>
      </c>
    </row>
    <row r="1770">
      <c r="A1770" s="37" t="inlineStr">
        <is>
          <t>Gagandeep Singh Sachar</t>
        </is>
      </c>
      <c r="B1770" s="37" t="inlineStr">
        <is>
          <t>Bund Garden Pune</t>
        </is>
      </c>
      <c r="C1770" s="37" t="inlineStr">
        <is>
          <t>GROW</t>
        </is>
      </c>
      <c r="D1770" s="37" t="inlineStr">
        <is>
          <t>2026-07-18</t>
        </is>
      </c>
      <c r="E1770" s="37" t="inlineStr">
        <is>
          <t>Data Check</t>
        </is>
      </c>
      <c r="F1770" s="37" t="inlineStr">
        <is>
          <t>On the GROW portal, confirm all student profile details and batch updates are currect.</t>
        </is>
      </c>
      <c r="G1770" s="37" t="inlineStr">
        <is>
          <t>All is Well</t>
        </is>
      </c>
    </row>
    <row r="1771">
      <c r="A1771" s="37" t="inlineStr">
        <is>
          <t>Gagandeep Singh Sachar</t>
        </is>
      </c>
      <c r="B1771" s="37" t="inlineStr">
        <is>
          <t>Bund Garden Pune</t>
        </is>
      </c>
      <c r="C1771" s="37" t="inlineStr">
        <is>
          <t>GROW</t>
        </is>
      </c>
      <c r="D1771" s="37" t="inlineStr">
        <is>
          <t>2026-07-18</t>
        </is>
      </c>
      <c r="E1771" s="37" t="inlineStr">
        <is>
          <t>Data Check</t>
        </is>
      </c>
      <c r="F1771" s="37" t="inlineStr">
        <is>
          <t>Verify placement data — randomly call 3–4 alumni placed in the last 3 months to confirm veracity (random selection is essential).</t>
        </is>
      </c>
      <c r="G1771" s="37" t="inlineStr">
        <is>
          <t>All is Well</t>
        </is>
      </c>
    </row>
    <row r="1772">
      <c r="A1772" s="37" t="inlineStr">
        <is>
          <t>Gagandeep Singh Sachar</t>
        </is>
      </c>
      <c r="B1772" s="37" t="inlineStr">
        <is>
          <t>Bund Garden Pune</t>
        </is>
      </c>
      <c r="C1772" s="37" t="inlineStr">
        <is>
          <t>GROW</t>
        </is>
      </c>
      <c r="D1772" s="37" t="inlineStr">
        <is>
          <t>2026-07-18</t>
        </is>
      </c>
      <c r="E1772" s="37" t="inlineStr">
        <is>
          <t>Data Check</t>
        </is>
      </c>
      <c r="F1772" s="37" t="inlineStr">
        <is>
          <t>Verify retention — check the Alumni Hand-holding Format is being updated as designed.</t>
        </is>
      </c>
      <c r="G1772" s="37" t="inlineStr">
        <is>
          <t>All is Well</t>
        </is>
      </c>
    </row>
    <row r="1773">
      <c r="A1773" s="37" t="inlineStr">
        <is>
          <t>Gagandeep Singh Sachar</t>
        </is>
      </c>
      <c r="B1773" s="37" t="inlineStr">
        <is>
          <t>Bund Garden Pune</t>
        </is>
      </c>
      <c r="C1773" s="37" t="inlineStr">
        <is>
          <t>GROW</t>
        </is>
      </c>
      <c r="D1773" s="37" t="inlineStr">
        <is>
          <t>2026-07-18</t>
        </is>
      </c>
      <c r="E1773" s="37" t="inlineStr">
        <is>
          <t>Data Check</t>
        </is>
      </c>
      <c r="F1773" s="37" t="inlineStr">
        <is>
          <t>Check aspirant Hostel Forms are properly filled or not.</t>
        </is>
      </c>
      <c r="G1773" s="37" t="inlineStr">
        <is>
          <t>Not Applicable</t>
        </is>
      </c>
    </row>
    <row r="1774">
      <c r="A1774" s="37" t="inlineStr">
        <is>
          <t>Gagandeep Singh Sachar</t>
        </is>
      </c>
      <c r="B1774" s="37" t="inlineStr">
        <is>
          <t>Bund Garden Pune</t>
        </is>
      </c>
      <c r="C1774" s="37" t="inlineStr">
        <is>
          <t>GROW</t>
        </is>
      </c>
      <c r="D1774" s="37" t="inlineStr">
        <is>
          <t>2026-07-18</t>
        </is>
      </c>
      <c r="E1774" s="37" t="inlineStr">
        <is>
          <t>Infra Check</t>
        </is>
      </c>
      <c r="F1774" s="37" t="inlineStr">
        <is>
          <t>Check all CCTV cameras; if any are not working, ask the AH to troubleshoot or call the vendor.</t>
        </is>
      </c>
      <c r="G1774" s="37" t="inlineStr">
        <is>
          <t>Not Applicable</t>
        </is>
      </c>
    </row>
    <row r="1775">
      <c r="A1775" s="37" t="inlineStr">
        <is>
          <t>Gagandeep Singh Sachar</t>
        </is>
      </c>
      <c r="B1775" s="37" t="inlineStr">
        <is>
          <t>Bund Garden Pune</t>
        </is>
      </c>
      <c r="C1775" s="37" t="inlineStr">
        <is>
          <t>GROW</t>
        </is>
      </c>
      <c r="D1775" s="37" t="inlineStr">
        <is>
          <t>2026-07-18</t>
        </is>
      </c>
      <c r="E1775" s="37" t="inlineStr">
        <is>
          <t>Infra Check</t>
        </is>
      </c>
      <c r="F1775" s="37" t="inlineStr">
        <is>
          <t>Check for any scrap material and get it cleared, with support of Admin</t>
        </is>
      </c>
      <c r="G1775" s="37" t="inlineStr">
        <is>
          <t>Need Improvement</t>
        </is>
      </c>
    </row>
    <row r="1776">
      <c r="A1776" s="37" t="inlineStr">
        <is>
          <t>Gagandeep Singh Sachar</t>
        </is>
      </c>
      <c r="B1776" s="37" t="inlineStr">
        <is>
          <t>Bund Garden Pune</t>
        </is>
      </c>
      <c r="C1776" s="37" t="inlineStr">
        <is>
          <t>GROW</t>
        </is>
      </c>
      <c r="D1776" s="37" t="inlineStr">
        <is>
          <t>2026-07-18</t>
        </is>
      </c>
      <c r="E1776" s="37" t="inlineStr">
        <is>
          <t>Infra Check</t>
        </is>
      </c>
      <c r="F1776" s="37" t="inlineStr">
        <is>
          <t>Check for any pending infra repairs.</t>
        </is>
      </c>
      <c r="G1776" s="37" t="inlineStr">
        <is>
          <t>All is Well</t>
        </is>
      </c>
    </row>
    <row r="1777">
      <c r="A1777" s="37" t="inlineStr">
        <is>
          <t>Gagandeep Singh Sachar</t>
        </is>
      </c>
      <c r="B1777" s="37" t="inlineStr">
        <is>
          <t>Bund Garden Pune</t>
        </is>
      </c>
      <c r="C1777" s="37" t="inlineStr">
        <is>
          <t>GROW</t>
        </is>
      </c>
      <c r="D1777" s="37" t="inlineStr">
        <is>
          <t>2026-07-18</t>
        </is>
      </c>
      <c r="E1777" s="37" t="inlineStr">
        <is>
          <t>Infra Check</t>
        </is>
      </c>
      <c r="F1777" s="37" t="inlineStr">
        <is>
          <t>Check whether any fire extinguishers have expired (check the needle and expiry date both).</t>
        </is>
      </c>
      <c r="G1777" s="37" t="inlineStr">
        <is>
          <t>All is Well</t>
        </is>
      </c>
    </row>
    <row r="1778">
      <c r="A1778" s="37" t="inlineStr">
        <is>
          <t>Gagandeep Singh Sachar</t>
        </is>
      </c>
      <c r="B1778" s="37" t="inlineStr">
        <is>
          <t>Bund Garden Pune</t>
        </is>
      </c>
      <c r="C1778" s="37" t="inlineStr">
        <is>
          <t>GROW</t>
        </is>
      </c>
      <c r="D1778" s="37" t="inlineStr">
        <is>
          <t>2026-07-18</t>
        </is>
      </c>
      <c r="E1778" s="37" t="inlineStr">
        <is>
          <t>Infra Check</t>
        </is>
      </c>
      <c r="F1778" s="37" t="inlineStr">
        <is>
          <t>Check basic cleanliness of the washrooms and the centre.</t>
        </is>
      </c>
      <c r="G1778" s="37" t="inlineStr">
        <is>
          <t>All is Well</t>
        </is>
      </c>
    </row>
    <row r="1779">
      <c r="A1779" s="37" t="inlineStr">
        <is>
          <t>Gagandeep Singh Sachar</t>
        </is>
      </c>
      <c r="B1779" s="37" t="inlineStr">
        <is>
          <t>Bund Garden Pune</t>
        </is>
      </c>
      <c r="C1779" s="37" t="inlineStr">
        <is>
          <t>GROW</t>
        </is>
      </c>
      <c r="D1779" s="37" t="inlineStr">
        <is>
          <t>2026-07-18</t>
        </is>
      </c>
      <c r="E1779" s="37" t="inlineStr">
        <is>
          <t>Infra Check</t>
        </is>
      </c>
      <c r="F1779" s="37" t="inlineStr">
        <is>
          <t>Confirm the correct program and partner logos are displayed.</t>
        </is>
      </c>
      <c r="G1779" s="37" t="inlineStr">
        <is>
          <t>All is Well</t>
        </is>
      </c>
    </row>
    <row r="1780">
      <c r="A1780" s="37" t="inlineStr">
        <is>
          <t>Gagandeep Singh Sachar</t>
        </is>
      </c>
      <c r="B1780" s="37" t="inlineStr">
        <is>
          <t>Bund Garden Pune</t>
        </is>
      </c>
      <c r="C1780" s="37" t="inlineStr">
        <is>
          <t>GROW</t>
        </is>
      </c>
      <c r="D1780" s="37" t="inlineStr">
        <is>
          <t>2026-07-18</t>
        </is>
      </c>
      <c r="E1780" s="37" t="inlineStr">
        <is>
          <t>Infra Check</t>
        </is>
      </c>
      <c r="F1780" s="37" t="inlineStr">
        <is>
          <t>Check the status of digital infra — PCs, smartboards, tablets, laptops, etc.</t>
        </is>
      </c>
      <c r="G1780" s="37" t="inlineStr">
        <is>
          <t>Need Improvement</t>
        </is>
      </c>
    </row>
    <row r="1781">
      <c r="A1781" s="37" t="inlineStr">
        <is>
          <t>Gagandeep Singh Sachar</t>
        </is>
      </c>
      <c r="B1781" s="37" t="inlineStr">
        <is>
          <t>Bund Garden Pune</t>
        </is>
      </c>
      <c r="C1781" s="37" t="inlineStr">
        <is>
          <t>GROW</t>
        </is>
      </c>
      <c r="D1781" s="37" t="inlineStr">
        <is>
          <t>2026-07-18</t>
        </is>
      </c>
      <c r="E1781" s="37" t="inlineStr">
        <is>
          <t>Infra Check</t>
        </is>
      </c>
      <c r="F1781" s="37" t="inlineStr">
        <is>
          <t>Make a quick hostel visit; have lunch there if possible to test the food quality.</t>
        </is>
      </c>
      <c r="G1781" s="37" t="inlineStr">
        <is>
          <t>Not Applicable</t>
        </is>
      </c>
    </row>
    <row r="1782">
      <c r="A1782" s="37" t="inlineStr">
        <is>
          <t>Gagandeep Singh Sachar</t>
        </is>
      </c>
      <c r="B1782" s="37" t="inlineStr">
        <is>
          <t>Bund Garden Pune</t>
        </is>
      </c>
      <c r="C1782" s="37" t="inlineStr">
        <is>
          <t>GROW</t>
        </is>
      </c>
      <c r="D1782" s="37" t="inlineStr">
        <is>
          <t>2026-07-18</t>
        </is>
      </c>
      <c r="E1782" s="37" t="inlineStr">
        <is>
          <t>Process Check</t>
        </is>
      </c>
      <c r="F1782" s="37" t="inlineStr">
        <is>
          <t>Refer to the activity planner — check if any activities are delayed.</t>
        </is>
      </c>
      <c r="G1782" s="37" t="inlineStr">
        <is>
          <t>Not Applicable</t>
        </is>
      </c>
    </row>
    <row r="1783">
      <c r="A1783" s="37" t="inlineStr">
        <is>
          <t>Gagandeep Singh Sachar</t>
        </is>
      </c>
      <c r="B1783" s="37" t="inlineStr">
        <is>
          <t>Bund Garden Pune</t>
        </is>
      </c>
      <c r="C1783" s="37" t="inlineStr">
        <is>
          <t>GROW</t>
        </is>
      </c>
      <c r="D1783" s="37" t="inlineStr">
        <is>
          <t>2026-07-18</t>
        </is>
      </c>
      <c r="E1783" s="37" t="inlineStr">
        <is>
          <t>Process Check</t>
        </is>
      </c>
      <c r="F1783" s="37" t="inlineStr">
        <is>
          <t>Check planning for the next batch-start announcement.</t>
        </is>
      </c>
      <c r="G1783" s="37" t="inlineStr">
        <is>
          <t>All is Well</t>
        </is>
      </c>
    </row>
    <row r="1784">
      <c r="A1784" s="37" t="inlineStr">
        <is>
          <t>Gagandeep Singh Sachar</t>
        </is>
      </c>
      <c r="B1784" s="37" t="inlineStr">
        <is>
          <t>Bund Garden Pune</t>
        </is>
      </c>
      <c r="C1784" s="37" t="inlineStr">
        <is>
          <t>GROW</t>
        </is>
      </c>
      <c r="D1784" s="37" t="inlineStr">
        <is>
          <t>2026-07-18</t>
        </is>
      </c>
      <c r="E1784" s="37" t="inlineStr">
        <is>
          <t>Process Check</t>
        </is>
      </c>
      <c r="F1784" s="37" t="inlineStr">
        <is>
          <t>Check if any hiring is delayed and plan a resolution.</t>
        </is>
      </c>
      <c r="G1784" s="37" t="inlineStr">
        <is>
          <t>All is Well</t>
        </is>
      </c>
    </row>
    <row r="1785">
      <c r="A1785" s="37" t="inlineStr">
        <is>
          <t>Gagandeep Singh Sachar</t>
        </is>
      </c>
      <c r="B1785" s="37" t="inlineStr">
        <is>
          <t>Bund Garden Pune</t>
        </is>
      </c>
      <c r="C1785" s="37" t="inlineStr">
        <is>
          <t>GROW</t>
        </is>
      </c>
      <c r="D1785" s="37" t="inlineStr">
        <is>
          <t>2026-07-18</t>
        </is>
      </c>
      <c r="E1785" s="37" t="inlineStr">
        <is>
          <t>Process Check</t>
        </is>
      </c>
      <c r="F1785" s="37" t="inlineStr">
        <is>
          <t>Check the CA’s diary — is CA guided daily by the AH during planning days?</t>
        </is>
      </c>
      <c r="G1785" s="37" t="inlineStr">
        <is>
          <t>All is Well</t>
        </is>
      </c>
    </row>
    <row r="1786">
      <c r="A1786" s="37" t="inlineStr">
        <is>
          <t>Gagandeep Singh Sachar</t>
        </is>
      </c>
      <c r="B1786" s="37" t="inlineStr">
        <is>
          <t>Bund Garden Pune</t>
        </is>
      </c>
      <c r="C1786" s="37" t="inlineStr">
        <is>
          <t>GROW</t>
        </is>
      </c>
      <c r="D1786" s="37" t="inlineStr">
        <is>
          <t>2026-07-18</t>
        </is>
      </c>
      <c r="E1786" s="37" t="inlineStr">
        <is>
          <t>Process Check</t>
        </is>
      </c>
      <c r="F1786" s="37" t="inlineStr">
        <is>
          <t>Check the AH is regularly meeting employers (in person and online) and updating the centre’s Top 20 Employer format.</t>
        </is>
      </c>
      <c r="G1786" s="37" t="inlineStr">
        <is>
          <t>Need Improvement</t>
        </is>
      </c>
    </row>
    <row r="1787">
      <c r="A1787" s="37" t="inlineStr">
        <is>
          <t>Gagandeep Singh Sachar</t>
        </is>
      </c>
      <c r="B1787" s="37" t="inlineStr">
        <is>
          <t>Bund Garden Pune</t>
        </is>
      </c>
      <c r="C1787" s="37" t="inlineStr">
        <is>
          <t>GROW</t>
        </is>
      </c>
      <c r="D1787" s="37" t="inlineStr">
        <is>
          <t>2026-07-18</t>
        </is>
      </c>
      <c r="E1787" s="37" t="inlineStr">
        <is>
          <t>Process Check</t>
        </is>
      </c>
      <c r="F1787" s="37" t="inlineStr">
        <is>
          <t>Confirm all new employers are registered on portal as per new process.</t>
        </is>
      </c>
      <c r="G1787" s="37" t="inlineStr">
        <is>
          <t>All is Well</t>
        </is>
      </c>
    </row>
    <row r="1788">
      <c r="A1788" s="37" t="inlineStr">
        <is>
          <t>Gagandeep Singh Sachar</t>
        </is>
      </c>
      <c r="B1788" s="37" t="inlineStr">
        <is>
          <t>Bund Garden Pune</t>
        </is>
      </c>
      <c r="C1788" s="37" t="inlineStr">
        <is>
          <t>GROW</t>
        </is>
      </c>
      <c r="D1788" s="37" t="inlineStr">
        <is>
          <t>2026-07-18</t>
        </is>
      </c>
      <c r="E1788" s="37" t="inlineStr">
        <is>
          <t>Process Check</t>
        </is>
      </c>
      <c r="F1788" s="37" t="inlineStr">
        <is>
          <t>Confirm 100% of enrolled students undergone screening (for technical courses).</t>
        </is>
      </c>
      <c r="G1788" s="37" t="inlineStr">
        <is>
          <t>All is Well</t>
        </is>
      </c>
    </row>
    <row r="1789">
      <c r="A1789" s="37" t="inlineStr">
        <is>
          <t>Gagandeep Singh Sachar</t>
        </is>
      </c>
      <c r="B1789" s="37" t="inlineStr">
        <is>
          <t>Bund Garden Pune</t>
        </is>
      </c>
      <c r="C1789" s="37" t="inlineStr">
        <is>
          <t>GROW</t>
        </is>
      </c>
      <c r="D1789" s="37" t="inlineStr">
        <is>
          <t>2026-07-18</t>
        </is>
      </c>
      <c r="E1789" s="37" t="inlineStr">
        <is>
          <t>Process Check</t>
        </is>
      </c>
      <c r="F1789" s="37" t="inlineStr">
        <is>
          <t>Confirm ESA is done (in GROW full ESA and in Technical courses relevant sections of Core Employability Part).</t>
        </is>
      </c>
      <c r="G1789" s="37" t="inlineStr">
        <is>
          <t>All is Well</t>
        </is>
      </c>
    </row>
    <row r="1790">
      <c r="A1790" s="37" t="inlineStr">
        <is>
          <t>Gagandeep Singh Sachar</t>
        </is>
      </c>
      <c r="B1790" s="37" t="inlineStr">
        <is>
          <t>Bund Garden Pune</t>
        </is>
      </c>
      <c r="C1790" s="37" t="inlineStr">
        <is>
          <t>GROW</t>
        </is>
      </c>
      <c r="D1790" s="37" t="inlineStr">
        <is>
          <t>2026-07-18</t>
        </is>
      </c>
      <c r="E1790" s="37" t="inlineStr">
        <is>
          <t>Process Check</t>
        </is>
      </c>
      <c r="F1790" s="37" t="inlineStr">
        <is>
          <t>Check is AH giving capstone project in GROW Tech.</t>
        </is>
      </c>
      <c r="G1790" s="37" t="inlineStr">
        <is>
          <t>Not Applicable</t>
        </is>
      </c>
    </row>
    <row r="1791">
      <c r="A1791" s="37" t="inlineStr">
        <is>
          <t>Gagandeep Singh Sachar</t>
        </is>
      </c>
      <c r="B1791" s="37" t="inlineStr">
        <is>
          <t>Bund Garden Pune</t>
        </is>
      </c>
      <c r="C1791" s="37" t="inlineStr">
        <is>
          <t>GROW</t>
        </is>
      </c>
      <c r="D1791" s="37" t="inlineStr">
        <is>
          <t>2026-07-18</t>
        </is>
      </c>
      <c r="E1791" s="37" t="inlineStr">
        <is>
          <t>Process Check</t>
        </is>
      </c>
      <c r="F1791" s="37" t="inlineStr">
        <is>
          <t>Check is AH planning OJT as per guidelines and proofs are collected for technical courses.</t>
        </is>
      </c>
      <c r="G1791" s="37" t="inlineStr">
        <is>
          <t>Not Applicable</t>
        </is>
      </c>
    </row>
    <row r="1792">
      <c r="A1792" s="37" t="inlineStr">
        <is>
          <t>Gagandeep Singh Sachar</t>
        </is>
      </c>
      <c r="B1792" s="37" t="inlineStr">
        <is>
          <t>Bund Garden Pune</t>
        </is>
      </c>
      <c r="C1792" s="37" t="inlineStr">
        <is>
          <t>GROW</t>
        </is>
      </c>
      <c r="D1792" s="37" t="inlineStr">
        <is>
          <t>2026-07-18</t>
        </is>
      </c>
      <c r="E1792" s="37" t="inlineStr">
        <is>
          <t>Process Check</t>
        </is>
      </c>
      <c r="F1792" s="37" t="inlineStr">
        <is>
          <t>Check are trainers contacting aspirants to find reason for their absenteeism of more than 1 day.</t>
        </is>
      </c>
      <c r="G1792" s="37" t="inlineStr">
        <is>
          <t>All is Well</t>
        </is>
      </c>
    </row>
    <row r="1793">
      <c r="A1793" s="37" t="inlineStr">
        <is>
          <t>Gagandeep Singh Sachar</t>
        </is>
      </c>
      <c r="B1793" s="37" t="inlineStr">
        <is>
          <t>Bund Garden Pune</t>
        </is>
      </c>
      <c r="C1793" s="37" t="inlineStr">
        <is>
          <t>GROW</t>
        </is>
      </c>
      <c r="D1793" s="37" t="inlineStr">
        <is>
          <t>2026-07-18</t>
        </is>
      </c>
      <c r="E1793" s="37" t="inlineStr">
        <is>
          <t>Process Check</t>
        </is>
      </c>
      <c r="F1793" s="37" t="inlineStr">
        <is>
          <t>Check the AH plans monthly enrolment and placement numbers by the 3rd of each month and shares them with second level managers.</t>
        </is>
      </c>
      <c r="G1793" s="37" t="inlineStr">
        <is>
          <t>All is Well</t>
        </is>
      </c>
    </row>
    <row r="1794">
      <c r="A1794" s="37" t="inlineStr">
        <is>
          <t>Gagandeep Singh Sachar</t>
        </is>
      </c>
      <c r="B1794" s="37" t="inlineStr">
        <is>
          <t>Bund Garden Pune</t>
        </is>
      </c>
      <c r="C1794" s="37" t="inlineStr">
        <is>
          <t>GROW</t>
        </is>
      </c>
      <c r="D1794" s="37" t="inlineStr">
        <is>
          <t>2026-07-18</t>
        </is>
      </c>
      <c r="E1794" s="37" t="inlineStr">
        <is>
          <t>Process Check</t>
        </is>
      </c>
      <c r="F1794" s="37" t="inlineStr">
        <is>
          <t>Check trainers submit aspirants’ placement interest areas to the AH by the batch’s 25th day (in GROW).</t>
        </is>
      </c>
      <c r="G1794" s="37" t="inlineStr">
        <is>
          <t>All is Well</t>
        </is>
      </c>
    </row>
    <row r="1795">
      <c r="A1795" s="37" t="inlineStr">
        <is>
          <t>Gagandeep Singh Sachar</t>
        </is>
      </c>
      <c r="B1795" s="37" t="inlineStr">
        <is>
          <t>Bund Garden Pune</t>
        </is>
      </c>
      <c r="C1795" s="37" t="inlineStr">
        <is>
          <t>GROW</t>
        </is>
      </c>
      <c r="D1795" s="37" t="inlineStr">
        <is>
          <t>2026-07-18</t>
        </is>
      </c>
      <c r="E1795" s="37" t="inlineStr">
        <is>
          <t>Process Check</t>
        </is>
      </c>
      <c r="F1795" s="37" t="inlineStr">
        <is>
          <t>Ckeck For technical programs, placement is done only in technical jobs,on which aspirants are trained and relevant emplyers are identified by 45th day.</t>
        </is>
      </c>
      <c r="G1795" s="37" t="inlineStr">
        <is>
          <t>Not Applicable</t>
        </is>
      </c>
    </row>
    <row r="1796">
      <c r="A1796" s="37" t="inlineStr">
        <is>
          <t>Gagandeep Singh Sachar</t>
        </is>
      </c>
      <c r="B1796" s="37" t="inlineStr">
        <is>
          <t>Bund Garden Pune</t>
        </is>
      </c>
      <c r="C1796" s="37" t="inlineStr">
        <is>
          <t>GROW</t>
        </is>
      </c>
      <c r="D1796" s="37" t="inlineStr">
        <is>
          <t>2026-07-18</t>
        </is>
      </c>
      <c r="E1796" s="37" t="inlineStr">
        <is>
          <t>Process Check</t>
        </is>
      </c>
      <c r="F1796" s="37" t="inlineStr">
        <is>
          <t>Check the AH follows EP guidelines and minimum benchmark salary guidelines.</t>
        </is>
      </c>
      <c r="G1796" s="37" t="inlineStr">
        <is>
          <t>All is Well</t>
        </is>
      </c>
    </row>
    <row r="1797">
      <c r="A1797" s="37" t="inlineStr">
        <is>
          <t>Gagandeep Singh Sachar</t>
        </is>
      </c>
      <c r="B1797" s="37" t="inlineStr">
        <is>
          <t>Bund Garden Pune</t>
        </is>
      </c>
      <c r="C1797" s="37" t="inlineStr">
        <is>
          <t>GROW</t>
        </is>
      </c>
      <c r="D1797" s="37" t="inlineStr">
        <is>
          <t>2026-07-18</t>
        </is>
      </c>
      <c r="E1797" s="37" t="inlineStr">
        <is>
          <t>Process Check</t>
        </is>
      </c>
      <c r="F1797" s="37" t="inlineStr">
        <is>
          <t>Check that AH is enrolling only the right traget group in the program -as per the defined target.</t>
        </is>
      </c>
      <c r="G1797" s="37" t="inlineStr">
        <is>
          <t>All is Well</t>
        </is>
      </c>
    </row>
    <row r="1798">
      <c r="A1798" s="37" t="inlineStr">
        <is>
          <t>Gagandeep Singh Sachar</t>
        </is>
      </c>
      <c r="B1798" s="37" t="inlineStr">
        <is>
          <t>Bund Garden Pune</t>
        </is>
      </c>
      <c r="C1798" s="37" t="inlineStr">
        <is>
          <t>GROW</t>
        </is>
      </c>
      <c r="D1798" s="37" t="inlineStr">
        <is>
          <t>2026-07-18</t>
        </is>
      </c>
      <c r="E1798" s="37" t="inlineStr">
        <is>
          <t>Process Check</t>
        </is>
      </c>
      <c r="F1798" s="37" t="inlineStr">
        <is>
          <t>Check the AH announces the next batch-start date by the 3rd of the month on all notice boards — focus on Zero-Day start.</t>
        </is>
      </c>
      <c r="G1798" s="37" t="inlineStr">
        <is>
          <t>All is Well</t>
        </is>
      </c>
    </row>
    <row r="1799">
      <c r="A1799" s="37" t="inlineStr">
        <is>
          <t>Gagandeep Singh Sachar</t>
        </is>
      </c>
      <c r="B1799" s="37" t="inlineStr">
        <is>
          <t>Bund Garden Pune</t>
        </is>
      </c>
      <c r="C1799" s="37" t="inlineStr">
        <is>
          <t>GROW</t>
        </is>
      </c>
      <c r="D1799" s="37" t="inlineStr">
        <is>
          <t>2026-07-18</t>
        </is>
      </c>
      <c r="E1799" s="37" t="inlineStr">
        <is>
          <t>Process Check</t>
        </is>
      </c>
      <c r="F1799" s="37" t="inlineStr">
        <is>
          <t>Check the Aspirant Mock Interview Score Tracker is updated after every mock interview in the L&amp;D Google Sheet.</t>
        </is>
      </c>
      <c r="G1799" s="37" t="inlineStr">
        <is>
          <t>All is Well</t>
        </is>
      </c>
    </row>
    <row r="1800">
      <c r="A1800" s="37" t="inlineStr">
        <is>
          <t>Gagandeep Singh Sachar</t>
        </is>
      </c>
      <c r="B1800" s="37" t="inlineStr">
        <is>
          <t>Bund Garden Pune</t>
        </is>
      </c>
      <c r="C1800" s="37" t="inlineStr">
        <is>
          <t>GROW</t>
        </is>
      </c>
      <c r="D1800" s="37" t="inlineStr">
        <is>
          <t>2026-07-18</t>
        </is>
      </c>
      <c r="E1800" s="37" t="inlineStr">
        <is>
          <t>Process Check</t>
        </is>
      </c>
      <c r="F1800" s="37" t="inlineStr">
        <is>
          <t>Confirm NPS (Net Promoter Score) is collected at MSDF centres.</t>
        </is>
      </c>
      <c r="G1800" s="37" t="inlineStr">
        <is>
          <t>Not Applicable</t>
        </is>
      </c>
    </row>
    <row r="1801">
      <c r="A1801" s="37" t="inlineStr">
        <is>
          <t>Gagandeep Singh Sachar</t>
        </is>
      </c>
      <c r="B1801" s="37" t="inlineStr">
        <is>
          <t>Bund Garden Pune</t>
        </is>
      </c>
      <c r="C1801" s="37" t="inlineStr">
        <is>
          <t>GROW</t>
        </is>
      </c>
      <c r="D1801" s="37" t="inlineStr">
        <is>
          <t>2026-07-18</t>
        </is>
      </c>
      <c r="E1801" s="37" t="inlineStr">
        <is>
          <t>Process Check</t>
        </is>
      </c>
      <c r="F1801" s="37" t="inlineStr">
        <is>
          <t>Confirm that QAE is collecting student feedback for every batch.</t>
        </is>
      </c>
      <c r="G1801" s="37" t="inlineStr">
        <is>
          <t>Not Applicable</t>
        </is>
      </c>
    </row>
    <row r="1802">
      <c r="A1802" s="37" t="inlineStr">
        <is>
          <t>Gagandeep Singh Sachar</t>
        </is>
      </c>
      <c r="B1802" s="37" t="inlineStr">
        <is>
          <t>Bund Garden Pune</t>
        </is>
      </c>
      <c r="C1802" s="37" t="inlineStr">
        <is>
          <t>GROW</t>
        </is>
      </c>
      <c r="D1802" s="37" t="inlineStr">
        <is>
          <t>2026-07-18</t>
        </is>
      </c>
      <c r="E1802" s="37" t="inlineStr">
        <is>
          <t>Process Check</t>
        </is>
      </c>
      <c r="F1802" s="37" t="inlineStr">
        <is>
          <t>Confirm all centre teams have completed the GROW Manual Course on Skillfy — ask for achievement certificates.</t>
        </is>
      </c>
      <c r="G1802" s="37" t="inlineStr">
        <is>
          <t>Need Improvement</t>
        </is>
      </c>
    </row>
    <row r="1803">
      <c r="A1803" s="37" t="inlineStr">
        <is>
          <t>Gagandeep Singh Sachar</t>
        </is>
      </c>
      <c r="B1803" s="37" t="inlineStr">
        <is>
          <t>Bund Garden Pune</t>
        </is>
      </c>
      <c r="C1803" s="37" t="inlineStr">
        <is>
          <t>GROW</t>
        </is>
      </c>
      <c r="D1803" s="37" t="inlineStr">
        <is>
          <t>2026-07-18</t>
        </is>
      </c>
      <c r="E1803" s="37" t="inlineStr">
        <is>
          <t>Process Check</t>
        </is>
      </c>
      <c r="F1803" s="37" t="inlineStr">
        <is>
          <t>Check AH holds a quality weekly team meeting, documents action points in the weekly meeting format, and sends you a photo on WhatsApp.</t>
        </is>
      </c>
      <c r="G1803" s="37" t="inlineStr">
        <is>
          <t>All is Well</t>
        </is>
      </c>
    </row>
    <row r="1804">
      <c r="A1804" s="37" t="inlineStr">
        <is>
          <t>Gagandeep Singh Sachar</t>
        </is>
      </c>
      <c r="B1804" s="37" t="inlineStr">
        <is>
          <t>Bund Garden Pune</t>
        </is>
      </c>
      <c r="C1804" s="37" t="inlineStr">
        <is>
          <t>GROW</t>
        </is>
      </c>
      <c r="D1804" s="37" t="inlineStr">
        <is>
          <t>2026-07-18</t>
        </is>
      </c>
      <c r="E1804" s="37" t="inlineStr">
        <is>
          <t>Aspirant Interaction</t>
        </is>
      </c>
      <c r="F1804" s="37" t="inlineStr">
        <is>
          <t>Ask aspirants about the session plan — confirm training is happening as planned?</t>
        </is>
      </c>
      <c r="G1804" s="37" t="inlineStr">
        <is>
          <t>Need Improvement</t>
        </is>
      </c>
    </row>
    <row r="1805">
      <c r="A1805" s="37" t="inlineStr">
        <is>
          <t>Gagandeep Singh Sachar</t>
        </is>
      </c>
      <c r="B1805" s="37" t="inlineStr">
        <is>
          <t>Bund Garden Pune</t>
        </is>
      </c>
      <c r="C1805" s="37" t="inlineStr">
        <is>
          <t>GROW</t>
        </is>
      </c>
      <c r="D1805" s="37" t="inlineStr">
        <is>
          <t>2026-07-18</t>
        </is>
      </c>
      <c r="E1805" s="37" t="inlineStr">
        <is>
          <t>Aspirant Interaction</t>
        </is>
      </c>
      <c r="F1805" s="37" t="inlineStr">
        <is>
          <t>Ask about the quality of Core Employability component delivery (technical centres) and who delivers it.</t>
        </is>
      </c>
      <c r="G1805" s="37" t="inlineStr">
        <is>
          <t>All is Well</t>
        </is>
      </c>
    </row>
    <row r="1806">
      <c r="A1806" s="37" t="inlineStr">
        <is>
          <t>Gagandeep Singh Sachar</t>
        </is>
      </c>
      <c r="B1806" s="37" t="inlineStr">
        <is>
          <t>Bund Garden Pune</t>
        </is>
      </c>
      <c r="C1806" s="37" t="inlineStr">
        <is>
          <t>GROW</t>
        </is>
      </c>
      <c r="D1806" s="37" t="inlineStr">
        <is>
          <t>2026-07-18</t>
        </is>
      </c>
      <c r="E1806" s="37" t="inlineStr">
        <is>
          <t>Aspirant Interaction</t>
        </is>
      </c>
      <c r="F1806" s="37" t="inlineStr">
        <is>
          <t>Ask whether they are aware of the referral scheme?</t>
        </is>
      </c>
      <c r="G1806" s="37" t="inlineStr">
        <is>
          <t>All is Well</t>
        </is>
      </c>
    </row>
    <row r="1807">
      <c r="A1807" s="37" t="inlineStr">
        <is>
          <t>Gagandeep Singh Sachar</t>
        </is>
      </c>
      <c r="B1807" s="37" t="inlineStr">
        <is>
          <t>Bund Garden Pune</t>
        </is>
      </c>
      <c r="C1807" s="37" t="inlineStr">
        <is>
          <t>GROW</t>
        </is>
      </c>
      <c r="D1807" s="37" t="inlineStr">
        <is>
          <t>2026-07-18</t>
        </is>
      </c>
      <c r="E1807" s="37" t="inlineStr">
        <is>
          <t>Aspirant Interaction</t>
        </is>
      </c>
      <c r="F1807" s="37" t="inlineStr">
        <is>
          <t>Ask whether the AH explained the importance of the offer letter and sharing it with us once received for reporting purposes?</t>
        </is>
      </c>
      <c r="G1807" s="37" t="inlineStr">
        <is>
          <t>All is Well</t>
        </is>
      </c>
    </row>
    <row r="1808">
      <c r="A1808" s="37" t="inlineStr">
        <is>
          <t>Gagandeep Singh Sachar</t>
        </is>
      </c>
      <c r="B1808" s="37" t="inlineStr">
        <is>
          <t>Bund Garden Pune</t>
        </is>
      </c>
      <c r="C1808" s="37" t="inlineStr">
        <is>
          <t>GROW</t>
        </is>
      </c>
      <c r="D1808" s="37" t="inlineStr">
        <is>
          <t>2026-07-18</t>
        </is>
      </c>
      <c r="E1808" s="37" t="inlineStr">
        <is>
          <t>Aspirant Interaction</t>
        </is>
      </c>
      <c r="F1808" s="37" t="inlineStr">
        <is>
          <t>Ask how many are not interested in jobs — and if so, why they enrolled in the programme?</t>
        </is>
      </c>
      <c r="G1808" s="37" t="inlineStr">
        <is>
          <t>All is Well</t>
        </is>
      </c>
    </row>
    <row r="1809">
      <c r="A1809" s="37" t="inlineStr">
        <is>
          <t>Gagandeep Singh Sachar</t>
        </is>
      </c>
      <c r="B1809" s="37" t="inlineStr">
        <is>
          <t>Bund Garden Pune</t>
        </is>
      </c>
      <c r="C1809" s="37" t="inlineStr">
        <is>
          <t>GROW</t>
        </is>
      </c>
      <c r="D1809" s="37" t="inlineStr">
        <is>
          <t>2026-07-18</t>
        </is>
      </c>
      <c r="E1809" s="37" t="inlineStr">
        <is>
          <t>Aspirant Interaction</t>
        </is>
      </c>
      <c r="F1809" s="37" t="inlineStr">
        <is>
          <t>Ask whether they were told the kind of job they would get during counselling?</t>
        </is>
      </c>
      <c r="G1809" s="37" t="inlineStr">
        <is>
          <t>All is Well</t>
        </is>
      </c>
    </row>
    <row r="1810">
      <c r="A1810" s="37" t="inlineStr">
        <is>
          <t>Gagandeep Singh Sachar</t>
        </is>
      </c>
      <c r="B1810" s="37" t="inlineStr">
        <is>
          <t>Bund Garden Pune</t>
        </is>
      </c>
      <c r="C1810" s="37" t="inlineStr">
        <is>
          <t>GROW</t>
        </is>
      </c>
      <c r="D1810" s="37" t="inlineStr">
        <is>
          <t>2026-07-18</t>
        </is>
      </c>
      <c r="E1810" s="37" t="inlineStr">
        <is>
          <t>Aspirant Interaction</t>
        </is>
      </c>
      <c r="F1810" s="37" t="inlineStr">
        <is>
          <t>Ask whether they have been given LMS access?</t>
        </is>
      </c>
      <c r="G1810" s="37" t="inlineStr">
        <is>
          <t>All is Well</t>
        </is>
      </c>
    </row>
    <row r="1811">
      <c r="A1811" s="37" t="inlineStr">
        <is>
          <t>Gagandeep Singh Sachar</t>
        </is>
      </c>
      <c r="B1811" s="37" t="inlineStr">
        <is>
          <t>Bund Garden Pune</t>
        </is>
      </c>
      <c r="C1811" s="37" t="inlineStr">
        <is>
          <t>GROW</t>
        </is>
      </c>
      <c r="D1811" s="37" t="inlineStr">
        <is>
          <t>2026-07-18</t>
        </is>
      </c>
      <c r="E1811" s="37" t="inlineStr">
        <is>
          <t>Aspirant Interaction</t>
        </is>
      </c>
      <c r="F1811" s="37" t="inlineStr">
        <is>
          <t>Ask whether anyone asked them for money for training or placement?</t>
        </is>
      </c>
      <c r="G1811" s="37" t="inlineStr">
        <is>
          <t>All is Well</t>
        </is>
      </c>
    </row>
    <row r="1812">
      <c r="A1812" s="37" t="inlineStr">
        <is>
          <t>Gagandeep Singh Sachar</t>
        </is>
      </c>
      <c r="B1812" s="37" t="inlineStr">
        <is>
          <t>Bund Garden Pune</t>
        </is>
      </c>
      <c r="C1812" s="37" t="inlineStr">
        <is>
          <t>GROW</t>
        </is>
      </c>
      <c r="D1812" s="37" t="inlineStr">
        <is>
          <t>2026-07-18</t>
        </is>
      </c>
      <c r="E1812" s="37" t="inlineStr">
        <is>
          <t>Aspirant Interaction</t>
        </is>
      </c>
      <c r="F1812" s="37" t="inlineStr">
        <is>
          <t>Ask to show their mobile phones — are they enrolled on Skillfy? If not, get them enrolled and give written feedback to trainers and the AH in your presence.</t>
        </is>
      </c>
      <c r="G1812" s="37" t="inlineStr">
        <is>
          <t>All is Well</t>
        </is>
      </c>
    </row>
    <row r="1813">
      <c r="A1813" s="37" t="inlineStr">
        <is>
          <t>Gagandeep Singh Sachar</t>
        </is>
      </c>
      <c r="B1813" s="37" t="inlineStr">
        <is>
          <t>Bund Garden Pune</t>
        </is>
      </c>
      <c r="C1813" s="37" t="inlineStr">
        <is>
          <t>GROW</t>
        </is>
      </c>
      <c r="D1813" s="37" t="inlineStr">
        <is>
          <t>2026-07-18</t>
        </is>
      </c>
      <c r="E1813" s="37" t="inlineStr">
        <is>
          <t>Aspirant Interaction</t>
        </is>
      </c>
      <c r="F1813" s="37" t="inlineStr">
        <is>
          <t>Ask about the quality of the hostel and any issues they face.</t>
        </is>
      </c>
      <c r="G1813" s="37" t="inlineStr">
        <is>
          <t>Not Applicable</t>
        </is>
      </c>
    </row>
    <row r="1814">
      <c r="A1814" s="37" t="inlineStr">
        <is>
          <t>Gagandeep Singh Sachar</t>
        </is>
      </c>
      <c r="B1814" s="37" t="inlineStr">
        <is>
          <t>Bund Garden Pune</t>
        </is>
      </c>
      <c r="C1814" s="37" t="inlineStr">
        <is>
          <t>GROW</t>
        </is>
      </c>
      <c r="D1814" s="37" t="inlineStr">
        <is>
          <t>2026-07-18</t>
        </is>
      </c>
      <c r="E1814" s="37" t="inlineStr">
        <is>
          <t>Aspirant Interaction</t>
        </is>
      </c>
      <c r="F1814" s="37" t="inlineStr">
        <is>
          <t>Ask a few relevant screening questions to support the 10th-day report and remove non-serious candidates, explaining to them the reasons.</t>
        </is>
      </c>
      <c r="G1814" s="37" t="inlineStr">
        <is>
          <t>All is Well</t>
        </is>
      </c>
    </row>
    <row r="1815">
      <c r="A1815" s="37" t="inlineStr">
        <is>
          <t>Gagandeep Singh Sachar</t>
        </is>
      </c>
      <c r="B1815" s="37" t="inlineStr">
        <is>
          <t>Jogeshwari</t>
        </is>
      </c>
      <c r="C1815" s="37" t="inlineStr">
        <is>
          <t>GROW</t>
        </is>
      </c>
      <c r="D1815" s="37" t="inlineStr">
        <is>
          <t>2026-07-20</t>
        </is>
      </c>
      <c r="E1815" s="37" t="inlineStr">
        <is>
          <t>Data Check</t>
        </is>
      </c>
      <c r="F1815" s="37" t="inlineStr">
        <is>
          <t>Reach the centre on time (unannounced) — confirm the centre opened on time.</t>
        </is>
      </c>
      <c r="G1815" s="37" t="inlineStr">
        <is>
          <t>All is Well</t>
        </is>
      </c>
    </row>
    <row r="1816">
      <c r="A1816" s="37" t="inlineStr">
        <is>
          <t>Gagandeep Singh Sachar</t>
        </is>
      </c>
      <c r="B1816" s="37" t="inlineStr">
        <is>
          <t>Jogeshwari</t>
        </is>
      </c>
      <c r="C1816" s="37" t="inlineStr">
        <is>
          <t>GROW</t>
        </is>
      </c>
      <c r="D1816" s="37" t="inlineStr">
        <is>
          <t>2026-07-20</t>
        </is>
      </c>
      <c r="E1816" s="37" t="inlineStr">
        <is>
          <t>Data Check</t>
        </is>
      </c>
      <c r="F1816" s="37" t="inlineStr">
        <is>
          <t>Check the staff attendance register, the Google Sheet, and geo-tagged photos for aspirants.</t>
        </is>
      </c>
      <c r="G1816" s="37" t="inlineStr">
        <is>
          <t>Need Improvement</t>
        </is>
      </c>
    </row>
    <row r="1817">
      <c r="A1817" s="37" t="inlineStr">
        <is>
          <t>Gagandeep Singh Sachar</t>
        </is>
      </c>
      <c r="B1817" s="37" t="inlineStr">
        <is>
          <t>Jogeshwari</t>
        </is>
      </c>
      <c r="C1817" s="37" t="inlineStr">
        <is>
          <t>GROW</t>
        </is>
      </c>
      <c r="D1817" s="37" t="inlineStr">
        <is>
          <t>2026-07-20</t>
        </is>
      </c>
      <c r="E1817" s="37" t="inlineStr">
        <is>
          <t>Data Check</t>
        </is>
      </c>
      <c r="F1817" s="37" t="inlineStr">
        <is>
          <t>Check Counselling and Screening Forms of recently started batches.</t>
        </is>
      </c>
      <c r="G1817" s="37" t="inlineStr">
        <is>
          <t>All is Well</t>
        </is>
      </c>
    </row>
    <row r="1818">
      <c r="A1818" s="37" t="inlineStr">
        <is>
          <t>Gagandeep Singh Sachar</t>
        </is>
      </c>
      <c r="B1818" s="37" t="inlineStr">
        <is>
          <t>Jogeshwari</t>
        </is>
      </c>
      <c r="C1818" s="37" t="inlineStr">
        <is>
          <t>GROW</t>
        </is>
      </c>
      <c r="D1818" s="37" t="inlineStr">
        <is>
          <t>2026-07-20</t>
        </is>
      </c>
      <c r="E1818" s="37" t="inlineStr">
        <is>
          <t>Data Check</t>
        </is>
      </c>
      <c r="F1818" s="37" t="inlineStr">
        <is>
          <t>Check Aspirant Registration Forms and related documents.</t>
        </is>
      </c>
      <c r="G1818" s="37" t="inlineStr">
        <is>
          <t>All is Well</t>
        </is>
      </c>
    </row>
    <row r="1819">
      <c r="A1819" s="37" t="inlineStr">
        <is>
          <t>Gagandeep Singh Sachar</t>
        </is>
      </c>
      <c r="B1819" s="37" t="inlineStr">
        <is>
          <t>Jogeshwari</t>
        </is>
      </c>
      <c r="C1819" s="37" t="inlineStr">
        <is>
          <t>GROW</t>
        </is>
      </c>
      <c r="D1819" s="37" t="inlineStr">
        <is>
          <t>2026-07-20</t>
        </is>
      </c>
      <c r="E1819" s="37" t="inlineStr">
        <is>
          <t>Data Check</t>
        </is>
      </c>
      <c r="F1819" s="37" t="inlineStr">
        <is>
          <t>On the GROW portal, confirm all student profile details and batch updates are currect.</t>
        </is>
      </c>
      <c r="G1819" s="37" t="inlineStr">
        <is>
          <t>All is Well</t>
        </is>
      </c>
    </row>
    <row r="1820">
      <c r="A1820" s="37" t="inlineStr">
        <is>
          <t>Gagandeep Singh Sachar</t>
        </is>
      </c>
      <c r="B1820" s="37" t="inlineStr">
        <is>
          <t>Jogeshwari</t>
        </is>
      </c>
      <c r="C1820" s="37" t="inlineStr">
        <is>
          <t>GROW</t>
        </is>
      </c>
      <c r="D1820" s="37" t="inlineStr">
        <is>
          <t>2026-07-20</t>
        </is>
      </c>
      <c r="E1820" s="37" t="inlineStr">
        <is>
          <t>Data Check</t>
        </is>
      </c>
      <c r="F1820" s="37" t="inlineStr">
        <is>
          <t>Verify placement data — randomly call 3–4 alumni placed in the last 3 months to confirm veracity (random selection is essential).</t>
        </is>
      </c>
      <c r="G1820" s="37" t="inlineStr">
        <is>
          <t>All is Well</t>
        </is>
      </c>
    </row>
    <row r="1821">
      <c r="A1821" s="37" t="inlineStr">
        <is>
          <t>Gagandeep Singh Sachar</t>
        </is>
      </c>
      <c r="B1821" s="37" t="inlineStr">
        <is>
          <t>Jogeshwari</t>
        </is>
      </c>
      <c r="C1821" s="37" t="inlineStr">
        <is>
          <t>GROW</t>
        </is>
      </c>
      <c r="D1821" s="37" t="inlineStr">
        <is>
          <t>2026-07-20</t>
        </is>
      </c>
      <c r="E1821" s="37" t="inlineStr">
        <is>
          <t>Data Check</t>
        </is>
      </c>
      <c r="F1821" s="37" t="inlineStr">
        <is>
          <t>Verify retention — check the Alumni Hand-holding Format is being updated as designed.</t>
        </is>
      </c>
      <c r="G1821" s="37" t="inlineStr">
        <is>
          <t>Need Improvement</t>
        </is>
      </c>
    </row>
    <row r="1822">
      <c r="A1822" s="37" t="inlineStr">
        <is>
          <t>Gagandeep Singh Sachar</t>
        </is>
      </c>
      <c r="B1822" s="37" t="inlineStr">
        <is>
          <t>Jogeshwari</t>
        </is>
      </c>
      <c r="C1822" s="37" t="inlineStr">
        <is>
          <t>GROW</t>
        </is>
      </c>
      <c r="D1822" s="37" t="inlineStr">
        <is>
          <t>2026-07-20</t>
        </is>
      </c>
      <c r="E1822" s="37" t="inlineStr">
        <is>
          <t>Data Check</t>
        </is>
      </c>
      <c r="F1822" s="37" t="inlineStr">
        <is>
          <t>Check aspirant Hostel Forms are properly filled or not.</t>
        </is>
      </c>
      <c r="G1822" s="37" t="inlineStr">
        <is>
          <t>Not Applicable</t>
        </is>
      </c>
    </row>
    <row r="1823">
      <c r="A1823" s="37" t="inlineStr">
        <is>
          <t>Gagandeep Singh Sachar</t>
        </is>
      </c>
      <c r="B1823" s="37" t="inlineStr">
        <is>
          <t>Jogeshwari</t>
        </is>
      </c>
      <c r="C1823" s="37" t="inlineStr">
        <is>
          <t>GROW</t>
        </is>
      </c>
      <c r="D1823" s="37" t="inlineStr">
        <is>
          <t>2026-07-20</t>
        </is>
      </c>
      <c r="E1823" s="37" t="inlineStr">
        <is>
          <t>Infra Check</t>
        </is>
      </c>
      <c r="F1823" s="37" t="inlineStr">
        <is>
          <t>Check all CCTV cameras; if any are not working, ask the AH to troubleshoot or call the vendor.</t>
        </is>
      </c>
      <c r="G1823" s="37" t="inlineStr">
        <is>
          <t>All is Well</t>
        </is>
      </c>
    </row>
    <row r="1824">
      <c r="A1824" s="37" t="inlineStr">
        <is>
          <t>Gagandeep Singh Sachar</t>
        </is>
      </c>
      <c r="B1824" s="37" t="inlineStr">
        <is>
          <t>Jogeshwari</t>
        </is>
      </c>
      <c r="C1824" s="37" t="inlineStr">
        <is>
          <t>GROW</t>
        </is>
      </c>
      <c r="D1824" s="37" t="inlineStr">
        <is>
          <t>2026-07-20</t>
        </is>
      </c>
      <c r="E1824" s="37" t="inlineStr">
        <is>
          <t>Infra Check</t>
        </is>
      </c>
      <c r="F1824" s="37" t="inlineStr">
        <is>
          <t>Check for any scrap material and get it cleared, with support of Admin</t>
        </is>
      </c>
      <c r="G1824" s="37" t="inlineStr">
        <is>
          <t>All is Well</t>
        </is>
      </c>
    </row>
    <row r="1825">
      <c r="A1825" s="37" t="inlineStr">
        <is>
          <t>Gagandeep Singh Sachar</t>
        </is>
      </c>
      <c r="B1825" s="37" t="inlineStr">
        <is>
          <t>Jogeshwari</t>
        </is>
      </c>
      <c r="C1825" s="37" t="inlineStr">
        <is>
          <t>GROW</t>
        </is>
      </c>
      <c r="D1825" s="37" t="inlineStr">
        <is>
          <t>2026-07-20</t>
        </is>
      </c>
      <c r="E1825" s="37" t="inlineStr">
        <is>
          <t>Infra Check</t>
        </is>
      </c>
      <c r="F1825" s="37" t="inlineStr">
        <is>
          <t>Check for any pending infra repairs.</t>
        </is>
      </c>
      <c r="G1825" s="37" t="inlineStr">
        <is>
          <t>All is Well</t>
        </is>
      </c>
    </row>
    <row r="1826">
      <c r="A1826" s="37" t="inlineStr">
        <is>
          <t>Gagandeep Singh Sachar</t>
        </is>
      </c>
      <c r="B1826" s="37" t="inlineStr">
        <is>
          <t>Jogeshwari</t>
        </is>
      </c>
      <c r="C1826" s="37" t="inlineStr">
        <is>
          <t>GROW</t>
        </is>
      </c>
      <c r="D1826" s="37" t="inlineStr">
        <is>
          <t>2026-07-20</t>
        </is>
      </c>
      <c r="E1826" s="37" t="inlineStr">
        <is>
          <t>Infra Check</t>
        </is>
      </c>
      <c r="F1826" s="37" t="inlineStr">
        <is>
          <t>Check whether any fire extinguishers have expired (check the needle and expiry date both).</t>
        </is>
      </c>
      <c r="G1826" s="37" t="inlineStr">
        <is>
          <t>All is Well</t>
        </is>
      </c>
    </row>
    <row r="1827">
      <c r="A1827" s="37" t="inlineStr">
        <is>
          <t>Gagandeep Singh Sachar</t>
        </is>
      </c>
      <c r="B1827" s="37" t="inlineStr">
        <is>
          <t>Jogeshwari</t>
        </is>
      </c>
      <c r="C1827" s="37" t="inlineStr">
        <is>
          <t>GROW</t>
        </is>
      </c>
      <c r="D1827" s="37" t="inlineStr">
        <is>
          <t>2026-07-20</t>
        </is>
      </c>
      <c r="E1827" s="37" t="inlineStr">
        <is>
          <t>Infra Check</t>
        </is>
      </c>
      <c r="F1827" s="37" t="inlineStr">
        <is>
          <t>Check basic cleanliness of the washrooms and the centre.</t>
        </is>
      </c>
      <c r="G1827" s="37" t="inlineStr">
        <is>
          <t>All is Well</t>
        </is>
      </c>
    </row>
    <row r="1828">
      <c r="A1828" s="37" t="inlineStr">
        <is>
          <t>Gagandeep Singh Sachar</t>
        </is>
      </c>
      <c r="B1828" s="37" t="inlineStr">
        <is>
          <t>Jogeshwari</t>
        </is>
      </c>
      <c r="C1828" s="37" t="inlineStr">
        <is>
          <t>GROW</t>
        </is>
      </c>
      <c r="D1828" s="37" t="inlineStr">
        <is>
          <t>2026-07-20</t>
        </is>
      </c>
      <c r="E1828" s="37" t="inlineStr">
        <is>
          <t>Infra Check</t>
        </is>
      </c>
      <c r="F1828" s="37" t="inlineStr">
        <is>
          <t>Confirm the correct program and partner logos are displayed.</t>
        </is>
      </c>
      <c r="G1828" s="37" t="inlineStr">
        <is>
          <t>All is Well</t>
        </is>
      </c>
    </row>
    <row r="1829">
      <c r="A1829" s="37" t="inlineStr">
        <is>
          <t>Gagandeep Singh Sachar</t>
        </is>
      </c>
      <c r="B1829" s="37" t="inlineStr">
        <is>
          <t>Jogeshwari</t>
        </is>
      </c>
      <c r="C1829" s="37" t="inlineStr">
        <is>
          <t>GROW</t>
        </is>
      </c>
      <c r="D1829" s="37" t="inlineStr">
        <is>
          <t>2026-07-20</t>
        </is>
      </c>
      <c r="E1829" s="37" t="inlineStr">
        <is>
          <t>Infra Check</t>
        </is>
      </c>
      <c r="F1829" s="37" t="inlineStr">
        <is>
          <t>Check the status of digital infra — PCs, smartboards, tablets, laptops, etc.</t>
        </is>
      </c>
      <c r="G1829" s="37" t="inlineStr">
        <is>
          <t>All is Well</t>
        </is>
      </c>
    </row>
    <row r="1830">
      <c r="A1830" s="37" t="inlineStr">
        <is>
          <t>Gagandeep Singh Sachar</t>
        </is>
      </c>
      <c r="B1830" s="37" t="inlineStr">
        <is>
          <t>Jogeshwari</t>
        </is>
      </c>
      <c r="C1830" s="37" t="inlineStr">
        <is>
          <t>GROW</t>
        </is>
      </c>
      <c r="D1830" s="37" t="inlineStr">
        <is>
          <t>2026-07-20</t>
        </is>
      </c>
      <c r="E1830" s="37" t="inlineStr">
        <is>
          <t>Infra Check</t>
        </is>
      </c>
      <c r="F1830" s="37" t="inlineStr">
        <is>
          <t>Make a quick hostel visit; have lunch there if possible to test the food quality.</t>
        </is>
      </c>
      <c r="G1830" s="37" t="inlineStr">
        <is>
          <t>Not Applicable</t>
        </is>
      </c>
    </row>
    <row r="1831">
      <c r="A1831" s="37" t="inlineStr">
        <is>
          <t>Gagandeep Singh Sachar</t>
        </is>
      </c>
      <c r="B1831" s="37" t="inlineStr">
        <is>
          <t>Jogeshwari</t>
        </is>
      </c>
      <c r="C1831" s="37" t="inlineStr">
        <is>
          <t>GROW</t>
        </is>
      </c>
      <c r="D1831" s="37" t="inlineStr">
        <is>
          <t>2026-07-20</t>
        </is>
      </c>
      <c r="E1831" s="37" t="inlineStr">
        <is>
          <t>Process Check</t>
        </is>
      </c>
      <c r="F1831" s="37" t="inlineStr">
        <is>
          <t>Refer to the activity planner — check if any activities are delayed.</t>
        </is>
      </c>
      <c r="G1831" s="37" t="inlineStr">
        <is>
          <t>Not Applicable</t>
        </is>
      </c>
    </row>
    <row r="1832">
      <c r="A1832" s="37" t="inlineStr">
        <is>
          <t>Gagandeep Singh Sachar</t>
        </is>
      </c>
      <c r="B1832" s="37" t="inlineStr">
        <is>
          <t>Jogeshwari</t>
        </is>
      </c>
      <c r="C1832" s="37" t="inlineStr">
        <is>
          <t>GROW</t>
        </is>
      </c>
      <c r="D1832" s="37" t="inlineStr">
        <is>
          <t>2026-07-20</t>
        </is>
      </c>
      <c r="E1832" s="37" t="inlineStr">
        <is>
          <t>Process Check</t>
        </is>
      </c>
      <c r="F1832" s="37" t="inlineStr">
        <is>
          <t>Check planning for the next batch-start announcement.</t>
        </is>
      </c>
      <c r="G1832" s="37" t="inlineStr">
        <is>
          <t>All is Well</t>
        </is>
      </c>
    </row>
    <row r="1833">
      <c r="A1833" s="37" t="inlineStr">
        <is>
          <t>Gagandeep Singh Sachar</t>
        </is>
      </c>
      <c r="B1833" s="37" t="inlineStr">
        <is>
          <t>Jogeshwari</t>
        </is>
      </c>
      <c r="C1833" s="37" t="inlineStr">
        <is>
          <t>GROW</t>
        </is>
      </c>
      <c r="D1833" s="37" t="inlineStr">
        <is>
          <t>2026-07-20</t>
        </is>
      </c>
      <c r="E1833" s="37" t="inlineStr">
        <is>
          <t>Process Check</t>
        </is>
      </c>
      <c r="F1833" s="37" t="inlineStr">
        <is>
          <t>Check if any hiring is delayed and plan a resolution.</t>
        </is>
      </c>
      <c r="G1833" s="37" t="inlineStr">
        <is>
          <t>All is Well</t>
        </is>
      </c>
    </row>
    <row r="1834">
      <c r="A1834" s="37" t="inlineStr">
        <is>
          <t>Gagandeep Singh Sachar</t>
        </is>
      </c>
      <c r="B1834" s="37" t="inlineStr">
        <is>
          <t>Jogeshwari</t>
        </is>
      </c>
      <c r="C1834" s="37" t="inlineStr">
        <is>
          <t>GROW</t>
        </is>
      </c>
      <c r="D1834" s="37" t="inlineStr">
        <is>
          <t>2026-07-20</t>
        </is>
      </c>
      <c r="E1834" s="37" t="inlineStr">
        <is>
          <t>Process Check</t>
        </is>
      </c>
      <c r="F1834" s="37" t="inlineStr">
        <is>
          <t>Check the CA’s diary — is CA guided daily by the AH during planning days?</t>
        </is>
      </c>
      <c r="G1834" s="37" t="inlineStr">
        <is>
          <t>All is Well</t>
        </is>
      </c>
    </row>
    <row r="1835">
      <c r="A1835" s="37" t="inlineStr">
        <is>
          <t>Gagandeep Singh Sachar</t>
        </is>
      </c>
      <c r="B1835" s="37" t="inlineStr">
        <is>
          <t>Jogeshwari</t>
        </is>
      </c>
      <c r="C1835" s="37" t="inlineStr">
        <is>
          <t>GROW</t>
        </is>
      </c>
      <c r="D1835" s="37" t="inlineStr">
        <is>
          <t>2026-07-20</t>
        </is>
      </c>
      <c r="E1835" s="37" t="inlineStr">
        <is>
          <t>Process Check</t>
        </is>
      </c>
      <c r="F1835" s="37" t="inlineStr">
        <is>
          <t>Check the AH is regularly meeting employers (in person and online) and updating the centre’s Top 20 Employer format.</t>
        </is>
      </c>
      <c r="G1835" s="37" t="inlineStr">
        <is>
          <t>Need Improvement</t>
        </is>
      </c>
    </row>
    <row r="1836">
      <c r="A1836" s="37" t="inlineStr">
        <is>
          <t>Gagandeep Singh Sachar</t>
        </is>
      </c>
      <c r="B1836" s="37" t="inlineStr">
        <is>
          <t>Jogeshwari</t>
        </is>
      </c>
      <c r="C1836" s="37" t="inlineStr">
        <is>
          <t>GROW</t>
        </is>
      </c>
      <c r="D1836" s="37" t="inlineStr">
        <is>
          <t>2026-07-20</t>
        </is>
      </c>
      <c r="E1836" s="37" t="inlineStr">
        <is>
          <t>Process Check</t>
        </is>
      </c>
      <c r="F1836" s="37" t="inlineStr">
        <is>
          <t>Confirm all new employers are registered on portal as per new process.</t>
        </is>
      </c>
      <c r="G1836" s="37" t="inlineStr">
        <is>
          <t>All is Well</t>
        </is>
      </c>
    </row>
    <row r="1837">
      <c r="A1837" s="37" t="inlineStr">
        <is>
          <t>Gagandeep Singh Sachar</t>
        </is>
      </c>
      <c r="B1837" s="37" t="inlineStr">
        <is>
          <t>Jogeshwari</t>
        </is>
      </c>
      <c r="C1837" s="37" t="inlineStr">
        <is>
          <t>GROW</t>
        </is>
      </c>
      <c r="D1837" s="37" t="inlineStr">
        <is>
          <t>2026-07-20</t>
        </is>
      </c>
      <c r="E1837" s="37" t="inlineStr">
        <is>
          <t>Process Check</t>
        </is>
      </c>
      <c r="F1837" s="37" t="inlineStr">
        <is>
          <t>Confirm 100% of enrolled students undergone screening (for technical courses).</t>
        </is>
      </c>
      <c r="G1837" s="37" t="inlineStr">
        <is>
          <t>Not Applicable</t>
        </is>
      </c>
    </row>
    <row r="1838">
      <c r="A1838" s="37" t="inlineStr">
        <is>
          <t>Gagandeep Singh Sachar</t>
        </is>
      </c>
      <c r="B1838" s="37" t="inlineStr">
        <is>
          <t>Jogeshwari</t>
        </is>
      </c>
      <c r="C1838" s="37" t="inlineStr">
        <is>
          <t>GROW</t>
        </is>
      </c>
      <c r="D1838" s="37" t="inlineStr">
        <is>
          <t>2026-07-20</t>
        </is>
      </c>
      <c r="E1838" s="37" t="inlineStr">
        <is>
          <t>Process Check</t>
        </is>
      </c>
      <c r="F1838" s="37" t="inlineStr">
        <is>
          <t>Confirm ESA is done (in GROW full ESA and in Technical courses relevant sections of Core Employability Part).</t>
        </is>
      </c>
      <c r="G1838" s="37" t="inlineStr">
        <is>
          <t>All is Well</t>
        </is>
      </c>
    </row>
    <row r="1839">
      <c r="A1839" s="37" t="inlineStr">
        <is>
          <t>Gagandeep Singh Sachar</t>
        </is>
      </c>
      <c r="B1839" s="37" t="inlineStr">
        <is>
          <t>Jogeshwari</t>
        </is>
      </c>
      <c r="C1839" s="37" t="inlineStr">
        <is>
          <t>GROW</t>
        </is>
      </c>
      <c r="D1839" s="37" t="inlineStr">
        <is>
          <t>2026-07-20</t>
        </is>
      </c>
      <c r="E1839" s="37" t="inlineStr">
        <is>
          <t>Process Check</t>
        </is>
      </c>
      <c r="F1839" s="37" t="inlineStr">
        <is>
          <t>Check is AH giving capstone project in GROW Tech.</t>
        </is>
      </c>
      <c r="G1839" s="37" t="inlineStr">
        <is>
          <t>Not Applicable</t>
        </is>
      </c>
    </row>
    <row r="1840">
      <c r="A1840" s="37" t="inlineStr">
        <is>
          <t>Gagandeep Singh Sachar</t>
        </is>
      </c>
      <c r="B1840" s="37" t="inlineStr">
        <is>
          <t>Jogeshwari</t>
        </is>
      </c>
      <c r="C1840" s="37" t="inlineStr">
        <is>
          <t>GROW</t>
        </is>
      </c>
      <c r="D1840" s="37" t="inlineStr">
        <is>
          <t>2026-07-20</t>
        </is>
      </c>
      <c r="E1840" s="37" t="inlineStr">
        <is>
          <t>Process Check</t>
        </is>
      </c>
      <c r="F1840" s="37" t="inlineStr">
        <is>
          <t>Check is AH planning OJT as per guidelines and proofs are collected for technical courses.</t>
        </is>
      </c>
      <c r="G1840" s="37" t="inlineStr">
        <is>
          <t>Not Applicable</t>
        </is>
      </c>
    </row>
    <row r="1841">
      <c r="A1841" s="37" t="inlineStr">
        <is>
          <t>Gagandeep Singh Sachar</t>
        </is>
      </c>
      <c r="B1841" s="37" t="inlineStr">
        <is>
          <t>Jogeshwari</t>
        </is>
      </c>
      <c r="C1841" s="37" t="inlineStr">
        <is>
          <t>GROW</t>
        </is>
      </c>
      <c r="D1841" s="37" t="inlineStr">
        <is>
          <t>2026-07-20</t>
        </is>
      </c>
      <c r="E1841" s="37" t="inlineStr">
        <is>
          <t>Process Check</t>
        </is>
      </c>
      <c r="F1841" s="37" t="inlineStr">
        <is>
          <t>Check are trainers contacting aspirants to find reason for their absenteeism of more than 1 day.</t>
        </is>
      </c>
      <c r="G1841" s="37" t="inlineStr">
        <is>
          <t>All is Well</t>
        </is>
      </c>
    </row>
    <row r="1842">
      <c r="A1842" s="37" t="inlineStr">
        <is>
          <t>Gagandeep Singh Sachar</t>
        </is>
      </c>
      <c r="B1842" s="37" t="inlineStr">
        <is>
          <t>Jogeshwari</t>
        </is>
      </c>
      <c r="C1842" s="37" t="inlineStr">
        <is>
          <t>GROW</t>
        </is>
      </c>
      <c r="D1842" s="37" t="inlineStr">
        <is>
          <t>2026-07-20</t>
        </is>
      </c>
      <c r="E1842" s="37" t="inlineStr">
        <is>
          <t>Process Check</t>
        </is>
      </c>
      <c r="F1842" s="37" t="inlineStr">
        <is>
          <t>Check the AH plans monthly enrolment and placement numbers by the 3rd of each month and shares them with second level managers.</t>
        </is>
      </c>
      <c r="G1842" s="37" t="inlineStr">
        <is>
          <t>All is Well</t>
        </is>
      </c>
    </row>
    <row r="1843">
      <c r="A1843" s="37" t="inlineStr">
        <is>
          <t>Gagandeep Singh Sachar</t>
        </is>
      </c>
      <c r="B1843" s="37" t="inlineStr">
        <is>
          <t>Jogeshwari</t>
        </is>
      </c>
      <c r="C1843" s="37" t="inlineStr">
        <is>
          <t>GROW</t>
        </is>
      </c>
      <c r="D1843" s="37" t="inlineStr">
        <is>
          <t>2026-07-20</t>
        </is>
      </c>
      <c r="E1843" s="37" t="inlineStr">
        <is>
          <t>Process Check</t>
        </is>
      </c>
      <c r="F1843" s="37" t="inlineStr">
        <is>
          <t>Check trainers submit aspirants’ placement interest areas to the AH by the batch’s 25th day (in GROW).</t>
        </is>
      </c>
      <c r="G1843" s="37" t="inlineStr">
        <is>
          <t>Need Improvement</t>
        </is>
      </c>
    </row>
    <row r="1844">
      <c r="A1844" s="37" t="inlineStr">
        <is>
          <t>Gagandeep Singh Sachar</t>
        </is>
      </c>
      <c r="B1844" s="37" t="inlineStr">
        <is>
          <t>Jogeshwari</t>
        </is>
      </c>
      <c r="C1844" s="37" t="inlineStr">
        <is>
          <t>GROW</t>
        </is>
      </c>
      <c r="D1844" s="37" t="inlineStr">
        <is>
          <t>2026-07-20</t>
        </is>
      </c>
      <c r="E1844" s="37" t="inlineStr">
        <is>
          <t>Process Check</t>
        </is>
      </c>
      <c r="F1844" s="37" t="inlineStr">
        <is>
          <t>Ckeck For technical programs, placement is done only in technical jobs,on which aspirants are trained and relevant emplyers are identified by 45th day.</t>
        </is>
      </c>
      <c r="G1844" s="37" t="inlineStr">
        <is>
          <t>Not Applicable</t>
        </is>
      </c>
    </row>
    <row r="1845">
      <c r="A1845" s="37" t="inlineStr">
        <is>
          <t>Gagandeep Singh Sachar</t>
        </is>
      </c>
      <c r="B1845" s="37" t="inlineStr">
        <is>
          <t>Jogeshwari</t>
        </is>
      </c>
      <c r="C1845" s="37" t="inlineStr">
        <is>
          <t>GROW</t>
        </is>
      </c>
      <c r="D1845" s="37" t="inlineStr">
        <is>
          <t>2026-07-20</t>
        </is>
      </c>
      <c r="E1845" s="37" t="inlineStr">
        <is>
          <t>Process Check</t>
        </is>
      </c>
      <c r="F1845" s="37" t="inlineStr">
        <is>
          <t>Check the AH follows EP guidelines and minimum benchmark salary guidelines.</t>
        </is>
      </c>
      <c r="G1845" s="37" t="inlineStr">
        <is>
          <t>All is Well</t>
        </is>
      </c>
    </row>
    <row r="1846">
      <c r="A1846" s="37" t="inlineStr">
        <is>
          <t>Gagandeep Singh Sachar</t>
        </is>
      </c>
      <c r="B1846" s="37" t="inlineStr">
        <is>
          <t>Jogeshwari</t>
        </is>
      </c>
      <c r="C1846" s="37" t="inlineStr">
        <is>
          <t>GROW</t>
        </is>
      </c>
      <c r="D1846" s="37" t="inlineStr">
        <is>
          <t>2026-07-20</t>
        </is>
      </c>
      <c r="E1846" s="37" t="inlineStr">
        <is>
          <t>Process Check</t>
        </is>
      </c>
      <c r="F1846" s="37" t="inlineStr">
        <is>
          <t>Check that AH is enrolling only the right traget group in the program -as per the defined target.</t>
        </is>
      </c>
      <c r="G1846" s="37" t="inlineStr">
        <is>
          <t>All is Well</t>
        </is>
      </c>
    </row>
    <row r="1847">
      <c r="A1847" s="37" t="inlineStr">
        <is>
          <t>Gagandeep Singh Sachar</t>
        </is>
      </c>
      <c r="B1847" s="37" t="inlineStr">
        <is>
          <t>Jogeshwari</t>
        </is>
      </c>
      <c r="C1847" s="37" t="inlineStr">
        <is>
          <t>GROW</t>
        </is>
      </c>
      <c r="D1847" s="37" t="inlineStr">
        <is>
          <t>2026-07-20</t>
        </is>
      </c>
      <c r="E1847" s="37" t="inlineStr">
        <is>
          <t>Process Check</t>
        </is>
      </c>
      <c r="F1847" s="37" t="inlineStr">
        <is>
          <t>Check the AH announces the next batch-start date by the 3rd of the month on all notice boards — focus on Zero-Day start.</t>
        </is>
      </c>
      <c r="G1847" s="37" t="inlineStr">
        <is>
          <t>All is Well</t>
        </is>
      </c>
    </row>
    <row r="1848">
      <c r="A1848" s="37" t="inlineStr">
        <is>
          <t>Gagandeep Singh Sachar</t>
        </is>
      </c>
      <c r="B1848" s="37" t="inlineStr">
        <is>
          <t>Jogeshwari</t>
        </is>
      </c>
      <c r="C1848" s="37" t="inlineStr">
        <is>
          <t>GROW</t>
        </is>
      </c>
      <c r="D1848" s="37" t="inlineStr">
        <is>
          <t>2026-07-20</t>
        </is>
      </c>
      <c r="E1848" s="37" t="inlineStr">
        <is>
          <t>Process Check</t>
        </is>
      </c>
      <c r="F1848" s="37" t="inlineStr">
        <is>
          <t>Check the Aspirant Mock Interview Score Tracker is updated after every mock interview in the L&amp;D Google Sheet.</t>
        </is>
      </c>
      <c r="G1848" s="37" t="inlineStr">
        <is>
          <t>Need Improvement</t>
        </is>
      </c>
    </row>
    <row r="1849">
      <c r="A1849" s="37" t="inlineStr">
        <is>
          <t>Gagandeep Singh Sachar</t>
        </is>
      </c>
      <c r="B1849" s="37" t="inlineStr">
        <is>
          <t>Jogeshwari</t>
        </is>
      </c>
      <c r="C1849" s="37" t="inlineStr">
        <is>
          <t>GROW</t>
        </is>
      </c>
      <c r="D1849" s="37" t="inlineStr">
        <is>
          <t>2026-07-20</t>
        </is>
      </c>
      <c r="E1849" s="37" t="inlineStr">
        <is>
          <t>Process Check</t>
        </is>
      </c>
      <c r="F1849" s="37" t="inlineStr">
        <is>
          <t>Confirm NPS (Net Promoter Score) is collected at MSDF centres.</t>
        </is>
      </c>
      <c r="G1849" s="37" t="inlineStr">
        <is>
          <t>Not Applicable</t>
        </is>
      </c>
    </row>
    <row r="1850">
      <c r="A1850" s="37" t="inlineStr">
        <is>
          <t>Gagandeep Singh Sachar</t>
        </is>
      </c>
      <c r="B1850" s="37" t="inlineStr">
        <is>
          <t>Jogeshwari</t>
        </is>
      </c>
      <c r="C1850" s="37" t="inlineStr">
        <is>
          <t>GROW</t>
        </is>
      </c>
      <c r="D1850" s="37" t="inlineStr">
        <is>
          <t>2026-07-20</t>
        </is>
      </c>
      <c r="E1850" s="37" t="inlineStr">
        <is>
          <t>Process Check</t>
        </is>
      </c>
      <c r="F1850" s="37" t="inlineStr">
        <is>
          <t>Confirm that QAE is collecting student feedback for every batch.</t>
        </is>
      </c>
      <c r="G1850" s="37" t="inlineStr">
        <is>
          <t>All is Well</t>
        </is>
      </c>
    </row>
    <row r="1851">
      <c r="A1851" s="37" t="inlineStr">
        <is>
          <t>Gagandeep Singh Sachar</t>
        </is>
      </c>
      <c r="B1851" s="37" t="inlineStr">
        <is>
          <t>Jogeshwari</t>
        </is>
      </c>
      <c r="C1851" s="37" t="inlineStr">
        <is>
          <t>GROW</t>
        </is>
      </c>
      <c r="D1851" s="37" t="inlineStr">
        <is>
          <t>2026-07-20</t>
        </is>
      </c>
      <c r="E1851" s="37" t="inlineStr">
        <is>
          <t>Process Check</t>
        </is>
      </c>
      <c r="F1851" s="37" t="inlineStr">
        <is>
          <t>Confirm all centre teams have completed the GROW Manual Course on Skillfy — ask for achievement certificates.</t>
        </is>
      </c>
      <c r="G1851" s="37" t="inlineStr">
        <is>
          <t>Need Improvement</t>
        </is>
      </c>
    </row>
    <row r="1852">
      <c r="A1852" s="37" t="inlineStr">
        <is>
          <t>Gagandeep Singh Sachar</t>
        </is>
      </c>
      <c r="B1852" s="37" t="inlineStr">
        <is>
          <t>Jogeshwari</t>
        </is>
      </c>
      <c r="C1852" s="37" t="inlineStr">
        <is>
          <t>GROW</t>
        </is>
      </c>
      <c r="D1852" s="37" t="inlineStr">
        <is>
          <t>2026-07-20</t>
        </is>
      </c>
      <c r="E1852" s="37" t="inlineStr">
        <is>
          <t>Process Check</t>
        </is>
      </c>
      <c r="F1852" s="37" t="inlineStr">
        <is>
          <t>Check AH holds a quality weekly team meeting, documents action points in the weekly meeting format, and sends you a photo on WhatsApp.</t>
        </is>
      </c>
      <c r="G1852" s="37" t="inlineStr">
        <is>
          <t>Need Improvement</t>
        </is>
      </c>
    </row>
    <row r="1853">
      <c r="A1853" s="37" t="inlineStr">
        <is>
          <t>Gagandeep Singh Sachar</t>
        </is>
      </c>
      <c r="B1853" s="37" t="inlineStr">
        <is>
          <t>Jogeshwari</t>
        </is>
      </c>
      <c r="C1853" s="37" t="inlineStr">
        <is>
          <t>GROW</t>
        </is>
      </c>
      <c r="D1853" s="37" t="inlineStr">
        <is>
          <t>2026-07-20</t>
        </is>
      </c>
      <c r="E1853" s="37" t="inlineStr">
        <is>
          <t>Aspirant Interaction</t>
        </is>
      </c>
      <c r="F1853" s="37" t="inlineStr">
        <is>
          <t>Ask aspirants about the session plan — confirm training is happening as planned?</t>
        </is>
      </c>
      <c r="G1853" s="37" t="inlineStr">
        <is>
          <t>Need Improvement</t>
        </is>
      </c>
    </row>
    <row r="1854">
      <c r="A1854" s="37" t="inlineStr">
        <is>
          <t>Gagandeep Singh Sachar</t>
        </is>
      </c>
      <c r="B1854" s="37" t="inlineStr">
        <is>
          <t>Jogeshwari</t>
        </is>
      </c>
      <c r="C1854" s="37" t="inlineStr">
        <is>
          <t>GROW</t>
        </is>
      </c>
      <c r="D1854" s="37" t="inlineStr">
        <is>
          <t>2026-07-20</t>
        </is>
      </c>
      <c r="E1854" s="37" t="inlineStr">
        <is>
          <t>Aspirant Interaction</t>
        </is>
      </c>
      <c r="F1854" s="37" t="inlineStr">
        <is>
          <t>Ask about the quality of Core Employability component delivery (technical centres) and who delivers it.</t>
        </is>
      </c>
      <c r="G1854" s="37" t="inlineStr">
        <is>
          <t>All is Well</t>
        </is>
      </c>
    </row>
    <row r="1855">
      <c r="A1855" s="37" t="inlineStr">
        <is>
          <t>Gagandeep Singh Sachar</t>
        </is>
      </c>
      <c r="B1855" s="37" t="inlineStr">
        <is>
          <t>Jogeshwari</t>
        </is>
      </c>
      <c r="C1855" s="37" t="inlineStr">
        <is>
          <t>GROW</t>
        </is>
      </c>
      <c r="D1855" s="37" t="inlineStr">
        <is>
          <t>2026-07-20</t>
        </is>
      </c>
      <c r="E1855" s="37" t="inlineStr">
        <is>
          <t>Aspirant Interaction</t>
        </is>
      </c>
      <c r="F1855" s="37" t="inlineStr">
        <is>
          <t>Ask whether they are aware of the referral scheme?</t>
        </is>
      </c>
      <c r="G1855" s="37" t="inlineStr">
        <is>
          <t>Need Improvement</t>
        </is>
      </c>
    </row>
    <row r="1856">
      <c r="A1856" s="37" t="inlineStr">
        <is>
          <t>Gagandeep Singh Sachar</t>
        </is>
      </c>
      <c r="B1856" s="37" t="inlineStr">
        <is>
          <t>Jogeshwari</t>
        </is>
      </c>
      <c r="C1856" s="37" t="inlineStr">
        <is>
          <t>GROW</t>
        </is>
      </c>
      <c r="D1856" s="37" t="inlineStr">
        <is>
          <t>2026-07-20</t>
        </is>
      </c>
      <c r="E1856" s="37" t="inlineStr">
        <is>
          <t>Aspirant Interaction</t>
        </is>
      </c>
      <c r="F1856" s="37" t="inlineStr">
        <is>
          <t>Ask whether the AH explained the importance of the offer letter and sharing it with us once received for reporting purposes?</t>
        </is>
      </c>
      <c r="G1856" s="37" t="inlineStr">
        <is>
          <t>All is Well</t>
        </is>
      </c>
    </row>
    <row r="1857">
      <c r="A1857" s="37" t="inlineStr">
        <is>
          <t>Gagandeep Singh Sachar</t>
        </is>
      </c>
      <c r="B1857" s="37" t="inlineStr">
        <is>
          <t>Jogeshwari</t>
        </is>
      </c>
      <c r="C1857" s="37" t="inlineStr">
        <is>
          <t>GROW</t>
        </is>
      </c>
      <c r="D1857" s="37" t="inlineStr">
        <is>
          <t>2026-07-20</t>
        </is>
      </c>
      <c r="E1857" s="37" t="inlineStr">
        <is>
          <t>Aspirant Interaction</t>
        </is>
      </c>
      <c r="F1857" s="37" t="inlineStr">
        <is>
          <t>Ask how many are not interested in jobs — and if so, why they enrolled in the programme?</t>
        </is>
      </c>
      <c r="G1857" s="37" t="inlineStr">
        <is>
          <t>All is Well</t>
        </is>
      </c>
    </row>
    <row r="1858">
      <c r="A1858" s="37" t="inlineStr">
        <is>
          <t>Gagandeep Singh Sachar</t>
        </is>
      </c>
      <c r="B1858" s="37" t="inlineStr">
        <is>
          <t>Jogeshwari</t>
        </is>
      </c>
      <c r="C1858" s="37" t="inlineStr">
        <is>
          <t>GROW</t>
        </is>
      </c>
      <c r="D1858" s="37" t="inlineStr">
        <is>
          <t>2026-07-20</t>
        </is>
      </c>
      <c r="E1858" s="37" t="inlineStr">
        <is>
          <t>Aspirant Interaction</t>
        </is>
      </c>
      <c r="F1858" s="37" t="inlineStr">
        <is>
          <t>Ask whether they were told the kind of job they would get during counselling?</t>
        </is>
      </c>
      <c r="G1858" s="37" t="inlineStr">
        <is>
          <t>All is Well</t>
        </is>
      </c>
    </row>
    <row r="1859">
      <c r="A1859" s="37" t="inlineStr">
        <is>
          <t>Gagandeep Singh Sachar</t>
        </is>
      </c>
      <c r="B1859" s="37" t="inlineStr">
        <is>
          <t>Jogeshwari</t>
        </is>
      </c>
      <c r="C1859" s="37" t="inlineStr">
        <is>
          <t>GROW</t>
        </is>
      </c>
      <c r="D1859" s="37" t="inlineStr">
        <is>
          <t>2026-07-20</t>
        </is>
      </c>
      <c r="E1859" s="37" t="inlineStr">
        <is>
          <t>Aspirant Interaction</t>
        </is>
      </c>
      <c r="F1859" s="37" t="inlineStr">
        <is>
          <t>Ask whether they have been given LMS access?</t>
        </is>
      </c>
      <c r="G1859" s="37" t="inlineStr">
        <is>
          <t>Need Improvement</t>
        </is>
      </c>
    </row>
    <row r="1860">
      <c r="A1860" s="37" t="inlineStr">
        <is>
          <t>Gagandeep Singh Sachar</t>
        </is>
      </c>
      <c r="B1860" s="37" t="inlineStr">
        <is>
          <t>Jogeshwari</t>
        </is>
      </c>
      <c r="C1860" s="37" t="inlineStr">
        <is>
          <t>GROW</t>
        </is>
      </c>
      <c r="D1860" s="37" t="inlineStr">
        <is>
          <t>2026-07-20</t>
        </is>
      </c>
      <c r="E1860" s="37" t="inlineStr">
        <is>
          <t>Aspirant Interaction</t>
        </is>
      </c>
      <c r="F1860" s="37" t="inlineStr">
        <is>
          <t>Ask whether anyone asked them for money for training or placement?</t>
        </is>
      </c>
      <c r="G1860" s="37" t="inlineStr">
        <is>
          <t>All is Well</t>
        </is>
      </c>
    </row>
    <row r="1861">
      <c r="A1861" s="37" t="inlineStr">
        <is>
          <t>Gagandeep Singh Sachar</t>
        </is>
      </c>
      <c r="B1861" s="37" t="inlineStr">
        <is>
          <t>Jogeshwari</t>
        </is>
      </c>
      <c r="C1861" s="37" t="inlineStr">
        <is>
          <t>GROW</t>
        </is>
      </c>
      <c r="D1861" s="37" t="inlineStr">
        <is>
          <t>2026-07-20</t>
        </is>
      </c>
      <c r="E1861" s="37" t="inlineStr">
        <is>
          <t>Aspirant Interaction</t>
        </is>
      </c>
      <c r="F1861" s="37" t="inlineStr">
        <is>
          <t>Ask to show their mobile phones — are they enrolled on Skillfy? If not, get them enrolled and give written feedback to trainers and the AH in your presence.</t>
        </is>
      </c>
      <c r="G1861" s="37" t="inlineStr">
        <is>
          <t>All is Well</t>
        </is>
      </c>
    </row>
    <row r="1862">
      <c r="A1862" s="37" t="inlineStr">
        <is>
          <t>Gagandeep Singh Sachar</t>
        </is>
      </c>
      <c r="B1862" s="37" t="inlineStr">
        <is>
          <t>Jogeshwari</t>
        </is>
      </c>
      <c r="C1862" s="37" t="inlineStr">
        <is>
          <t>GROW</t>
        </is>
      </c>
      <c r="D1862" s="37" t="inlineStr">
        <is>
          <t>2026-07-20</t>
        </is>
      </c>
      <c r="E1862" s="37" t="inlineStr">
        <is>
          <t>Aspirant Interaction</t>
        </is>
      </c>
      <c r="F1862" s="37" t="inlineStr">
        <is>
          <t>Ask about the quality of the hostel and any issues they face.</t>
        </is>
      </c>
      <c r="G1862" s="37" t="inlineStr">
        <is>
          <t>Not Applicable</t>
        </is>
      </c>
    </row>
    <row r="1863">
      <c r="A1863" s="37" t="inlineStr">
        <is>
          <t>Gagandeep Singh Sachar</t>
        </is>
      </c>
      <c r="B1863" s="37" t="inlineStr">
        <is>
          <t>Jogeshwari</t>
        </is>
      </c>
      <c r="C1863" s="37" t="inlineStr">
        <is>
          <t>GROW</t>
        </is>
      </c>
      <c r="D1863" s="37" t="inlineStr">
        <is>
          <t>2026-07-20</t>
        </is>
      </c>
      <c r="E1863" s="37" t="inlineStr">
        <is>
          <t>Aspirant Interaction</t>
        </is>
      </c>
      <c r="F1863" s="37" t="inlineStr">
        <is>
          <t>Ask a few relevant screening questions to support the 10th-day report and remove non-serious candidates, explaining to them the reasons.</t>
        </is>
      </c>
      <c r="G1863" s="37" t="inlineStr">
        <is>
          <t>All is Well</t>
        </is>
      </c>
    </row>
    <row r="1864">
      <c r="A1864" s="37" t="inlineStr">
        <is>
          <t>Gagandeep Singh Sachar</t>
        </is>
      </c>
      <c r="B1864" s="37" t="inlineStr">
        <is>
          <t>Belapur</t>
        </is>
      </c>
      <c r="C1864" s="37" t="inlineStr">
        <is>
          <t>GROW</t>
        </is>
      </c>
      <c r="D1864" s="37" t="inlineStr">
        <is>
          <t>2026-07-21</t>
        </is>
      </c>
      <c r="E1864" s="37" t="inlineStr">
        <is>
          <t>Data Check</t>
        </is>
      </c>
      <c r="F1864" s="37" t="inlineStr">
        <is>
          <t>Reach the centre on time (unannounced) — confirm the centre opened on time.</t>
        </is>
      </c>
      <c r="G1864" s="37" t="inlineStr">
        <is>
          <t>Need Improvement</t>
        </is>
      </c>
    </row>
    <row r="1865">
      <c r="A1865" s="37" t="inlineStr">
        <is>
          <t>Gagandeep Singh Sachar</t>
        </is>
      </c>
      <c r="B1865" s="37" t="inlineStr">
        <is>
          <t>Belapur</t>
        </is>
      </c>
      <c r="C1865" s="37" t="inlineStr">
        <is>
          <t>GROW</t>
        </is>
      </c>
      <c r="D1865" s="37" t="inlineStr">
        <is>
          <t>2026-07-21</t>
        </is>
      </c>
      <c r="E1865" s="37" t="inlineStr">
        <is>
          <t>Data Check</t>
        </is>
      </c>
      <c r="F1865" s="37" t="inlineStr">
        <is>
          <t>Check the staff attendance register, the Google Sheet, and geo-tagged photos for aspirants.</t>
        </is>
      </c>
      <c r="G1865" s="37" t="inlineStr">
        <is>
          <t>Need Improvement</t>
        </is>
      </c>
    </row>
    <row r="1866">
      <c r="A1866" s="37" t="inlineStr">
        <is>
          <t>Gagandeep Singh Sachar</t>
        </is>
      </c>
      <c r="B1866" s="37" t="inlineStr">
        <is>
          <t>Belapur</t>
        </is>
      </c>
      <c r="C1866" s="37" t="inlineStr">
        <is>
          <t>GROW</t>
        </is>
      </c>
      <c r="D1866" s="37" t="inlineStr">
        <is>
          <t>2026-07-21</t>
        </is>
      </c>
      <c r="E1866" s="37" t="inlineStr">
        <is>
          <t>Data Check</t>
        </is>
      </c>
      <c r="F1866" s="37" t="inlineStr">
        <is>
          <t>Check Counselling and Screening Forms of recently started batches.</t>
        </is>
      </c>
      <c r="G1866" s="37" t="inlineStr">
        <is>
          <t>All is Well</t>
        </is>
      </c>
    </row>
    <row r="1867">
      <c r="A1867" s="37" t="inlineStr">
        <is>
          <t>Gagandeep Singh Sachar</t>
        </is>
      </c>
      <c r="B1867" s="37" t="inlineStr">
        <is>
          <t>Belapur</t>
        </is>
      </c>
      <c r="C1867" s="37" t="inlineStr">
        <is>
          <t>GROW</t>
        </is>
      </c>
      <c r="D1867" s="37" t="inlineStr">
        <is>
          <t>2026-07-21</t>
        </is>
      </c>
      <c r="E1867" s="37" t="inlineStr">
        <is>
          <t>Data Check</t>
        </is>
      </c>
      <c r="F1867" s="37" t="inlineStr">
        <is>
          <t>Check Aspirant Registration Forms and related documents.</t>
        </is>
      </c>
      <c r="G1867" s="37" t="inlineStr">
        <is>
          <t>Need Improvement</t>
        </is>
      </c>
    </row>
    <row r="1868">
      <c r="A1868" s="37" t="inlineStr">
        <is>
          <t>Gagandeep Singh Sachar</t>
        </is>
      </c>
      <c r="B1868" s="37" t="inlineStr">
        <is>
          <t>Belapur</t>
        </is>
      </c>
      <c r="C1868" s="37" t="inlineStr">
        <is>
          <t>GROW</t>
        </is>
      </c>
      <c r="D1868" s="37" t="inlineStr">
        <is>
          <t>2026-07-21</t>
        </is>
      </c>
      <c r="E1868" s="37" t="inlineStr">
        <is>
          <t>Data Check</t>
        </is>
      </c>
      <c r="F1868" s="37" t="inlineStr">
        <is>
          <t>On the GROW portal, confirm all student profile details and batch updates are currect.</t>
        </is>
      </c>
      <c r="G1868" s="37" t="inlineStr">
        <is>
          <t>Need Improvement</t>
        </is>
      </c>
    </row>
    <row r="1869">
      <c r="A1869" s="37" t="inlineStr">
        <is>
          <t>Gagandeep Singh Sachar</t>
        </is>
      </c>
      <c r="B1869" s="37" t="inlineStr">
        <is>
          <t>Belapur</t>
        </is>
      </c>
      <c r="C1869" s="37" t="inlineStr">
        <is>
          <t>GROW</t>
        </is>
      </c>
      <c r="D1869" s="37" t="inlineStr">
        <is>
          <t>2026-07-21</t>
        </is>
      </c>
      <c r="E1869" s="37" t="inlineStr">
        <is>
          <t>Data Check</t>
        </is>
      </c>
      <c r="F1869" s="37" t="inlineStr">
        <is>
          <t>Verify placement data — randomly call 3–4 alumni placed in the last 3 months to confirm veracity (random selection is essential).</t>
        </is>
      </c>
      <c r="G1869" s="37" t="inlineStr">
        <is>
          <t>All is Well</t>
        </is>
      </c>
    </row>
    <row r="1870">
      <c r="A1870" s="37" t="inlineStr">
        <is>
          <t>Gagandeep Singh Sachar</t>
        </is>
      </c>
      <c r="B1870" s="37" t="inlineStr">
        <is>
          <t>Belapur</t>
        </is>
      </c>
      <c r="C1870" s="37" t="inlineStr">
        <is>
          <t>GROW</t>
        </is>
      </c>
      <c r="D1870" s="37" t="inlineStr">
        <is>
          <t>2026-07-21</t>
        </is>
      </c>
      <c r="E1870" s="37" t="inlineStr">
        <is>
          <t>Data Check</t>
        </is>
      </c>
      <c r="F1870" s="37" t="inlineStr">
        <is>
          <t>Verify retention — check the Alumni Hand-holding Format is being updated as designed.</t>
        </is>
      </c>
      <c r="G1870" s="37" t="inlineStr">
        <is>
          <t>Need Improvement</t>
        </is>
      </c>
    </row>
    <row r="1871">
      <c r="A1871" s="37" t="inlineStr">
        <is>
          <t>Gagandeep Singh Sachar</t>
        </is>
      </c>
      <c r="B1871" s="37" t="inlineStr">
        <is>
          <t>Belapur</t>
        </is>
      </c>
      <c r="C1871" s="37" t="inlineStr">
        <is>
          <t>GROW</t>
        </is>
      </c>
      <c r="D1871" s="37" t="inlineStr">
        <is>
          <t>2026-07-21</t>
        </is>
      </c>
      <c r="E1871" s="37" t="inlineStr">
        <is>
          <t>Data Check</t>
        </is>
      </c>
      <c r="F1871" s="37" t="inlineStr">
        <is>
          <t>Check aspirant Hostel Forms are properly filled or not.</t>
        </is>
      </c>
      <c r="G1871" s="37" t="inlineStr">
        <is>
          <t>Not Applicable</t>
        </is>
      </c>
    </row>
    <row r="1872">
      <c r="A1872" s="37" t="inlineStr">
        <is>
          <t>Gagandeep Singh Sachar</t>
        </is>
      </c>
      <c r="B1872" s="37" t="inlineStr">
        <is>
          <t>Belapur</t>
        </is>
      </c>
      <c r="C1872" s="37" t="inlineStr">
        <is>
          <t>GROW</t>
        </is>
      </c>
      <c r="D1872" s="37" t="inlineStr">
        <is>
          <t>2026-07-21</t>
        </is>
      </c>
      <c r="E1872" s="37" t="inlineStr">
        <is>
          <t>Infra Check</t>
        </is>
      </c>
      <c r="F1872" s="37" t="inlineStr">
        <is>
          <t>Check all CCTV cameras; if any are not working, ask the AH to troubleshoot or call the vendor.</t>
        </is>
      </c>
      <c r="G1872" s="37" t="inlineStr">
        <is>
          <t>Need Improvement</t>
        </is>
      </c>
    </row>
    <row r="1873">
      <c r="A1873" s="37" t="inlineStr">
        <is>
          <t>Gagandeep Singh Sachar</t>
        </is>
      </c>
      <c r="B1873" s="37" t="inlineStr">
        <is>
          <t>Belapur</t>
        </is>
      </c>
      <c r="C1873" s="37" t="inlineStr">
        <is>
          <t>GROW</t>
        </is>
      </c>
      <c r="D1873" s="37" t="inlineStr">
        <is>
          <t>2026-07-21</t>
        </is>
      </c>
      <c r="E1873" s="37" t="inlineStr">
        <is>
          <t>Infra Check</t>
        </is>
      </c>
      <c r="F1873" s="37" t="inlineStr">
        <is>
          <t>Check for any scrap material and get it cleared, with support of Admin</t>
        </is>
      </c>
      <c r="G1873" s="37" t="inlineStr">
        <is>
          <t>All is Well</t>
        </is>
      </c>
    </row>
    <row r="1874">
      <c r="A1874" s="37" t="inlineStr">
        <is>
          <t>Gagandeep Singh Sachar</t>
        </is>
      </c>
      <c r="B1874" s="37" t="inlineStr">
        <is>
          <t>Belapur</t>
        </is>
      </c>
      <c r="C1874" s="37" t="inlineStr">
        <is>
          <t>GROW</t>
        </is>
      </c>
      <c r="D1874" s="37" t="inlineStr">
        <is>
          <t>2026-07-21</t>
        </is>
      </c>
      <c r="E1874" s="37" t="inlineStr">
        <is>
          <t>Infra Check</t>
        </is>
      </c>
      <c r="F1874" s="37" t="inlineStr">
        <is>
          <t>Check for any pending infra repairs.</t>
        </is>
      </c>
      <c r="G1874" s="37" t="inlineStr">
        <is>
          <t>All is Well</t>
        </is>
      </c>
    </row>
    <row r="1875">
      <c r="A1875" s="37" t="inlineStr">
        <is>
          <t>Gagandeep Singh Sachar</t>
        </is>
      </c>
      <c r="B1875" s="37" t="inlineStr">
        <is>
          <t>Belapur</t>
        </is>
      </c>
      <c r="C1875" s="37" t="inlineStr">
        <is>
          <t>GROW</t>
        </is>
      </c>
      <c r="D1875" s="37" t="inlineStr">
        <is>
          <t>2026-07-21</t>
        </is>
      </c>
      <c r="E1875" s="37" t="inlineStr">
        <is>
          <t>Infra Check</t>
        </is>
      </c>
      <c r="F1875" s="37" t="inlineStr">
        <is>
          <t>Check whether any fire extinguishers have expired (check the needle and expiry date both).</t>
        </is>
      </c>
      <c r="G1875" s="37" t="inlineStr">
        <is>
          <t>All is Well</t>
        </is>
      </c>
    </row>
    <row r="1876">
      <c r="A1876" s="37" t="inlineStr">
        <is>
          <t>Gagandeep Singh Sachar</t>
        </is>
      </c>
      <c r="B1876" s="37" t="inlineStr">
        <is>
          <t>Belapur</t>
        </is>
      </c>
      <c r="C1876" s="37" t="inlineStr">
        <is>
          <t>GROW</t>
        </is>
      </c>
      <c r="D1876" s="37" t="inlineStr">
        <is>
          <t>2026-07-21</t>
        </is>
      </c>
      <c r="E1876" s="37" t="inlineStr">
        <is>
          <t>Infra Check</t>
        </is>
      </c>
      <c r="F1876" s="37" t="inlineStr">
        <is>
          <t>Check basic cleanliness of the washrooms and the centre.</t>
        </is>
      </c>
      <c r="G1876" s="37" t="inlineStr">
        <is>
          <t>All is Well</t>
        </is>
      </c>
    </row>
    <row r="1877">
      <c r="A1877" s="37" t="inlineStr">
        <is>
          <t>Gagandeep Singh Sachar</t>
        </is>
      </c>
      <c r="B1877" s="37" t="inlineStr">
        <is>
          <t>Belapur</t>
        </is>
      </c>
      <c r="C1877" s="37" t="inlineStr">
        <is>
          <t>GROW</t>
        </is>
      </c>
      <c r="D1877" s="37" t="inlineStr">
        <is>
          <t>2026-07-21</t>
        </is>
      </c>
      <c r="E1877" s="37" t="inlineStr">
        <is>
          <t>Infra Check</t>
        </is>
      </c>
      <c r="F1877" s="37" t="inlineStr">
        <is>
          <t>Confirm the correct program and partner logos are displayed.</t>
        </is>
      </c>
      <c r="G1877" s="37" t="inlineStr">
        <is>
          <t>All is Well</t>
        </is>
      </c>
    </row>
    <row r="1878">
      <c r="A1878" s="37" t="inlineStr">
        <is>
          <t>Gagandeep Singh Sachar</t>
        </is>
      </c>
      <c r="B1878" s="37" t="inlineStr">
        <is>
          <t>Belapur</t>
        </is>
      </c>
      <c r="C1878" s="37" t="inlineStr">
        <is>
          <t>GROW</t>
        </is>
      </c>
      <c r="D1878" s="37" t="inlineStr">
        <is>
          <t>2026-07-21</t>
        </is>
      </c>
      <c r="E1878" s="37" t="inlineStr">
        <is>
          <t>Infra Check</t>
        </is>
      </c>
      <c r="F1878" s="37" t="inlineStr">
        <is>
          <t>Check the status of digital infra — PCs, smartboards, tablets, laptops, etc.</t>
        </is>
      </c>
      <c r="G1878" s="37" t="inlineStr">
        <is>
          <t>All is Well</t>
        </is>
      </c>
    </row>
    <row r="1879">
      <c r="A1879" s="37" t="inlineStr">
        <is>
          <t>Gagandeep Singh Sachar</t>
        </is>
      </c>
      <c r="B1879" s="37" t="inlineStr">
        <is>
          <t>Belapur</t>
        </is>
      </c>
      <c r="C1879" s="37" t="inlineStr">
        <is>
          <t>GROW</t>
        </is>
      </c>
      <c r="D1879" s="37" t="inlineStr">
        <is>
          <t>2026-07-21</t>
        </is>
      </c>
      <c r="E1879" s="37" t="inlineStr">
        <is>
          <t>Infra Check</t>
        </is>
      </c>
      <c r="F1879" s="37" t="inlineStr">
        <is>
          <t>Make a quick hostel visit; have lunch there if possible to test the food quality.</t>
        </is>
      </c>
      <c r="G1879" s="37" t="inlineStr">
        <is>
          <t>Not Applicable</t>
        </is>
      </c>
    </row>
    <row r="1880">
      <c r="A1880" s="37" t="inlineStr">
        <is>
          <t>Gagandeep Singh Sachar</t>
        </is>
      </c>
      <c r="B1880" s="37" t="inlineStr">
        <is>
          <t>Belapur</t>
        </is>
      </c>
      <c r="C1880" s="37" t="inlineStr">
        <is>
          <t>GROW</t>
        </is>
      </c>
      <c r="D1880" s="37" t="inlineStr">
        <is>
          <t>2026-07-21</t>
        </is>
      </c>
      <c r="E1880" s="37" t="inlineStr">
        <is>
          <t>Process Check</t>
        </is>
      </c>
      <c r="F1880" s="37" t="inlineStr">
        <is>
          <t>Refer to the activity planner — check if any activities are delayed.</t>
        </is>
      </c>
      <c r="G1880" s="37" t="inlineStr">
        <is>
          <t>Not Applicable</t>
        </is>
      </c>
    </row>
    <row r="1881">
      <c r="A1881" s="37" t="inlineStr">
        <is>
          <t>Gagandeep Singh Sachar</t>
        </is>
      </c>
      <c r="B1881" s="37" t="inlineStr">
        <is>
          <t>Belapur</t>
        </is>
      </c>
      <c r="C1881" s="37" t="inlineStr">
        <is>
          <t>GROW</t>
        </is>
      </c>
      <c r="D1881" s="37" t="inlineStr">
        <is>
          <t>2026-07-21</t>
        </is>
      </c>
      <c r="E1881" s="37" t="inlineStr">
        <is>
          <t>Process Check</t>
        </is>
      </c>
      <c r="F1881" s="37" t="inlineStr">
        <is>
          <t>Check planning for the next batch-start announcement.</t>
        </is>
      </c>
      <c r="G1881" s="37" t="inlineStr">
        <is>
          <t>All is Well</t>
        </is>
      </c>
    </row>
    <row r="1882">
      <c r="A1882" s="37" t="inlineStr">
        <is>
          <t>Gagandeep Singh Sachar</t>
        </is>
      </c>
      <c r="B1882" s="37" t="inlineStr">
        <is>
          <t>Belapur</t>
        </is>
      </c>
      <c r="C1882" s="37" t="inlineStr">
        <is>
          <t>GROW</t>
        </is>
      </c>
      <c r="D1882" s="37" t="inlineStr">
        <is>
          <t>2026-07-21</t>
        </is>
      </c>
      <c r="E1882" s="37" t="inlineStr">
        <is>
          <t>Process Check</t>
        </is>
      </c>
      <c r="F1882" s="37" t="inlineStr">
        <is>
          <t>Check if any hiring is delayed and plan a resolution.</t>
        </is>
      </c>
      <c r="G1882" s="37" t="inlineStr">
        <is>
          <t>All is Well</t>
        </is>
      </c>
    </row>
    <row r="1883">
      <c r="A1883" s="37" t="inlineStr">
        <is>
          <t>Gagandeep Singh Sachar</t>
        </is>
      </c>
      <c r="B1883" s="37" t="inlineStr">
        <is>
          <t>Belapur</t>
        </is>
      </c>
      <c r="C1883" s="37" t="inlineStr">
        <is>
          <t>GROW</t>
        </is>
      </c>
      <c r="D1883" s="37" t="inlineStr">
        <is>
          <t>2026-07-21</t>
        </is>
      </c>
      <c r="E1883" s="37" t="inlineStr">
        <is>
          <t>Process Check</t>
        </is>
      </c>
      <c r="F1883" s="37" t="inlineStr">
        <is>
          <t>Check the CA’s diary — is CA guided daily by the AH during planning days?</t>
        </is>
      </c>
      <c r="G1883" s="37" t="inlineStr">
        <is>
          <t>Need Improvement</t>
        </is>
      </c>
    </row>
    <row r="1884">
      <c r="A1884" s="37" t="inlineStr">
        <is>
          <t>Gagandeep Singh Sachar</t>
        </is>
      </c>
      <c r="B1884" s="37" t="inlineStr">
        <is>
          <t>Belapur</t>
        </is>
      </c>
      <c r="C1884" s="37" t="inlineStr">
        <is>
          <t>GROW</t>
        </is>
      </c>
      <c r="D1884" s="37" t="inlineStr">
        <is>
          <t>2026-07-21</t>
        </is>
      </c>
      <c r="E1884" s="37" t="inlineStr">
        <is>
          <t>Process Check</t>
        </is>
      </c>
      <c r="F1884" s="37" t="inlineStr">
        <is>
          <t>Check the AH is regularly meeting employers (in person and online) and updating the centre’s Top 20 Employer format.</t>
        </is>
      </c>
      <c r="G1884" s="37" t="inlineStr">
        <is>
          <t>Need Improvement</t>
        </is>
      </c>
    </row>
    <row r="1885">
      <c r="A1885" s="37" t="inlineStr">
        <is>
          <t>Gagandeep Singh Sachar</t>
        </is>
      </c>
      <c r="B1885" s="37" t="inlineStr">
        <is>
          <t>Belapur</t>
        </is>
      </c>
      <c r="C1885" s="37" t="inlineStr">
        <is>
          <t>GROW</t>
        </is>
      </c>
      <c r="D1885" s="37" t="inlineStr">
        <is>
          <t>2026-07-21</t>
        </is>
      </c>
      <c r="E1885" s="37" t="inlineStr">
        <is>
          <t>Process Check</t>
        </is>
      </c>
      <c r="F1885" s="37" t="inlineStr">
        <is>
          <t>Confirm all new employers are registered on portal as per new process.</t>
        </is>
      </c>
      <c r="G1885" s="37" t="inlineStr">
        <is>
          <t>All is Well</t>
        </is>
      </c>
    </row>
    <row r="1886">
      <c r="A1886" s="37" t="inlineStr">
        <is>
          <t>Gagandeep Singh Sachar</t>
        </is>
      </c>
      <c r="B1886" s="37" t="inlineStr">
        <is>
          <t>Belapur</t>
        </is>
      </c>
      <c r="C1886" s="37" t="inlineStr">
        <is>
          <t>GROW</t>
        </is>
      </c>
      <c r="D1886" s="37" t="inlineStr">
        <is>
          <t>2026-07-21</t>
        </is>
      </c>
      <c r="E1886" s="37" t="inlineStr">
        <is>
          <t>Process Check</t>
        </is>
      </c>
      <c r="F1886" s="37" t="inlineStr">
        <is>
          <t>Confirm 100% of enrolled students undergone screening (for technical courses).</t>
        </is>
      </c>
      <c r="G1886" s="37" t="inlineStr">
        <is>
          <t>All is Well</t>
        </is>
      </c>
    </row>
    <row r="1887">
      <c r="A1887" s="37" t="inlineStr">
        <is>
          <t>Gagandeep Singh Sachar</t>
        </is>
      </c>
      <c r="B1887" s="37" t="inlineStr">
        <is>
          <t>Belapur</t>
        </is>
      </c>
      <c r="C1887" s="37" t="inlineStr">
        <is>
          <t>GROW</t>
        </is>
      </c>
      <c r="D1887" s="37" t="inlineStr">
        <is>
          <t>2026-07-21</t>
        </is>
      </c>
      <c r="E1887" s="37" t="inlineStr">
        <is>
          <t>Process Check</t>
        </is>
      </c>
      <c r="F1887" s="37" t="inlineStr">
        <is>
          <t>Confirm ESA is done (in GROW full ESA and in Technical courses relevant sections of Core Employability Part).</t>
        </is>
      </c>
      <c r="G1887" s="37" t="inlineStr">
        <is>
          <t>All is Well</t>
        </is>
      </c>
    </row>
    <row r="1888">
      <c r="A1888" s="37" t="inlineStr">
        <is>
          <t>Gagandeep Singh Sachar</t>
        </is>
      </c>
      <c r="B1888" s="37" t="inlineStr">
        <is>
          <t>Belapur</t>
        </is>
      </c>
      <c r="C1888" s="37" t="inlineStr">
        <is>
          <t>GROW</t>
        </is>
      </c>
      <c r="D1888" s="37" t="inlineStr">
        <is>
          <t>2026-07-21</t>
        </is>
      </c>
      <c r="E1888" s="37" t="inlineStr">
        <is>
          <t>Process Check</t>
        </is>
      </c>
      <c r="F1888" s="37" t="inlineStr">
        <is>
          <t>Check is AH giving capstone project in GROW Tech.</t>
        </is>
      </c>
      <c r="G1888" s="37" t="inlineStr">
        <is>
          <t>Not Applicable</t>
        </is>
      </c>
    </row>
    <row r="1889">
      <c r="A1889" s="37" t="inlineStr">
        <is>
          <t>Gagandeep Singh Sachar</t>
        </is>
      </c>
      <c r="B1889" s="37" t="inlineStr">
        <is>
          <t>Belapur</t>
        </is>
      </c>
      <c r="C1889" s="37" t="inlineStr">
        <is>
          <t>GROW</t>
        </is>
      </c>
      <c r="D1889" s="37" t="inlineStr">
        <is>
          <t>2026-07-21</t>
        </is>
      </c>
      <c r="E1889" s="37" t="inlineStr">
        <is>
          <t>Process Check</t>
        </is>
      </c>
      <c r="F1889" s="37" t="inlineStr">
        <is>
          <t>Check is AH planning OJT as per guidelines and proofs are collected for technical courses.</t>
        </is>
      </c>
      <c r="G1889" s="37" t="inlineStr">
        <is>
          <t>Not Applicable</t>
        </is>
      </c>
    </row>
    <row r="1890">
      <c r="A1890" s="37" t="inlineStr">
        <is>
          <t>Gagandeep Singh Sachar</t>
        </is>
      </c>
      <c r="B1890" s="37" t="inlineStr">
        <is>
          <t>Belapur</t>
        </is>
      </c>
      <c r="C1890" s="37" t="inlineStr">
        <is>
          <t>GROW</t>
        </is>
      </c>
      <c r="D1890" s="37" t="inlineStr">
        <is>
          <t>2026-07-21</t>
        </is>
      </c>
      <c r="E1890" s="37" t="inlineStr">
        <is>
          <t>Process Check</t>
        </is>
      </c>
      <c r="F1890" s="37" t="inlineStr">
        <is>
          <t>Check are trainers contacting aspirants to find reason for their absenteeism of more than 1 day.</t>
        </is>
      </c>
      <c r="G1890" s="37" t="inlineStr">
        <is>
          <t>Need Improvement</t>
        </is>
      </c>
    </row>
    <row r="1891">
      <c r="A1891" s="37" t="inlineStr">
        <is>
          <t>Gagandeep Singh Sachar</t>
        </is>
      </c>
      <c r="B1891" s="37" t="inlineStr">
        <is>
          <t>Belapur</t>
        </is>
      </c>
      <c r="C1891" s="37" t="inlineStr">
        <is>
          <t>GROW</t>
        </is>
      </c>
      <c r="D1891" s="37" t="inlineStr">
        <is>
          <t>2026-07-21</t>
        </is>
      </c>
      <c r="E1891" s="37" t="inlineStr">
        <is>
          <t>Process Check</t>
        </is>
      </c>
      <c r="F1891" s="37" t="inlineStr">
        <is>
          <t>Check the AH plans monthly enrolment and placement numbers by the 3rd of each month and shares them with second level managers.</t>
        </is>
      </c>
      <c r="G1891" s="37" t="inlineStr">
        <is>
          <t>All is Well</t>
        </is>
      </c>
    </row>
    <row r="1892">
      <c r="A1892" s="37" t="inlineStr">
        <is>
          <t>Gagandeep Singh Sachar</t>
        </is>
      </c>
      <c r="B1892" s="37" t="inlineStr">
        <is>
          <t>Belapur</t>
        </is>
      </c>
      <c r="C1892" s="37" t="inlineStr">
        <is>
          <t>GROW</t>
        </is>
      </c>
      <c r="D1892" s="37" t="inlineStr">
        <is>
          <t>2026-07-21</t>
        </is>
      </c>
      <c r="E1892" s="37" t="inlineStr">
        <is>
          <t>Process Check</t>
        </is>
      </c>
      <c r="F1892" s="37" t="inlineStr">
        <is>
          <t>Check trainers submit aspirants’ placement interest areas to the AH by the batch’s 25th day (in GROW).</t>
        </is>
      </c>
      <c r="G1892" s="37" t="inlineStr">
        <is>
          <t>All is Well</t>
        </is>
      </c>
    </row>
    <row r="1893">
      <c r="A1893" s="37" t="inlineStr">
        <is>
          <t>Gagandeep Singh Sachar</t>
        </is>
      </c>
      <c r="B1893" s="37" t="inlineStr">
        <is>
          <t>Belapur</t>
        </is>
      </c>
      <c r="C1893" s="37" t="inlineStr">
        <is>
          <t>GROW</t>
        </is>
      </c>
      <c r="D1893" s="37" t="inlineStr">
        <is>
          <t>2026-07-21</t>
        </is>
      </c>
      <c r="E1893" s="37" t="inlineStr">
        <is>
          <t>Process Check</t>
        </is>
      </c>
      <c r="F1893" s="37" t="inlineStr">
        <is>
          <t>Ckeck For technical programs, placement is done only in technical jobs,on which aspirants are trained and relevant emplyers are identified by 45th day.</t>
        </is>
      </c>
      <c r="G1893" s="37" t="inlineStr">
        <is>
          <t>Not Applicable</t>
        </is>
      </c>
    </row>
    <row r="1894">
      <c r="A1894" s="37" t="inlineStr">
        <is>
          <t>Gagandeep Singh Sachar</t>
        </is>
      </c>
      <c r="B1894" s="37" t="inlineStr">
        <is>
          <t>Belapur</t>
        </is>
      </c>
      <c r="C1894" s="37" t="inlineStr">
        <is>
          <t>GROW</t>
        </is>
      </c>
      <c r="D1894" s="37" t="inlineStr">
        <is>
          <t>2026-07-21</t>
        </is>
      </c>
      <c r="E1894" s="37" t="inlineStr">
        <is>
          <t>Process Check</t>
        </is>
      </c>
      <c r="F1894" s="37" t="inlineStr">
        <is>
          <t>Check the AH follows EP guidelines and minimum benchmark salary guidelines.</t>
        </is>
      </c>
      <c r="G1894" s="37" t="inlineStr">
        <is>
          <t>Need Improvement</t>
        </is>
      </c>
    </row>
    <row r="1895">
      <c r="A1895" s="37" t="inlineStr">
        <is>
          <t>Gagandeep Singh Sachar</t>
        </is>
      </c>
      <c r="B1895" s="37" t="inlineStr">
        <is>
          <t>Belapur</t>
        </is>
      </c>
      <c r="C1895" s="37" t="inlineStr">
        <is>
          <t>GROW</t>
        </is>
      </c>
      <c r="D1895" s="37" t="inlineStr">
        <is>
          <t>2026-07-21</t>
        </is>
      </c>
      <c r="E1895" s="37" t="inlineStr">
        <is>
          <t>Process Check</t>
        </is>
      </c>
      <c r="F1895" s="37" t="inlineStr">
        <is>
          <t>Check that AH is enrolling only the right traget group in the program -as per the defined target.</t>
        </is>
      </c>
      <c r="G1895" s="37" t="inlineStr">
        <is>
          <t>All is Well</t>
        </is>
      </c>
    </row>
    <row r="1896">
      <c r="A1896" s="37" t="inlineStr">
        <is>
          <t>Gagandeep Singh Sachar</t>
        </is>
      </c>
      <c r="B1896" s="37" t="inlineStr">
        <is>
          <t>Belapur</t>
        </is>
      </c>
      <c r="C1896" s="37" t="inlineStr">
        <is>
          <t>GROW</t>
        </is>
      </c>
      <c r="D1896" s="37" t="inlineStr">
        <is>
          <t>2026-07-21</t>
        </is>
      </c>
      <c r="E1896" s="37" t="inlineStr">
        <is>
          <t>Process Check</t>
        </is>
      </c>
      <c r="F1896" s="37" t="inlineStr">
        <is>
          <t>Check the AH announces the next batch-start date by the 3rd of the month on all notice boards — focus on Zero-Day start.</t>
        </is>
      </c>
      <c r="G1896" s="37" t="inlineStr">
        <is>
          <t>All is Well</t>
        </is>
      </c>
    </row>
    <row r="1897">
      <c r="A1897" s="37" t="inlineStr">
        <is>
          <t>Gagandeep Singh Sachar</t>
        </is>
      </c>
      <c r="B1897" s="37" t="inlineStr">
        <is>
          <t>Belapur</t>
        </is>
      </c>
      <c r="C1897" s="37" t="inlineStr">
        <is>
          <t>GROW</t>
        </is>
      </c>
      <c r="D1897" s="37" t="inlineStr">
        <is>
          <t>2026-07-21</t>
        </is>
      </c>
      <c r="E1897" s="37" t="inlineStr">
        <is>
          <t>Process Check</t>
        </is>
      </c>
      <c r="F1897" s="37" t="inlineStr">
        <is>
          <t>Check the Aspirant Mock Interview Score Tracker is updated after every mock interview in the L&amp;D Google Sheet.</t>
        </is>
      </c>
      <c r="G1897" s="37" t="inlineStr">
        <is>
          <t>All is Well</t>
        </is>
      </c>
    </row>
    <row r="1898">
      <c r="A1898" s="37" t="inlineStr">
        <is>
          <t>Gagandeep Singh Sachar</t>
        </is>
      </c>
      <c r="B1898" s="37" t="inlineStr">
        <is>
          <t>Belapur</t>
        </is>
      </c>
      <c r="C1898" s="37" t="inlineStr">
        <is>
          <t>GROW</t>
        </is>
      </c>
      <c r="D1898" s="37" t="inlineStr">
        <is>
          <t>2026-07-21</t>
        </is>
      </c>
      <c r="E1898" s="37" t="inlineStr">
        <is>
          <t>Process Check</t>
        </is>
      </c>
      <c r="F1898" s="37" t="inlineStr">
        <is>
          <t>Confirm NPS (Net Promoter Score) is collected at MSDF centres.</t>
        </is>
      </c>
      <c r="G1898" s="37" t="inlineStr">
        <is>
          <t>Not Applicable</t>
        </is>
      </c>
    </row>
    <row r="1899">
      <c r="A1899" s="37" t="inlineStr">
        <is>
          <t>Gagandeep Singh Sachar</t>
        </is>
      </c>
      <c r="B1899" s="37" t="inlineStr">
        <is>
          <t>Belapur</t>
        </is>
      </c>
      <c r="C1899" s="37" t="inlineStr">
        <is>
          <t>GROW</t>
        </is>
      </c>
      <c r="D1899" s="37" t="inlineStr">
        <is>
          <t>2026-07-21</t>
        </is>
      </c>
      <c r="E1899" s="37" t="inlineStr">
        <is>
          <t>Process Check</t>
        </is>
      </c>
      <c r="F1899" s="37" t="inlineStr">
        <is>
          <t>Confirm that QAE is collecting student feedback for every batch.</t>
        </is>
      </c>
      <c r="G1899" s="37" t="inlineStr">
        <is>
          <t>All is Well</t>
        </is>
      </c>
    </row>
    <row r="1900">
      <c r="A1900" s="37" t="inlineStr">
        <is>
          <t>Gagandeep Singh Sachar</t>
        </is>
      </c>
      <c r="B1900" s="37" t="inlineStr">
        <is>
          <t>Belapur</t>
        </is>
      </c>
      <c r="C1900" s="37" t="inlineStr">
        <is>
          <t>GROW</t>
        </is>
      </c>
      <c r="D1900" s="37" t="inlineStr">
        <is>
          <t>2026-07-21</t>
        </is>
      </c>
      <c r="E1900" s="37" t="inlineStr">
        <is>
          <t>Process Check</t>
        </is>
      </c>
      <c r="F1900" s="37" t="inlineStr">
        <is>
          <t>Confirm all centre teams have completed the GROW Manual Course on Skillfy — ask for achievement certificates.</t>
        </is>
      </c>
      <c r="G1900" s="37" t="inlineStr">
        <is>
          <t>Need Improvement</t>
        </is>
      </c>
    </row>
    <row r="1901">
      <c r="A1901" s="37" t="inlineStr">
        <is>
          <t>Gagandeep Singh Sachar</t>
        </is>
      </c>
      <c r="B1901" s="37" t="inlineStr">
        <is>
          <t>Belapur</t>
        </is>
      </c>
      <c r="C1901" s="37" t="inlineStr">
        <is>
          <t>GROW</t>
        </is>
      </c>
      <c r="D1901" s="37" t="inlineStr">
        <is>
          <t>2026-07-21</t>
        </is>
      </c>
      <c r="E1901" s="37" t="inlineStr">
        <is>
          <t>Process Check</t>
        </is>
      </c>
      <c r="F1901" s="37" t="inlineStr">
        <is>
          <t>Check AH holds a quality weekly team meeting, documents action points in the weekly meeting format, and sends you a photo on WhatsApp.</t>
        </is>
      </c>
      <c r="G1901" s="37" t="inlineStr">
        <is>
          <t>Need Improvement</t>
        </is>
      </c>
    </row>
    <row r="1902">
      <c r="A1902" s="37" t="inlineStr">
        <is>
          <t>Gagandeep Singh Sachar</t>
        </is>
      </c>
      <c r="B1902" s="37" t="inlineStr">
        <is>
          <t>Belapur</t>
        </is>
      </c>
      <c r="C1902" s="37" t="inlineStr">
        <is>
          <t>GROW</t>
        </is>
      </c>
      <c r="D1902" s="37" t="inlineStr">
        <is>
          <t>2026-07-21</t>
        </is>
      </c>
      <c r="E1902" s="37" t="inlineStr">
        <is>
          <t>Aspirant Interaction</t>
        </is>
      </c>
      <c r="F1902" s="37" t="inlineStr">
        <is>
          <t>Ask aspirants about the session plan — confirm training is happening as planned?</t>
        </is>
      </c>
      <c r="G1902" s="37" t="inlineStr">
        <is>
          <t>All is Well</t>
        </is>
      </c>
    </row>
    <row r="1903">
      <c r="A1903" s="37" t="inlineStr">
        <is>
          <t>Gagandeep Singh Sachar</t>
        </is>
      </c>
      <c r="B1903" s="37" t="inlineStr">
        <is>
          <t>Belapur</t>
        </is>
      </c>
      <c r="C1903" s="37" t="inlineStr">
        <is>
          <t>GROW</t>
        </is>
      </c>
      <c r="D1903" s="37" t="inlineStr">
        <is>
          <t>2026-07-21</t>
        </is>
      </c>
      <c r="E1903" s="37" t="inlineStr">
        <is>
          <t>Aspirant Interaction</t>
        </is>
      </c>
      <c r="F1903" s="37" t="inlineStr">
        <is>
          <t>Ask about the quality of Core Employability component delivery (technical centres) and who delivers it.</t>
        </is>
      </c>
      <c r="G1903" s="37" t="inlineStr">
        <is>
          <t>All is Well</t>
        </is>
      </c>
    </row>
    <row r="1904">
      <c r="A1904" s="37" t="inlineStr">
        <is>
          <t>Gagandeep Singh Sachar</t>
        </is>
      </c>
      <c r="B1904" s="37" t="inlineStr">
        <is>
          <t>Belapur</t>
        </is>
      </c>
      <c r="C1904" s="37" t="inlineStr">
        <is>
          <t>GROW</t>
        </is>
      </c>
      <c r="D1904" s="37" t="inlineStr">
        <is>
          <t>2026-07-21</t>
        </is>
      </c>
      <c r="E1904" s="37" t="inlineStr">
        <is>
          <t>Aspirant Interaction</t>
        </is>
      </c>
      <c r="F1904" s="37" t="inlineStr">
        <is>
          <t>Ask whether they are aware of the referral scheme?</t>
        </is>
      </c>
      <c r="G1904" s="37" t="inlineStr">
        <is>
          <t>All is Well</t>
        </is>
      </c>
    </row>
    <row r="1905">
      <c r="A1905" s="37" t="inlineStr">
        <is>
          <t>Gagandeep Singh Sachar</t>
        </is>
      </c>
      <c r="B1905" s="37" t="inlineStr">
        <is>
          <t>Belapur</t>
        </is>
      </c>
      <c r="C1905" s="37" t="inlineStr">
        <is>
          <t>GROW</t>
        </is>
      </c>
      <c r="D1905" s="37" t="inlineStr">
        <is>
          <t>2026-07-21</t>
        </is>
      </c>
      <c r="E1905" s="37" t="inlineStr">
        <is>
          <t>Aspirant Interaction</t>
        </is>
      </c>
      <c r="F1905" s="37" t="inlineStr">
        <is>
          <t>Ask whether the AH explained the importance of the offer letter and sharing it with us once received for reporting purposes?</t>
        </is>
      </c>
      <c r="G1905" s="37" t="inlineStr">
        <is>
          <t>All is Well</t>
        </is>
      </c>
    </row>
    <row r="1906">
      <c r="A1906" s="37" t="inlineStr">
        <is>
          <t>Gagandeep Singh Sachar</t>
        </is>
      </c>
      <c r="B1906" s="37" t="inlineStr">
        <is>
          <t>Belapur</t>
        </is>
      </c>
      <c r="C1906" s="37" t="inlineStr">
        <is>
          <t>GROW</t>
        </is>
      </c>
      <c r="D1906" s="37" t="inlineStr">
        <is>
          <t>2026-07-21</t>
        </is>
      </c>
      <c r="E1906" s="37" t="inlineStr">
        <is>
          <t>Aspirant Interaction</t>
        </is>
      </c>
      <c r="F1906" s="37" t="inlineStr">
        <is>
          <t>Ask how many are not interested in jobs — and if so, why they enrolled in the programme?</t>
        </is>
      </c>
      <c r="G1906" s="37" t="inlineStr">
        <is>
          <t>All is Well</t>
        </is>
      </c>
    </row>
    <row r="1907">
      <c r="A1907" s="37" t="inlineStr">
        <is>
          <t>Gagandeep Singh Sachar</t>
        </is>
      </c>
      <c r="B1907" s="37" t="inlineStr">
        <is>
          <t>Belapur</t>
        </is>
      </c>
      <c r="C1907" s="37" t="inlineStr">
        <is>
          <t>GROW</t>
        </is>
      </c>
      <c r="D1907" s="37" t="inlineStr">
        <is>
          <t>2026-07-21</t>
        </is>
      </c>
      <c r="E1907" s="37" t="inlineStr">
        <is>
          <t>Aspirant Interaction</t>
        </is>
      </c>
      <c r="F1907" s="37" t="inlineStr">
        <is>
          <t>Ask whether they were told the kind of job they would get during counselling?</t>
        </is>
      </c>
      <c r="G1907" s="37" t="inlineStr">
        <is>
          <t>All is Well</t>
        </is>
      </c>
    </row>
    <row r="1908">
      <c r="A1908" s="37" t="inlineStr">
        <is>
          <t>Gagandeep Singh Sachar</t>
        </is>
      </c>
      <c r="B1908" s="37" t="inlineStr">
        <is>
          <t>Belapur</t>
        </is>
      </c>
      <c r="C1908" s="37" t="inlineStr">
        <is>
          <t>GROW</t>
        </is>
      </c>
      <c r="D1908" s="37" t="inlineStr">
        <is>
          <t>2026-07-21</t>
        </is>
      </c>
      <c r="E1908" s="37" t="inlineStr">
        <is>
          <t>Aspirant Interaction</t>
        </is>
      </c>
      <c r="F1908" s="37" t="inlineStr">
        <is>
          <t>Ask whether they have been given LMS access?</t>
        </is>
      </c>
      <c r="G1908" s="37" t="inlineStr">
        <is>
          <t>All is Well</t>
        </is>
      </c>
    </row>
    <row r="1909">
      <c r="A1909" s="37" t="inlineStr">
        <is>
          <t>Gagandeep Singh Sachar</t>
        </is>
      </c>
      <c r="B1909" s="37" t="inlineStr">
        <is>
          <t>Belapur</t>
        </is>
      </c>
      <c r="C1909" s="37" t="inlineStr">
        <is>
          <t>GROW</t>
        </is>
      </c>
      <c r="D1909" s="37" t="inlineStr">
        <is>
          <t>2026-07-21</t>
        </is>
      </c>
      <c r="E1909" s="37" t="inlineStr">
        <is>
          <t>Aspirant Interaction</t>
        </is>
      </c>
      <c r="F1909" s="37" t="inlineStr">
        <is>
          <t>Ask whether anyone asked them for money for training or placement?</t>
        </is>
      </c>
      <c r="G1909" s="37" t="inlineStr">
        <is>
          <t>All is Well</t>
        </is>
      </c>
    </row>
    <row r="1910">
      <c r="A1910" s="37" t="inlineStr">
        <is>
          <t>Gagandeep Singh Sachar</t>
        </is>
      </c>
      <c r="B1910" s="37" t="inlineStr">
        <is>
          <t>Belapur</t>
        </is>
      </c>
      <c r="C1910" s="37" t="inlineStr">
        <is>
          <t>GROW</t>
        </is>
      </c>
      <c r="D1910" s="37" t="inlineStr">
        <is>
          <t>2026-07-21</t>
        </is>
      </c>
      <c r="E1910" s="37" t="inlineStr">
        <is>
          <t>Aspirant Interaction</t>
        </is>
      </c>
      <c r="F1910" s="37" t="inlineStr">
        <is>
          <t>Ask to show their mobile phones — are they enrolled on Skillfy? If not, get them enrolled and give written feedback to trainers and the AH in your presence.</t>
        </is>
      </c>
      <c r="G1910" s="37" t="inlineStr">
        <is>
          <t>All is Well</t>
        </is>
      </c>
    </row>
    <row r="1911">
      <c r="A1911" s="37" t="inlineStr">
        <is>
          <t>Gagandeep Singh Sachar</t>
        </is>
      </c>
      <c r="B1911" s="37" t="inlineStr">
        <is>
          <t>Belapur</t>
        </is>
      </c>
      <c r="C1911" s="37" t="inlineStr">
        <is>
          <t>GROW</t>
        </is>
      </c>
      <c r="D1911" s="37" t="inlineStr">
        <is>
          <t>2026-07-21</t>
        </is>
      </c>
      <c r="E1911" s="37" t="inlineStr">
        <is>
          <t>Aspirant Interaction</t>
        </is>
      </c>
      <c r="F1911" s="37" t="inlineStr">
        <is>
          <t>Ask about the quality of the hostel and any issues they face.</t>
        </is>
      </c>
      <c r="G1911" s="37" t="inlineStr">
        <is>
          <t>Not Applicable</t>
        </is>
      </c>
    </row>
    <row r="1912">
      <c r="A1912" s="37" t="inlineStr">
        <is>
          <t>Gagandeep Singh Sachar</t>
        </is>
      </c>
      <c r="B1912" s="37" t="inlineStr">
        <is>
          <t>Belapur</t>
        </is>
      </c>
      <c r="C1912" s="37" t="inlineStr">
        <is>
          <t>GROW</t>
        </is>
      </c>
      <c r="D1912" s="37" t="inlineStr">
        <is>
          <t>2026-07-21</t>
        </is>
      </c>
      <c r="E1912" s="37" t="inlineStr">
        <is>
          <t>Aspirant Interaction</t>
        </is>
      </c>
      <c r="F1912" s="37" t="inlineStr">
        <is>
          <t>Ask a few relevant screening questions to support the 10th-day report and remove non-serious candidates, explaining to them the reasons.</t>
        </is>
      </c>
      <c r="G1912" s="37" t="inlineStr">
        <is>
          <t>All is Well</t>
        </is>
      </c>
    </row>
    <row r="1913">
      <c r="A1913" s="37" t="inlineStr">
        <is>
          <t>Amit Chakraborty</t>
        </is>
      </c>
      <c r="B1913" s="37" t="inlineStr">
        <is>
          <t>Ghaziabad</t>
        </is>
      </c>
      <c r="C1913" s="37" t="inlineStr">
        <is>
          <t>GROW Youth-CITI</t>
        </is>
      </c>
      <c r="D1913" s="37" t="inlineStr">
        <is>
          <t>2026-07-17</t>
        </is>
      </c>
      <c r="E1913" s="37" t="inlineStr">
        <is>
          <t>Data Check</t>
        </is>
      </c>
      <c r="F1913" s="37" t="inlineStr">
        <is>
          <t>Reach the centre on time (unannounced) — confirm the centre opened on time.</t>
        </is>
      </c>
      <c r="G1913" s="37" t="inlineStr">
        <is>
          <t>All is Well</t>
        </is>
      </c>
    </row>
    <row r="1914">
      <c r="A1914" s="37" t="inlineStr">
        <is>
          <t>Amit Chakraborty</t>
        </is>
      </c>
      <c r="B1914" s="37" t="inlineStr">
        <is>
          <t>Ghaziabad</t>
        </is>
      </c>
      <c r="C1914" s="37" t="inlineStr">
        <is>
          <t>GROW Youth-CITI</t>
        </is>
      </c>
      <c r="D1914" s="37" t="inlineStr">
        <is>
          <t>2026-07-17</t>
        </is>
      </c>
      <c r="E1914" s="37" t="inlineStr">
        <is>
          <t>Data Check</t>
        </is>
      </c>
      <c r="F1914" s="37" t="inlineStr">
        <is>
          <t>Check the staff attendance register, the Google Sheet, and geo-tagged photos for aspirants.</t>
        </is>
      </c>
      <c r="G1914" s="37" t="inlineStr">
        <is>
          <t>Need Improvement</t>
        </is>
      </c>
    </row>
    <row r="1915">
      <c r="A1915" s="37" t="inlineStr">
        <is>
          <t>Amit Chakraborty</t>
        </is>
      </c>
      <c r="B1915" s="37" t="inlineStr">
        <is>
          <t>Ghaziabad</t>
        </is>
      </c>
      <c r="C1915" s="37" t="inlineStr">
        <is>
          <t>GROW Youth-CITI</t>
        </is>
      </c>
      <c r="D1915" s="37" t="inlineStr">
        <is>
          <t>2026-07-17</t>
        </is>
      </c>
      <c r="E1915" s="37" t="inlineStr">
        <is>
          <t>Data Check</t>
        </is>
      </c>
      <c r="F1915" s="37" t="inlineStr">
        <is>
          <t>Check Counselling and Screening Forms of recently started batches.</t>
        </is>
      </c>
      <c r="G1915" s="37" t="inlineStr">
        <is>
          <t>All is Well</t>
        </is>
      </c>
    </row>
    <row r="1916">
      <c r="A1916" s="37" t="inlineStr">
        <is>
          <t>Amit Chakraborty</t>
        </is>
      </c>
      <c r="B1916" s="37" t="inlineStr">
        <is>
          <t>Ghaziabad</t>
        </is>
      </c>
      <c r="C1916" s="37" t="inlineStr">
        <is>
          <t>GROW Youth-CITI</t>
        </is>
      </c>
      <c r="D1916" s="37" t="inlineStr">
        <is>
          <t>2026-07-17</t>
        </is>
      </c>
      <c r="E1916" s="37" t="inlineStr">
        <is>
          <t>Data Check</t>
        </is>
      </c>
      <c r="F1916" s="37" t="inlineStr">
        <is>
          <t>Check Aspirant Registration Forms and related documents.</t>
        </is>
      </c>
      <c r="G1916" s="37" t="inlineStr">
        <is>
          <t>All is Well</t>
        </is>
      </c>
    </row>
    <row r="1917">
      <c r="A1917" s="37" t="inlineStr">
        <is>
          <t>Amit Chakraborty</t>
        </is>
      </c>
      <c r="B1917" s="37" t="inlineStr">
        <is>
          <t>Ghaziabad</t>
        </is>
      </c>
      <c r="C1917" s="37" t="inlineStr">
        <is>
          <t>GROW Youth-CITI</t>
        </is>
      </c>
      <c r="D1917" s="37" t="inlineStr">
        <is>
          <t>2026-07-17</t>
        </is>
      </c>
      <c r="E1917" s="37" t="inlineStr">
        <is>
          <t>Data Check</t>
        </is>
      </c>
      <c r="F1917" s="37" t="inlineStr">
        <is>
          <t>On the GROW portal, confirm all student profile details and batch updates are currect.</t>
        </is>
      </c>
      <c r="G1917" s="37" t="inlineStr">
        <is>
          <t>Need Improvement</t>
        </is>
      </c>
    </row>
    <row r="1918">
      <c r="A1918" s="37" t="inlineStr">
        <is>
          <t>Amit Chakraborty</t>
        </is>
      </c>
      <c r="B1918" s="37" t="inlineStr">
        <is>
          <t>Ghaziabad</t>
        </is>
      </c>
      <c r="C1918" s="37" t="inlineStr">
        <is>
          <t>GROW Youth-CITI</t>
        </is>
      </c>
      <c r="D1918" s="37" t="inlineStr">
        <is>
          <t>2026-07-17</t>
        </is>
      </c>
      <c r="E1918" s="37" t="inlineStr">
        <is>
          <t>Data Check</t>
        </is>
      </c>
      <c r="F1918" s="37" t="inlineStr">
        <is>
          <t>Verify placement data — randomly call 3–4 alumni placed in the last 3 months to confirm veracity (random selection is essential).</t>
        </is>
      </c>
      <c r="G1918" s="37" t="inlineStr">
        <is>
          <t>Need Improvement</t>
        </is>
      </c>
    </row>
    <row r="1919">
      <c r="A1919" s="37" t="inlineStr">
        <is>
          <t>Amit Chakraborty</t>
        </is>
      </c>
      <c r="B1919" s="37" t="inlineStr">
        <is>
          <t>Ghaziabad</t>
        </is>
      </c>
      <c r="C1919" s="37" t="inlineStr">
        <is>
          <t>GROW Youth-CITI</t>
        </is>
      </c>
      <c r="D1919" s="37" t="inlineStr">
        <is>
          <t>2026-07-17</t>
        </is>
      </c>
      <c r="E1919" s="37" t="inlineStr">
        <is>
          <t>Data Check</t>
        </is>
      </c>
      <c r="F1919" s="37" t="inlineStr">
        <is>
          <t>Verify retention — check the Alumni Hand-holding Format is being updated as designed.</t>
        </is>
      </c>
      <c r="G1919" s="37" t="inlineStr">
        <is>
          <t>Need Improvement</t>
        </is>
      </c>
    </row>
    <row r="1920">
      <c r="A1920" s="37" t="inlineStr">
        <is>
          <t>Amit Chakraborty</t>
        </is>
      </c>
      <c r="B1920" s="37" t="inlineStr">
        <is>
          <t>Ghaziabad</t>
        </is>
      </c>
      <c r="C1920" s="37" t="inlineStr">
        <is>
          <t>GROW Youth-CITI</t>
        </is>
      </c>
      <c r="D1920" s="37" t="inlineStr">
        <is>
          <t>2026-07-17</t>
        </is>
      </c>
      <c r="E1920" s="37" t="inlineStr">
        <is>
          <t>Data Check</t>
        </is>
      </c>
      <c r="F1920" s="37" t="inlineStr">
        <is>
          <t>Check aspirant Hostel Forms are properly filled or not.</t>
        </is>
      </c>
      <c r="G1920" s="37" t="inlineStr">
        <is>
          <t>Not Applicable</t>
        </is>
      </c>
    </row>
    <row r="1921">
      <c r="A1921" s="37" t="inlineStr">
        <is>
          <t>Amit Chakraborty</t>
        </is>
      </c>
      <c r="B1921" s="37" t="inlineStr">
        <is>
          <t>Ghaziabad</t>
        </is>
      </c>
      <c r="C1921" s="37" t="inlineStr">
        <is>
          <t>GROW Youth-CITI</t>
        </is>
      </c>
      <c r="D1921" s="37" t="inlineStr">
        <is>
          <t>2026-07-17</t>
        </is>
      </c>
      <c r="E1921" s="37" t="inlineStr">
        <is>
          <t>Infra Check</t>
        </is>
      </c>
      <c r="F1921" s="37" t="inlineStr">
        <is>
          <t>Check all CCTV cameras; if any are not working, ask the AH to troubleshoot or call the vendor.</t>
        </is>
      </c>
      <c r="G1921" s="37" t="inlineStr">
        <is>
          <t>All is Well</t>
        </is>
      </c>
    </row>
    <row r="1922">
      <c r="A1922" s="37" t="inlineStr">
        <is>
          <t>Amit Chakraborty</t>
        </is>
      </c>
      <c r="B1922" s="37" t="inlineStr">
        <is>
          <t>Ghaziabad</t>
        </is>
      </c>
      <c r="C1922" s="37" t="inlineStr">
        <is>
          <t>GROW Youth-CITI</t>
        </is>
      </c>
      <c r="D1922" s="37" t="inlineStr">
        <is>
          <t>2026-07-17</t>
        </is>
      </c>
      <c r="E1922" s="37" t="inlineStr">
        <is>
          <t>Infra Check</t>
        </is>
      </c>
      <c r="F1922" s="37" t="inlineStr">
        <is>
          <t>Check for any scrap material and get it cleared, with support of Admin</t>
        </is>
      </c>
      <c r="G1922" s="37" t="inlineStr">
        <is>
          <t>All is Well</t>
        </is>
      </c>
    </row>
    <row r="1923">
      <c r="A1923" s="37" t="inlineStr">
        <is>
          <t>Amit Chakraborty</t>
        </is>
      </c>
      <c r="B1923" s="37" t="inlineStr">
        <is>
          <t>Ghaziabad</t>
        </is>
      </c>
      <c r="C1923" s="37" t="inlineStr">
        <is>
          <t>GROW Youth-CITI</t>
        </is>
      </c>
      <c r="D1923" s="37" t="inlineStr">
        <is>
          <t>2026-07-17</t>
        </is>
      </c>
      <c r="E1923" s="37" t="inlineStr">
        <is>
          <t>Infra Check</t>
        </is>
      </c>
      <c r="F1923" s="37" t="inlineStr">
        <is>
          <t>Check for any pending infra repairs.</t>
        </is>
      </c>
      <c r="G1923" s="37" t="inlineStr">
        <is>
          <t>Need Improvement</t>
        </is>
      </c>
    </row>
    <row r="1924">
      <c r="A1924" s="37" t="inlineStr">
        <is>
          <t>Amit Chakraborty</t>
        </is>
      </c>
      <c r="B1924" s="37" t="inlineStr">
        <is>
          <t>Ghaziabad</t>
        </is>
      </c>
      <c r="C1924" s="37" t="inlineStr">
        <is>
          <t>GROW Youth-CITI</t>
        </is>
      </c>
      <c r="D1924" s="37" t="inlineStr">
        <is>
          <t>2026-07-17</t>
        </is>
      </c>
      <c r="E1924" s="37" t="inlineStr">
        <is>
          <t>Infra Check</t>
        </is>
      </c>
      <c r="F1924" s="37" t="inlineStr">
        <is>
          <t>Check whether any fire extinguishers have expired (check the needle and expiry date both).</t>
        </is>
      </c>
      <c r="G1924" s="37" t="inlineStr">
        <is>
          <t>All is Well</t>
        </is>
      </c>
    </row>
    <row r="1925">
      <c r="A1925" s="37" t="inlineStr">
        <is>
          <t>Amit Chakraborty</t>
        </is>
      </c>
      <c r="B1925" s="37" t="inlineStr">
        <is>
          <t>Ghaziabad</t>
        </is>
      </c>
      <c r="C1925" s="37" t="inlineStr">
        <is>
          <t>GROW Youth-CITI</t>
        </is>
      </c>
      <c r="D1925" s="37" t="inlineStr">
        <is>
          <t>2026-07-17</t>
        </is>
      </c>
      <c r="E1925" s="37" t="inlineStr">
        <is>
          <t>Infra Check</t>
        </is>
      </c>
      <c r="F1925" s="37" t="inlineStr">
        <is>
          <t>Check basic cleanliness of the washrooms and the centre.</t>
        </is>
      </c>
      <c r="G1925" s="37" t="inlineStr">
        <is>
          <t>All is Well</t>
        </is>
      </c>
    </row>
    <row r="1926">
      <c r="A1926" s="37" t="inlineStr">
        <is>
          <t>Amit Chakraborty</t>
        </is>
      </c>
      <c r="B1926" s="37" t="inlineStr">
        <is>
          <t>Ghaziabad</t>
        </is>
      </c>
      <c r="C1926" s="37" t="inlineStr">
        <is>
          <t>GROW Youth-CITI</t>
        </is>
      </c>
      <c r="D1926" s="37" t="inlineStr">
        <is>
          <t>2026-07-17</t>
        </is>
      </c>
      <c r="E1926" s="37" t="inlineStr">
        <is>
          <t>Infra Check</t>
        </is>
      </c>
      <c r="F1926" s="37" t="inlineStr">
        <is>
          <t>Confirm the correct program and partner logos are displayed.</t>
        </is>
      </c>
      <c r="G1926" s="37" t="inlineStr">
        <is>
          <t>All is Well</t>
        </is>
      </c>
    </row>
    <row r="1927">
      <c r="A1927" s="37" t="inlineStr">
        <is>
          <t>Amit Chakraborty</t>
        </is>
      </c>
      <c r="B1927" s="37" t="inlineStr">
        <is>
          <t>Ghaziabad</t>
        </is>
      </c>
      <c r="C1927" s="37" t="inlineStr">
        <is>
          <t>GROW Youth-CITI</t>
        </is>
      </c>
      <c r="D1927" s="37" t="inlineStr">
        <is>
          <t>2026-07-17</t>
        </is>
      </c>
      <c r="E1927" s="37" t="inlineStr">
        <is>
          <t>Infra Check</t>
        </is>
      </c>
      <c r="F1927" s="37" t="inlineStr">
        <is>
          <t>Check the status of digital infra — PCs, smartboards, tablets, laptops, etc.</t>
        </is>
      </c>
      <c r="G1927" s="37" t="inlineStr">
        <is>
          <t>All is Well</t>
        </is>
      </c>
    </row>
    <row r="1928">
      <c r="A1928" s="37" t="inlineStr">
        <is>
          <t>Amit Chakraborty</t>
        </is>
      </c>
      <c r="B1928" s="37" t="inlineStr">
        <is>
          <t>Ghaziabad</t>
        </is>
      </c>
      <c r="C1928" s="37" t="inlineStr">
        <is>
          <t>GROW Youth-CITI</t>
        </is>
      </c>
      <c r="D1928" s="37" t="inlineStr">
        <is>
          <t>2026-07-17</t>
        </is>
      </c>
      <c r="E1928" s="37" t="inlineStr">
        <is>
          <t>Infra Check</t>
        </is>
      </c>
      <c r="F1928" s="37" t="inlineStr">
        <is>
          <t>Make a quick hostel visit; have lunch there if possible to test the food quality.</t>
        </is>
      </c>
      <c r="G1928" s="37" t="inlineStr">
        <is>
          <t>Not Applicable</t>
        </is>
      </c>
    </row>
    <row r="1929">
      <c r="A1929" s="37" t="inlineStr">
        <is>
          <t>Amit Chakraborty</t>
        </is>
      </c>
      <c r="B1929" s="37" t="inlineStr">
        <is>
          <t>Ghaziabad</t>
        </is>
      </c>
      <c r="C1929" s="37" t="inlineStr">
        <is>
          <t>GROW Youth-CITI</t>
        </is>
      </c>
      <c r="D1929" s="37" t="inlineStr">
        <is>
          <t>2026-07-17</t>
        </is>
      </c>
      <c r="E1929" s="37" t="inlineStr">
        <is>
          <t>Process Check</t>
        </is>
      </c>
      <c r="F1929" s="37" t="inlineStr">
        <is>
          <t>Refer to the activity planner — check if any activities are delayed.</t>
        </is>
      </c>
      <c r="G1929" s="37" t="inlineStr">
        <is>
          <t>Need Improvement</t>
        </is>
      </c>
    </row>
    <row r="1930">
      <c r="A1930" s="37" t="inlineStr">
        <is>
          <t>Amit Chakraborty</t>
        </is>
      </c>
      <c r="B1930" s="37" t="inlineStr">
        <is>
          <t>Ghaziabad</t>
        </is>
      </c>
      <c r="C1930" s="37" t="inlineStr">
        <is>
          <t>GROW Youth-CITI</t>
        </is>
      </c>
      <c r="D1930" s="37" t="inlineStr">
        <is>
          <t>2026-07-17</t>
        </is>
      </c>
      <c r="E1930" s="37" t="inlineStr">
        <is>
          <t>Process Check</t>
        </is>
      </c>
      <c r="F1930" s="37" t="inlineStr">
        <is>
          <t>Check planning for the next batch-start announcement.</t>
        </is>
      </c>
      <c r="G1930" s="37" t="inlineStr">
        <is>
          <t>Need Improvement</t>
        </is>
      </c>
    </row>
    <row r="1931">
      <c r="A1931" s="37" t="inlineStr">
        <is>
          <t>Amit Chakraborty</t>
        </is>
      </c>
      <c r="B1931" s="37" t="inlineStr">
        <is>
          <t>Ghaziabad</t>
        </is>
      </c>
      <c r="C1931" s="37" t="inlineStr">
        <is>
          <t>GROW Youth-CITI</t>
        </is>
      </c>
      <c r="D1931" s="37" t="inlineStr">
        <is>
          <t>2026-07-17</t>
        </is>
      </c>
      <c r="E1931" s="37" t="inlineStr">
        <is>
          <t>Process Check</t>
        </is>
      </c>
      <c r="F1931" s="37" t="inlineStr">
        <is>
          <t>Check if any hiring is delayed and plan a resolution.</t>
        </is>
      </c>
      <c r="G1931" s="37" t="inlineStr">
        <is>
          <t>Need Improvement</t>
        </is>
      </c>
    </row>
    <row r="1932">
      <c r="A1932" s="37" t="inlineStr">
        <is>
          <t>Amit Chakraborty</t>
        </is>
      </c>
      <c r="B1932" s="37" t="inlineStr">
        <is>
          <t>Ghaziabad</t>
        </is>
      </c>
      <c r="C1932" s="37" t="inlineStr">
        <is>
          <t>GROW Youth-CITI</t>
        </is>
      </c>
      <c r="D1932" s="37" t="inlineStr">
        <is>
          <t>2026-07-17</t>
        </is>
      </c>
      <c r="E1932" s="37" t="inlineStr">
        <is>
          <t>Process Check</t>
        </is>
      </c>
      <c r="F1932" s="37" t="inlineStr">
        <is>
          <t>Check the CA’s diary — is CA guided daily by the AH during planning days?</t>
        </is>
      </c>
      <c r="G1932" s="37" t="inlineStr">
        <is>
          <t>Not Applicable</t>
        </is>
      </c>
    </row>
    <row r="1933">
      <c r="A1933" s="37" t="inlineStr">
        <is>
          <t>Amit Chakraborty</t>
        </is>
      </c>
      <c r="B1933" s="37" t="inlineStr">
        <is>
          <t>Ghaziabad</t>
        </is>
      </c>
      <c r="C1933" s="37" t="inlineStr">
        <is>
          <t>GROW Youth-CITI</t>
        </is>
      </c>
      <c r="D1933" s="37" t="inlineStr">
        <is>
          <t>2026-07-17</t>
        </is>
      </c>
      <c r="E1933" s="37" t="inlineStr">
        <is>
          <t>Process Check</t>
        </is>
      </c>
      <c r="F1933" s="37" t="inlineStr">
        <is>
          <t>Check the AH is regularly meeting employers (in person and online) and updating the centre’s Top 20 Employer format.</t>
        </is>
      </c>
      <c r="G1933" s="37" t="inlineStr">
        <is>
          <t>All is Well</t>
        </is>
      </c>
    </row>
    <row r="1934">
      <c r="A1934" s="37" t="inlineStr">
        <is>
          <t>Amit Chakraborty</t>
        </is>
      </c>
      <c r="B1934" s="37" t="inlineStr">
        <is>
          <t>Ghaziabad</t>
        </is>
      </c>
      <c r="C1934" s="37" t="inlineStr">
        <is>
          <t>GROW Youth-CITI</t>
        </is>
      </c>
      <c r="D1934" s="37" t="inlineStr">
        <is>
          <t>2026-07-17</t>
        </is>
      </c>
      <c r="E1934" s="37" t="inlineStr">
        <is>
          <t>Process Check</t>
        </is>
      </c>
      <c r="F1934" s="37" t="inlineStr">
        <is>
          <t>Confirm all new employers are registered on portal as per new process.</t>
        </is>
      </c>
      <c r="G1934" s="37" t="inlineStr">
        <is>
          <t>All is Well</t>
        </is>
      </c>
    </row>
    <row r="1935">
      <c r="A1935" s="37" t="inlineStr">
        <is>
          <t>Amit Chakraborty</t>
        </is>
      </c>
      <c r="B1935" s="37" t="inlineStr">
        <is>
          <t>Ghaziabad</t>
        </is>
      </c>
      <c r="C1935" s="37" t="inlineStr">
        <is>
          <t>GROW Youth-CITI</t>
        </is>
      </c>
      <c r="D1935" s="37" t="inlineStr">
        <is>
          <t>2026-07-17</t>
        </is>
      </c>
      <c r="E1935" s="37" t="inlineStr">
        <is>
          <t>Process Check</t>
        </is>
      </c>
      <c r="F1935" s="37" t="inlineStr">
        <is>
          <t>Confirm 100% of enrolled students undergone screening (for technical courses).</t>
        </is>
      </c>
      <c r="G1935" s="37" t="inlineStr">
        <is>
          <t>Not Applicable</t>
        </is>
      </c>
    </row>
    <row r="1936">
      <c r="A1936" s="37" t="inlineStr">
        <is>
          <t>Amit Chakraborty</t>
        </is>
      </c>
      <c r="B1936" s="37" t="inlineStr">
        <is>
          <t>Ghaziabad</t>
        </is>
      </c>
      <c r="C1936" s="37" t="inlineStr">
        <is>
          <t>GROW Youth-CITI</t>
        </is>
      </c>
      <c r="D1936" s="37" t="inlineStr">
        <is>
          <t>2026-07-17</t>
        </is>
      </c>
      <c r="E1936" s="37" t="inlineStr">
        <is>
          <t>Process Check</t>
        </is>
      </c>
      <c r="F1936" s="37" t="inlineStr">
        <is>
          <t>Confirm ESA is done (in GROW full ESA and in Technical courses relevant sections of Core Employability Part).</t>
        </is>
      </c>
      <c r="G1936" s="37" t="inlineStr">
        <is>
          <t>All is Well</t>
        </is>
      </c>
    </row>
    <row r="1937">
      <c r="A1937" s="37" t="inlineStr">
        <is>
          <t>Amit Chakraborty</t>
        </is>
      </c>
      <c r="B1937" s="37" t="inlineStr">
        <is>
          <t>Ghaziabad</t>
        </is>
      </c>
      <c r="C1937" s="37" t="inlineStr">
        <is>
          <t>GROW Youth-CITI</t>
        </is>
      </c>
      <c r="D1937" s="37" t="inlineStr">
        <is>
          <t>2026-07-17</t>
        </is>
      </c>
      <c r="E1937" s="37" t="inlineStr">
        <is>
          <t>Process Check</t>
        </is>
      </c>
      <c r="F1937" s="37" t="inlineStr">
        <is>
          <t>Check is AH giving capstone project in GROW Tech.</t>
        </is>
      </c>
      <c r="G1937" s="37" t="inlineStr">
        <is>
          <t>Not Applicable</t>
        </is>
      </c>
    </row>
    <row r="1938">
      <c r="A1938" s="37" t="inlineStr">
        <is>
          <t>Amit Chakraborty</t>
        </is>
      </c>
      <c r="B1938" s="37" t="inlineStr">
        <is>
          <t>Ghaziabad</t>
        </is>
      </c>
      <c r="C1938" s="37" t="inlineStr">
        <is>
          <t>GROW Youth-CITI</t>
        </is>
      </c>
      <c r="D1938" s="37" t="inlineStr">
        <is>
          <t>2026-07-17</t>
        </is>
      </c>
      <c r="E1938" s="37" t="inlineStr">
        <is>
          <t>Process Check</t>
        </is>
      </c>
      <c r="F1938" s="37" t="inlineStr">
        <is>
          <t>Check is AH planning OJT as per guidelines and proofs are collected for technical courses.</t>
        </is>
      </c>
      <c r="G1938" s="37" t="inlineStr">
        <is>
          <t>Not Applicable</t>
        </is>
      </c>
    </row>
    <row r="1939">
      <c r="A1939" s="37" t="inlineStr">
        <is>
          <t>Amit Chakraborty</t>
        </is>
      </c>
      <c r="B1939" s="37" t="inlineStr">
        <is>
          <t>Ghaziabad</t>
        </is>
      </c>
      <c r="C1939" s="37" t="inlineStr">
        <is>
          <t>GROW Youth-CITI</t>
        </is>
      </c>
      <c r="D1939" s="37" t="inlineStr">
        <is>
          <t>2026-07-17</t>
        </is>
      </c>
      <c r="E1939" s="37" t="inlineStr">
        <is>
          <t>Process Check</t>
        </is>
      </c>
      <c r="F1939" s="37" t="inlineStr">
        <is>
          <t>Check are trainers contacting aspirants to find reason for their absenteeism of more than 1 day.</t>
        </is>
      </c>
      <c r="G1939" s="37" t="inlineStr">
        <is>
          <t>All is Well</t>
        </is>
      </c>
    </row>
    <row r="1940">
      <c r="A1940" s="37" t="inlineStr">
        <is>
          <t>Amit Chakraborty</t>
        </is>
      </c>
      <c r="B1940" s="37" t="inlineStr">
        <is>
          <t>Ghaziabad</t>
        </is>
      </c>
      <c r="C1940" s="37" t="inlineStr">
        <is>
          <t>GROW Youth-CITI</t>
        </is>
      </c>
      <c r="D1940" s="37" t="inlineStr">
        <is>
          <t>2026-07-17</t>
        </is>
      </c>
      <c r="E1940" s="37" t="inlineStr">
        <is>
          <t>Process Check</t>
        </is>
      </c>
      <c r="F1940" s="37" t="inlineStr">
        <is>
          <t>Check the AH plans monthly enrolment and placement numbers by the 3rd of each month and shares them with second level managers.</t>
        </is>
      </c>
      <c r="G1940" s="37" t="inlineStr">
        <is>
          <t>All is Well</t>
        </is>
      </c>
    </row>
    <row r="1941">
      <c r="A1941" s="37" t="inlineStr">
        <is>
          <t>Amit Chakraborty</t>
        </is>
      </c>
      <c r="B1941" s="37" t="inlineStr">
        <is>
          <t>Ghaziabad</t>
        </is>
      </c>
      <c r="C1941" s="37" t="inlineStr">
        <is>
          <t>GROW Youth-CITI</t>
        </is>
      </c>
      <c r="D1941" s="37" t="inlineStr">
        <is>
          <t>2026-07-17</t>
        </is>
      </c>
      <c r="E1941" s="37" t="inlineStr">
        <is>
          <t>Process Check</t>
        </is>
      </c>
      <c r="F1941" s="37" t="inlineStr">
        <is>
          <t>Check trainers submit aspirants’ placement interest areas to the AH by the batch’s 25th day (in GROW).</t>
        </is>
      </c>
      <c r="G1941" s="37" t="inlineStr">
        <is>
          <t>All is Well</t>
        </is>
      </c>
    </row>
    <row r="1942">
      <c r="A1942" s="37" t="inlineStr">
        <is>
          <t>Amit Chakraborty</t>
        </is>
      </c>
      <c r="B1942" s="37" t="inlineStr">
        <is>
          <t>Ghaziabad</t>
        </is>
      </c>
      <c r="C1942" s="37" t="inlineStr">
        <is>
          <t>GROW Youth-CITI</t>
        </is>
      </c>
      <c r="D1942" s="37" t="inlineStr">
        <is>
          <t>2026-07-17</t>
        </is>
      </c>
      <c r="E1942" s="37" t="inlineStr">
        <is>
          <t>Process Check</t>
        </is>
      </c>
      <c r="F1942" s="37" t="inlineStr">
        <is>
          <t>Ckeck For technical programs, placement is done only in technical jobs,on which aspirants are trained and relevant emplyers are identified by 45th day.</t>
        </is>
      </c>
      <c r="G1942" s="37" t="inlineStr">
        <is>
          <t>Not Applicable</t>
        </is>
      </c>
    </row>
    <row r="1943">
      <c r="A1943" s="37" t="inlineStr">
        <is>
          <t>Amit Chakraborty</t>
        </is>
      </c>
      <c r="B1943" s="37" t="inlineStr">
        <is>
          <t>Ghaziabad</t>
        </is>
      </c>
      <c r="C1943" s="37" t="inlineStr">
        <is>
          <t>GROW Youth-CITI</t>
        </is>
      </c>
      <c r="D1943" s="37" t="inlineStr">
        <is>
          <t>2026-07-17</t>
        </is>
      </c>
      <c r="E1943" s="37" t="inlineStr">
        <is>
          <t>Process Check</t>
        </is>
      </c>
      <c r="F1943" s="37" t="inlineStr">
        <is>
          <t>Check the AH follows EP guidelines and minimum benchmark salary guidelines.</t>
        </is>
      </c>
      <c r="G1943" s="37" t="inlineStr">
        <is>
          <t>All is Well</t>
        </is>
      </c>
    </row>
    <row r="1944">
      <c r="A1944" s="37" t="inlineStr">
        <is>
          <t>Amit Chakraborty</t>
        </is>
      </c>
      <c r="B1944" s="37" t="inlineStr">
        <is>
          <t>Ghaziabad</t>
        </is>
      </c>
      <c r="C1944" s="37" t="inlineStr">
        <is>
          <t>GROW Youth-CITI</t>
        </is>
      </c>
      <c r="D1944" s="37" t="inlineStr">
        <is>
          <t>2026-07-17</t>
        </is>
      </c>
      <c r="E1944" s="37" t="inlineStr">
        <is>
          <t>Process Check</t>
        </is>
      </c>
      <c r="F1944" s="37" t="inlineStr">
        <is>
          <t>Check that AH is enrolling only the right traget group in the program -as per the defined target.</t>
        </is>
      </c>
      <c r="G1944" s="37" t="inlineStr">
        <is>
          <t>Need Improvement</t>
        </is>
      </c>
    </row>
    <row r="1945">
      <c r="A1945" s="37" t="inlineStr">
        <is>
          <t>Amit Chakraborty</t>
        </is>
      </c>
      <c r="B1945" s="37" t="inlineStr">
        <is>
          <t>Ghaziabad</t>
        </is>
      </c>
      <c r="C1945" s="37" t="inlineStr">
        <is>
          <t>GROW Youth-CITI</t>
        </is>
      </c>
      <c r="D1945" s="37" t="inlineStr">
        <is>
          <t>2026-07-17</t>
        </is>
      </c>
      <c r="E1945" s="37" t="inlineStr">
        <is>
          <t>Process Check</t>
        </is>
      </c>
      <c r="F1945" s="37" t="inlineStr">
        <is>
          <t>Check the AH announces the next batch-start date by the 3rd of the month on all notice boards — focus on Zero-Day start.</t>
        </is>
      </c>
      <c r="G1945" s="37" t="inlineStr">
        <is>
          <t>All is Well</t>
        </is>
      </c>
    </row>
    <row r="1946">
      <c r="A1946" s="37" t="inlineStr">
        <is>
          <t>Amit Chakraborty</t>
        </is>
      </c>
      <c r="B1946" s="37" t="inlineStr">
        <is>
          <t>Ghaziabad</t>
        </is>
      </c>
      <c r="C1946" s="37" t="inlineStr">
        <is>
          <t>GROW Youth-CITI</t>
        </is>
      </c>
      <c r="D1946" s="37" t="inlineStr">
        <is>
          <t>2026-07-17</t>
        </is>
      </c>
      <c r="E1946" s="37" t="inlineStr">
        <is>
          <t>Process Check</t>
        </is>
      </c>
      <c r="F1946" s="37" t="inlineStr">
        <is>
          <t>Check the Aspirant Mock Interview Score Tracker is updated after every mock interview in the L&amp;D Google Sheet.</t>
        </is>
      </c>
      <c r="G1946" s="37" t="inlineStr">
        <is>
          <t>Need Improvement</t>
        </is>
      </c>
    </row>
    <row r="1947">
      <c r="A1947" s="37" t="inlineStr">
        <is>
          <t>Amit Chakraborty</t>
        </is>
      </c>
      <c r="B1947" s="37" t="inlineStr">
        <is>
          <t>Ghaziabad</t>
        </is>
      </c>
      <c r="C1947" s="37" t="inlineStr">
        <is>
          <t>GROW Youth-CITI</t>
        </is>
      </c>
      <c r="D1947" s="37" t="inlineStr">
        <is>
          <t>2026-07-17</t>
        </is>
      </c>
      <c r="E1947" s="37" t="inlineStr">
        <is>
          <t>Process Check</t>
        </is>
      </c>
      <c r="F1947" s="37" t="inlineStr">
        <is>
          <t>Confirm NPS (Net Promoter Score) is collected at MSDF centres.</t>
        </is>
      </c>
      <c r="G1947" s="37" t="inlineStr">
        <is>
          <t>Not Applicable</t>
        </is>
      </c>
    </row>
    <row r="1948">
      <c r="A1948" s="37" t="inlineStr">
        <is>
          <t>Amit Chakraborty</t>
        </is>
      </c>
      <c r="B1948" s="37" t="inlineStr">
        <is>
          <t>Ghaziabad</t>
        </is>
      </c>
      <c r="C1948" s="37" t="inlineStr">
        <is>
          <t>GROW Youth-CITI</t>
        </is>
      </c>
      <c r="D1948" s="37" t="inlineStr">
        <is>
          <t>2026-07-17</t>
        </is>
      </c>
      <c r="E1948" s="37" t="inlineStr">
        <is>
          <t>Process Check</t>
        </is>
      </c>
      <c r="F1948" s="37" t="inlineStr">
        <is>
          <t>Confirm that QAE is collecting student feedback for every batch.</t>
        </is>
      </c>
      <c r="G1948" s="37" t="inlineStr">
        <is>
          <t>All is Well</t>
        </is>
      </c>
    </row>
    <row r="1949">
      <c r="A1949" s="37" t="inlineStr">
        <is>
          <t>Amit Chakraborty</t>
        </is>
      </c>
      <c r="B1949" s="37" t="inlineStr">
        <is>
          <t>Ghaziabad</t>
        </is>
      </c>
      <c r="C1949" s="37" t="inlineStr">
        <is>
          <t>GROW Youth-CITI</t>
        </is>
      </c>
      <c r="D1949" s="37" t="inlineStr">
        <is>
          <t>2026-07-17</t>
        </is>
      </c>
      <c r="E1949" s="37" t="inlineStr">
        <is>
          <t>Process Check</t>
        </is>
      </c>
      <c r="F1949" s="37" t="inlineStr">
        <is>
          <t>Confirm all centre teams have completed the GROW Manual Course on Skillfy — ask for achievement certificates.</t>
        </is>
      </c>
      <c r="G1949" s="37" t="inlineStr">
        <is>
          <t>Need Improvement</t>
        </is>
      </c>
    </row>
    <row r="1950">
      <c r="A1950" s="37" t="inlineStr">
        <is>
          <t>Amit Chakraborty</t>
        </is>
      </c>
      <c r="B1950" s="37" t="inlineStr">
        <is>
          <t>Ghaziabad</t>
        </is>
      </c>
      <c r="C1950" s="37" t="inlineStr">
        <is>
          <t>GROW Youth-CITI</t>
        </is>
      </c>
      <c r="D1950" s="37" t="inlineStr">
        <is>
          <t>2026-07-17</t>
        </is>
      </c>
      <c r="E1950" s="37" t="inlineStr">
        <is>
          <t>Process Check</t>
        </is>
      </c>
      <c r="F1950" s="37" t="inlineStr">
        <is>
          <t>Check AH holds a quality weekly team meeting, documents action points in the weekly meeting format, and sends you a photo on WhatsApp.</t>
        </is>
      </c>
      <c r="G1950" s="37" t="inlineStr">
        <is>
          <t>All is Well</t>
        </is>
      </c>
    </row>
    <row r="1951">
      <c r="A1951" s="37" t="inlineStr">
        <is>
          <t>Amit Chakraborty</t>
        </is>
      </c>
      <c r="B1951" s="37" t="inlineStr">
        <is>
          <t>Ghaziabad</t>
        </is>
      </c>
      <c r="C1951" s="37" t="inlineStr">
        <is>
          <t>GROW Youth-CITI</t>
        </is>
      </c>
      <c r="D1951" s="37" t="inlineStr">
        <is>
          <t>2026-07-17</t>
        </is>
      </c>
      <c r="E1951" s="37" t="inlineStr">
        <is>
          <t>Aspirant Interaction</t>
        </is>
      </c>
      <c r="F1951" s="37" t="inlineStr">
        <is>
          <t>Ask aspirants about the session plan — confirm training is happening as planned?</t>
        </is>
      </c>
      <c r="G1951" s="37" t="inlineStr">
        <is>
          <t>Need Improvement</t>
        </is>
      </c>
    </row>
    <row r="1952">
      <c r="A1952" s="37" t="inlineStr">
        <is>
          <t>Amit Chakraborty</t>
        </is>
      </c>
      <c r="B1952" s="37" t="inlineStr">
        <is>
          <t>Ghaziabad</t>
        </is>
      </c>
      <c r="C1952" s="37" t="inlineStr">
        <is>
          <t>GROW Youth-CITI</t>
        </is>
      </c>
      <c r="D1952" s="37" t="inlineStr">
        <is>
          <t>2026-07-17</t>
        </is>
      </c>
      <c r="E1952" s="37" t="inlineStr">
        <is>
          <t>Aspirant Interaction</t>
        </is>
      </c>
      <c r="F1952" s="37" t="inlineStr">
        <is>
          <t>Ask about the quality of Core Employability component delivery (technical centres) and who delivers it.</t>
        </is>
      </c>
      <c r="G1952" s="37" t="inlineStr">
        <is>
          <t>Not Applicable</t>
        </is>
      </c>
    </row>
    <row r="1953">
      <c r="A1953" s="37" t="inlineStr">
        <is>
          <t>Amit Chakraborty</t>
        </is>
      </c>
      <c r="B1953" s="37" t="inlineStr">
        <is>
          <t>Ghaziabad</t>
        </is>
      </c>
      <c r="C1953" s="37" t="inlineStr">
        <is>
          <t>GROW Youth-CITI</t>
        </is>
      </c>
      <c r="D1953" s="37" t="inlineStr">
        <is>
          <t>2026-07-17</t>
        </is>
      </c>
      <c r="E1953" s="37" t="inlineStr">
        <is>
          <t>Aspirant Interaction</t>
        </is>
      </c>
      <c r="F1953" s="37" t="inlineStr">
        <is>
          <t>Ask whether they are aware of the referral scheme?</t>
        </is>
      </c>
      <c r="G1953" s="37" t="inlineStr">
        <is>
          <t>All is Well</t>
        </is>
      </c>
    </row>
    <row r="1954">
      <c r="A1954" s="37" t="inlineStr">
        <is>
          <t>Amit Chakraborty</t>
        </is>
      </c>
      <c r="B1954" s="37" t="inlineStr">
        <is>
          <t>Ghaziabad</t>
        </is>
      </c>
      <c r="C1954" s="37" t="inlineStr">
        <is>
          <t>GROW Youth-CITI</t>
        </is>
      </c>
      <c r="D1954" s="37" t="inlineStr">
        <is>
          <t>2026-07-17</t>
        </is>
      </c>
      <c r="E1954" s="37" t="inlineStr">
        <is>
          <t>Aspirant Interaction</t>
        </is>
      </c>
      <c r="F1954" s="37" t="inlineStr">
        <is>
          <t>Ask whether the AH explained the importance of the offer letter and sharing it with us once received for reporting purposes?</t>
        </is>
      </c>
      <c r="G1954" s="37" t="inlineStr">
        <is>
          <t>Need Improvement</t>
        </is>
      </c>
    </row>
    <row r="1955">
      <c r="A1955" s="37" t="inlineStr">
        <is>
          <t>Amit Chakraborty</t>
        </is>
      </c>
      <c r="B1955" s="37" t="inlineStr">
        <is>
          <t>Ghaziabad</t>
        </is>
      </c>
      <c r="C1955" s="37" t="inlineStr">
        <is>
          <t>GROW Youth-CITI</t>
        </is>
      </c>
      <c r="D1955" s="37" t="inlineStr">
        <is>
          <t>2026-07-17</t>
        </is>
      </c>
      <c r="E1955" s="37" t="inlineStr">
        <is>
          <t>Aspirant Interaction</t>
        </is>
      </c>
      <c r="F1955" s="37" t="inlineStr">
        <is>
          <t>Ask how many are not interested in jobs — and if so, why they enrolled in the programme?</t>
        </is>
      </c>
      <c r="G1955" s="37" t="inlineStr">
        <is>
          <t>All is Well</t>
        </is>
      </c>
    </row>
    <row r="1956">
      <c r="A1956" s="37" t="inlineStr">
        <is>
          <t>Amit Chakraborty</t>
        </is>
      </c>
      <c r="B1956" s="37" t="inlineStr">
        <is>
          <t>Ghaziabad</t>
        </is>
      </c>
      <c r="C1956" s="37" t="inlineStr">
        <is>
          <t>GROW Youth-CITI</t>
        </is>
      </c>
      <c r="D1956" s="37" t="inlineStr">
        <is>
          <t>2026-07-17</t>
        </is>
      </c>
      <c r="E1956" s="37" t="inlineStr">
        <is>
          <t>Aspirant Interaction</t>
        </is>
      </c>
      <c r="F1956" s="37" t="inlineStr">
        <is>
          <t>Ask whether they were told the kind of job they would get during counselling?</t>
        </is>
      </c>
      <c r="G1956" s="37" t="inlineStr">
        <is>
          <t>All is Well</t>
        </is>
      </c>
    </row>
    <row r="1957">
      <c r="A1957" s="37" t="inlineStr">
        <is>
          <t>Amit Chakraborty</t>
        </is>
      </c>
      <c r="B1957" s="37" t="inlineStr">
        <is>
          <t>Ghaziabad</t>
        </is>
      </c>
      <c r="C1957" s="37" t="inlineStr">
        <is>
          <t>GROW Youth-CITI</t>
        </is>
      </c>
      <c r="D1957" s="37" t="inlineStr">
        <is>
          <t>2026-07-17</t>
        </is>
      </c>
      <c r="E1957" s="37" t="inlineStr">
        <is>
          <t>Aspirant Interaction</t>
        </is>
      </c>
      <c r="F1957" s="37" t="inlineStr">
        <is>
          <t>Ask whether they have been given LMS access?</t>
        </is>
      </c>
      <c r="G1957" s="37" t="inlineStr">
        <is>
          <t>All is Well</t>
        </is>
      </c>
    </row>
    <row r="1958">
      <c r="A1958" s="37" t="inlineStr">
        <is>
          <t>Amit Chakraborty</t>
        </is>
      </c>
      <c r="B1958" s="37" t="inlineStr">
        <is>
          <t>Ghaziabad</t>
        </is>
      </c>
      <c r="C1958" s="37" t="inlineStr">
        <is>
          <t>GROW Youth-CITI</t>
        </is>
      </c>
      <c r="D1958" s="37" t="inlineStr">
        <is>
          <t>2026-07-17</t>
        </is>
      </c>
      <c r="E1958" s="37" t="inlineStr">
        <is>
          <t>Aspirant Interaction</t>
        </is>
      </c>
      <c r="F1958" s="37" t="inlineStr">
        <is>
          <t>Ask whether anyone asked them for money for training or placement?</t>
        </is>
      </c>
      <c r="G1958" s="37" t="inlineStr">
        <is>
          <t>All is Well</t>
        </is>
      </c>
    </row>
    <row r="1959">
      <c r="A1959" s="37" t="inlineStr">
        <is>
          <t>Amit Chakraborty</t>
        </is>
      </c>
      <c r="B1959" s="37" t="inlineStr">
        <is>
          <t>Ghaziabad</t>
        </is>
      </c>
      <c r="C1959" s="37" t="inlineStr">
        <is>
          <t>GROW Youth-CITI</t>
        </is>
      </c>
      <c r="D1959" s="37" t="inlineStr">
        <is>
          <t>2026-07-17</t>
        </is>
      </c>
      <c r="E1959" s="37" t="inlineStr">
        <is>
          <t>Aspirant Interaction</t>
        </is>
      </c>
      <c r="F1959" s="37" t="inlineStr">
        <is>
          <t>Ask to show their mobile phones — are they enrolled on Skillfy? If not, get them enrolled and give written feedback to trainers and the AH in your presence.</t>
        </is>
      </c>
      <c r="G1959" s="37" t="inlineStr">
        <is>
          <t>All is Well</t>
        </is>
      </c>
    </row>
    <row r="1960">
      <c r="A1960" s="37" t="inlineStr">
        <is>
          <t>Amit Chakraborty</t>
        </is>
      </c>
      <c r="B1960" s="37" t="inlineStr">
        <is>
          <t>Ghaziabad</t>
        </is>
      </c>
      <c r="C1960" s="37" t="inlineStr">
        <is>
          <t>GROW Youth-CITI</t>
        </is>
      </c>
      <c r="D1960" s="37" t="inlineStr">
        <is>
          <t>2026-07-17</t>
        </is>
      </c>
      <c r="E1960" s="37" t="inlineStr">
        <is>
          <t>Aspirant Interaction</t>
        </is>
      </c>
      <c r="F1960" s="37" t="inlineStr">
        <is>
          <t>Ask about the quality of the hostel and any issues they face.</t>
        </is>
      </c>
      <c r="G1960" s="37" t="inlineStr">
        <is>
          <t>Not Applicable</t>
        </is>
      </c>
    </row>
    <row r="1961">
      <c r="A1961" s="37" t="inlineStr">
        <is>
          <t>Amit Chakraborty</t>
        </is>
      </c>
      <c r="B1961" s="37" t="inlineStr">
        <is>
          <t>Ghaziabad</t>
        </is>
      </c>
      <c r="C1961" s="37" t="inlineStr">
        <is>
          <t>GROW Youth-CITI</t>
        </is>
      </c>
      <c r="D1961" s="37" t="inlineStr">
        <is>
          <t>2026-07-17</t>
        </is>
      </c>
      <c r="E1961" s="37" t="inlineStr">
        <is>
          <t>Aspirant Interaction</t>
        </is>
      </c>
      <c r="F1961" s="37" t="inlineStr">
        <is>
          <t>Ask a few relevant screening questions to support the 10th-day report and remove non-serious candidates, explaining to them the reasons.</t>
        </is>
      </c>
      <c r="G1961" s="37" t="inlineStr">
        <is>
          <t>All is Well</t>
        </is>
      </c>
    </row>
    <row r="1962">
      <c r="A1962" s="37" t="inlineStr">
        <is>
          <t>Sanjay Kumar Tarai</t>
        </is>
      </c>
      <c r="B1962" s="37" t="inlineStr">
        <is>
          <t>Baramunda(Bhubaneswar)</t>
        </is>
      </c>
      <c r="C1962" s="37" t="inlineStr">
        <is>
          <t>GROW-Youth</t>
        </is>
      </c>
      <c r="D1962" s="37" t="inlineStr">
        <is>
          <t>2026-07-22</t>
        </is>
      </c>
      <c r="E1962" s="37" t="inlineStr">
        <is>
          <t>Data Check</t>
        </is>
      </c>
      <c r="F1962" s="37" t="inlineStr">
        <is>
          <t>Reach the centre on time (unannounced) — confirm the centre opened on time.</t>
        </is>
      </c>
      <c r="G1962" s="37" t="inlineStr">
        <is>
          <t>All is Well</t>
        </is>
      </c>
    </row>
    <row r="1963">
      <c r="A1963" s="37" t="inlineStr">
        <is>
          <t>Sanjay Kumar Tarai</t>
        </is>
      </c>
      <c r="B1963" s="37" t="inlineStr">
        <is>
          <t>Baramunda(Bhubaneswar)</t>
        </is>
      </c>
      <c r="C1963" s="37" t="inlineStr">
        <is>
          <t>GROW-Youth</t>
        </is>
      </c>
      <c r="D1963" s="37" t="inlineStr">
        <is>
          <t>2026-07-22</t>
        </is>
      </c>
      <c r="E1963" s="37" t="inlineStr">
        <is>
          <t>Data Check</t>
        </is>
      </c>
      <c r="F1963" s="37" t="inlineStr">
        <is>
          <t>Check the staff attendance register, the Google Sheet, and geo-tagged photos for aspirants.</t>
        </is>
      </c>
      <c r="G1963" s="37" t="inlineStr">
        <is>
          <t>Need Improvement</t>
        </is>
      </c>
    </row>
    <row r="1964">
      <c r="A1964" s="37" t="inlineStr">
        <is>
          <t>Sanjay Kumar Tarai</t>
        </is>
      </c>
      <c r="B1964" s="37" t="inlineStr">
        <is>
          <t>Baramunda(Bhubaneswar)</t>
        </is>
      </c>
      <c r="C1964" s="37" t="inlineStr">
        <is>
          <t>GROW-Youth</t>
        </is>
      </c>
      <c r="D1964" s="37" t="inlineStr">
        <is>
          <t>2026-07-22</t>
        </is>
      </c>
      <c r="E1964" s="37" t="inlineStr">
        <is>
          <t>Data Check</t>
        </is>
      </c>
      <c r="F1964" s="37" t="inlineStr">
        <is>
          <t>Check Counselling and Screening Forms of recently started batches.</t>
        </is>
      </c>
      <c r="G1964" s="37" t="inlineStr">
        <is>
          <t>Need Improvement</t>
        </is>
      </c>
    </row>
    <row r="1965">
      <c r="A1965" s="37" t="inlineStr">
        <is>
          <t>Sanjay Kumar Tarai</t>
        </is>
      </c>
      <c r="B1965" s="37" t="inlineStr">
        <is>
          <t>Baramunda(Bhubaneswar)</t>
        </is>
      </c>
      <c r="C1965" s="37" t="inlineStr">
        <is>
          <t>GROW-Youth</t>
        </is>
      </c>
      <c r="D1965" s="37" t="inlineStr">
        <is>
          <t>2026-07-22</t>
        </is>
      </c>
      <c r="E1965" s="37" t="inlineStr">
        <is>
          <t>Data Check</t>
        </is>
      </c>
      <c r="F1965" s="37" t="inlineStr">
        <is>
          <t>Check Aspirant Registration Forms and related documents.</t>
        </is>
      </c>
      <c r="G1965" s="37" t="inlineStr">
        <is>
          <t>All is Well</t>
        </is>
      </c>
    </row>
    <row r="1966">
      <c r="A1966" s="37" t="inlineStr">
        <is>
          <t>Sanjay Kumar Tarai</t>
        </is>
      </c>
      <c r="B1966" s="37" t="inlineStr">
        <is>
          <t>Baramunda(Bhubaneswar)</t>
        </is>
      </c>
      <c r="C1966" s="37" t="inlineStr">
        <is>
          <t>GROW-Youth</t>
        </is>
      </c>
      <c r="D1966" s="37" t="inlineStr">
        <is>
          <t>2026-07-22</t>
        </is>
      </c>
      <c r="E1966" s="37" t="inlineStr">
        <is>
          <t>Data Check</t>
        </is>
      </c>
      <c r="F1966" s="37" t="inlineStr">
        <is>
          <t>On the GROW portal, confirm all student profile details and batch updates are currect.</t>
        </is>
      </c>
      <c r="G1966" s="37" t="inlineStr">
        <is>
          <t>All is Well</t>
        </is>
      </c>
    </row>
    <row r="1967">
      <c r="A1967" s="37" t="inlineStr">
        <is>
          <t>Sanjay Kumar Tarai</t>
        </is>
      </c>
      <c r="B1967" s="37" t="inlineStr">
        <is>
          <t>Baramunda(Bhubaneswar)</t>
        </is>
      </c>
      <c r="C1967" s="37" t="inlineStr">
        <is>
          <t>GROW-Youth</t>
        </is>
      </c>
      <c r="D1967" s="37" t="inlineStr">
        <is>
          <t>2026-07-22</t>
        </is>
      </c>
      <c r="E1967" s="37" t="inlineStr">
        <is>
          <t>Data Check</t>
        </is>
      </c>
      <c r="F1967" s="37" t="inlineStr">
        <is>
          <t>Verify placement data — randomly call 3–4 alumni placed in the last 3 months to confirm veracity (random selection is essential).</t>
        </is>
      </c>
      <c r="G1967" s="37" t="inlineStr">
        <is>
          <t>All is Well</t>
        </is>
      </c>
    </row>
    <row r="1968">
      <c r="A1968" s="37" t="inlineStr">
        <is>
          <t>Sanjay Kumar Tarai</t>
        </is>
      </c>
      <c r="B1968" s="37" t="inlineStr">
        <is>
          <t>Baramunda(Bhubaneswar)</t>
        </is>
      </c>
      <c r="C1968" s="37" t="inlineStr">
        <is>
          <t>GROW-Youth</t>
        </is>
      </c>
      <c r="D1968" s="37" t="inlineStr">
        <is>
          <t>2026-07-22</t>
        </is>
      </c>
      <c r="E1968" s="37" t="inlineStr">
        <is>
          <t>Data Check</t>
        </is>
      </c>
      <c r="F1968" s="37" t="inlineStr">
        <is>
          <t>Verify retention — check the Alumni Hand-holding Format is being updated as designed.</t>
        </is>
      </c>
      <c r="G1968" s="37" t="inlineStr">
        <is>
          <t>Need Improvement</t>
        </is>
      </c>
    </row>
    <row r="1969">
      <c r="A1969" s="37" t="inlineStr">
        <is>
          <t>Sanjay Kumar Tarai</t>
        </is>
      </c>
      <c r="B1969" s="37" t="inlineStr">
        <is>
          <t>Baramunda(Bhubaneswar)</t>
        </is>
      </c>
      <c r="C1969" s="37" t="inlineStr">
        <is>
          <t>GROW-Youth</t>
        </is>
      </c>
      <c r="D1969" s="37" t="inlineStr">
        <is>
          <t>2026-07-22</t>
        </is>
      </c>
      <c r="E1969" s="37" t="inlineStr">
        <is>
          <t>Data Check</t>
        </is>
      </c>
      <c r="F1969" s="37" t="inlineStr">
        <is>
          <t>Check aspirant Hostel Forms are properly filled or not.</t>
        </is>
      </c>
      <c r="G1969" s="37" t="inlineStr">
        <is>
          <t>Not Applicable</t>
        </is>
      </c>
    </row>
    <row r="1970">
      <c r="A1970" s="37" t="inlineStr">
        <is>
          <t>Sanjay Kumar Tarai</t>
        </is>
      </c>
      <c r="B1970" s="37" t="inlineStr">
        <is>
          <t>Baramunda(Bhubaneswar)</t>
        </is>
      </c>
      <c r="C1970" s="37" t="inlineStr">
        <is>
          <t>GROW-Youth</t>
        </is>
      </c>
      <c r="D1970" s="37" t="inlineStr">
        <is>
          <t>2026-07-22</t>
        </is>
      </c>
      <c r="E1970" s="37" t="inlineStr">
        <is>
          <t>Infra Check</t>
        </is>
      </c>
      <c r="F1970" s="37" t="inlineStr">
        <is>
          <t>Check all CCTV cameras; if any are not working, ask the AH to troubleshoot or call the vendor.</t>
        </is>
      </c>
      <c r="G1970" s="37" t="inlineStr">
        <is>
          <t>All is Well</t>
        </is>
      </c>
    </row>
    <row r="1971">
      <c r="A1971" s="37" t="inlineStr">
        <is>
          <t>Sanjay Kumar Tarai</t>
        </is>
      </c>
      <c r="B1971" s="37" t="inlineStr">
        <is>
          <t>Baramunda(Bhubaneswar)</t>
        </is>
      </c>
      <c r="C1971" s="37" t="inlineStr">
        <is>
          <t>GROW-Youth</t>
        </is>
      </c>
      <c r="D1971" s="37" t="inlineStr">
        <is>
          <t>2026-07-22</t>
        </is>
      </c>
      <c r="E1971" s="37" t="inlineStr">
        <is>
          <t>Infra Check</t>
        </is>
      </c>
      <c r="F1971" s="37" t="inlineStr">
        <is>
          <t>Check for any scrap material and get it cleared, with support of Admin</t>
        </is>
      </c>
      <c r="G1971" s="37" t="inlineStr">
        <is>
          <t>All is Well</t>
        </is>
      </c>
    </row>
    <row r="1972">
      <c r="A1972" s="37" t="inlineStr">
        <is>
          <t>Sanjay Kumar Tarai</t>
        </is>
      </c>
      <c r="B1972" s="37" t="inlineStr">
        <is>
          <t>Baramunda(Bhubaneswar)</t>
        </is>
      </c>
      <c r="C1972" s="37" t="inlineStr">
        <is>
          <t>GROW-Youth</t>
        </is>
      </c>
      <c r="D1972" s="37" t="inlineStr">
        <is>
          <t>2026-07-22</t>
        </is>
      </c>
      <c r="E1972" s="37" t="inlineStr">
        <is>
          <t>Infra Check</t>
        </is>
      </c>
      <c r="F1972" s="37" t="inlineStr">
        <is>
          <t>Check for any pending infra repairs.</t>
        </is>
      </c>
      <c r="G1972" s="37" t="inlineStr">
        <is>
          <t>Need Improvement</t>
        </is>
      </c>
    </row>
    <row r="1973">
      <c r="A1973" s="37" t="inlineStr">
        <is>
          <t>Sanjay Kumar Tarai</t>
        </is>
      </c>
      <c r="B1973" s="37" t="inlineStr">
        <is>
          <t>Baramunda(Bhubaneswar)</t>
        </is>
      </c>
      <c r="C1973" s="37" t="inlineStr">
        <is>
          <t>GROW-Youth</t>
        </is>
      </c>
      <c r="D1973" s="37" t="inlineStr">
        <is>
          <t>2026-07-22</t>
        </is>
      </c>
      <c r="E1973" s="37" t="inlineStr">
        <is>
          <t>Infra Check</t>
        </is>
      </c>
      <c r="F1973" s="37" t="inlineStr">
        <is>
          <t>Check whether any fire extinguishers have expired (check the needle and expiry date both).</t>
        </is>
      </c>
      <c r="G1973" s="37" t="inlineStr">
        <is>
          <t>All is Well</t>
        </is>
      </c>
    </row>
    <row r="1974">
      <c r="A1974" s="37" t="inlineStr">
        <is>
          <t>Sanjay Kumar Tarai</t>
        </is>
      </c>
      <c r="B1974" s="37" t="inlineStr">
        <is>
          <t>Baramunda(Bhubaneswar)</t>
        </is>
      </c>
      <c r="C1974" s="37" t="inlineStr">
        <is>
          <t>GROW-Youth</t>
        </is>
      </c>
      <c r="D1974" s="37" t="inlineStr">
        <is>
          <t>2026-07-22</t>
        </is>
      </c>
      <c r="E1974" s="37" t="inlineStr">
        <is>
          <t>Infra Check</t>
        </is>
      </c>
      <c r="F1974" s="37" t="inlineStr">
        <is>
          <t>Check basic cleanliness of the washrooms and the centre.</t>
        </is>
      </c>
      <c r="G1974" s="37" t="inlineStr">
        <is>
          <t>Need Improvement</t>
        </is>
      </c>
    </row>
    <row r="1975">
      <c r="A1975" s="37" t="inlineStr">
        <is>
          <t>Sanjay Kumar Tarai</t>
        </is>
      </c>
      <c r="B1975" s="37" t="inlineStr">
        <is>
          <t>Baramunda(Bhubaneswar)</t>
        </is>
      </c>
      <c r="C1975" s="37" t="inlineStr">
        <is>
          <t>GROW-Youth</t>
        </is>
      </c>
      <c r="D1975" s="37" t="inlineStr">
        <is>
          <t>2026-07-22</t>
        </is>
      </c>
      <c r="E1975" s="37" t="inlineStr">
        <is>
          <t>Infra Check</t>
        </is>
      </c>
      <c r="F1975" s="37" t="inlineStr">
        <is>
          <t>Confirm the correct program and partner logos are displayed.</t>
        </is>
      </c>
      <c r="G1975" s="37" t="inlineStr">
        <is>
          <t>All is Well</t>
        </is>
      </c>
    </row>
    <row r="1976">
      <c r="A1976" s="37" t="inlineStr">
        <is>
          <t>Sanjay Kumar Tarai</t>
        </is>
      </c>
      <c r="B1976" s="37" t="inlineStr">
        <is>
          <t>Baramunda(Bhubaneswar)</t>
        </is>
      </c>
      <c r="C1976" s="37" t="inlineStr">
        <is>
          <t>GROW-Youth</t>
        </is>
      </c>
      <c r="D1976" s="37" t="inlineStr">
        <is>
          <t>2026-07-22</t>
        </is>
      </c>
      <c r="E1976" s="37" t="inlineStr">
        <is>
          <t>Infra Check</t>
        </is>
      </c>
      <c r="F1976" s="37" t="inlineStr">
        <is>
          <t>Check the status of digital infra — PCs, smartboards, tablets, laptops, etc.</t>
        </is>
      </c>
      <c r="G1976" s="37" t="inlineStr">
        <is>
          <t>Need Improvement</t>
        </is>
      </c>
    </row>
    <row r="1977">
      <c r="A1977" s="37" t="inlineStr">
        <is>
          <t>Sanjay Kumar Tarai</t>
        </is>
      </c>
      <c r="B1977" s="37" t="inlineStr">
        <is>
          <t>Baramunda(Bhubaneswar)</t>
        </is>
      </c>
      <c r="C1977" s="37" t="inlineStr">
        <is>
          <t>GROW-Youth</t>
        </is>
      </c>
      <c r="D1977" s="37" t="inlineStr">
        <is>
          <t>2026-07-22</t>
        </is>
      </c>
      <c r="E1977" s="37" t="inlineStr">
        <is>
          <t>Infra Check</t>
        </is>
      </c>
      <c r="F1977" s="37" t="inlineStr">
        <is>
          <t>Make a quick hostel visit; have lunch there if possible to test the food quality.</t>
        </is>
      </c>
      <c r="G1977" s="37" t="inlineStr">
        <is>
          <t>Not Applicable</t>
        </is>
      </c>
    </row>
    <row r="1978">
      <c r="A1978" s="37" t="inlineStr">
        <is>
          <t>Sanjay Kumar Tarai</t>
        </is>
      </c>
      <c r="B1978" s="37" t="inlineStr">
        <is>
          <t>Baramunda(Bhubaneswar)</t>
        </is>
      </c>
      <c r="C1978" s="37" t="inlineStr">
        <is>
          <t>GROW-Youth</t>
        </is>
      </c>
      <c r="D1978" s="37" t="inlineStr">
        <is>
          <t>2026-07-22</t>
        </is>
      </c>
      <c r="E1978" s="37" t="inlineStr">
        <is>
          <t>Process Check</t>
        </is>
      </c>
      <c r="F1978" s="37" t="inlineStr">
        <is>
          <t>Refer to the activity planner — check if any activities are delayed.</t>
        </is>
      </c>
      <c r="G1978" s="37" t="inlineStr">
        <is>
          <t>All is Well</t>
        </is>
      </c>
    </row>
    <row r="1979">
      <c r="A1979" s="37" t="inlineStr">
        <is>
          <t>Sanjay Kumar Tarai</t>
        </is>
      </c>
      <c r="B1979" s="37" t="inlineStr">
        <is>
          <t>Baramunda(Bhubaneswar)</t>
        </is>
      </c>
      <c r="C1979" s="37" t="inlineStr">
        <is>
          <t>GROW-Youth</t>
        </is>
      </c>
      <c r="D1979" s="37" t="inlineStr">
        <is>
          <t>2026-07-22</t>
        </is>
      </c>
      <c r="E1979" s="37" t="inlineStr">
        <is>
          <t>Process Check</t>
        </is>
      </c>
      <c r="F1979" s="37" t="inlineStr">
        <is>
          <t>Check planning for the next batch-start announcement.</t>
        </is>
      </c>
      <c r="G1979" s="37" t="inlineStr">
        <is>
          <t>All is Well</t>
        </is>
      </c>
    </row>
    <row r="1980">
      <c r="A1980" s="37" t="inlineStr">
        <is>
          <t>Sanjay Kumar Tarai</t>
        </is>
      </c>
      <c r="B1980" s="37" t="inlineStr">
        <is>
          <t>Baramunda(Bhubaneswar)</t>
        </is>
      </c>
      <c r="C1980" s="37" t="inlineStr">
        <is>
          <t>GROW-Youth</t>
        </is>
      </c>
      <c r="D1980" s="37" t="inlineStr">
        <is>
          <t>2026-07-22</t>
        </is>
      </c>
      <c r="E1980" s="37" t="inlineStr">
        <is>
          <t>Process Check</t>
        </is>
      </c>
      <c r="F1980" s="37" t="inlineStr">
        <is>
          <t>Check if any hiring is delayed and plan a resolution.</t>
        </is>
      </c>
      <c r="G1980" s="37" t="inlineStr">
        <is>
          <t>All is Well</t>
        </is>
      </c>
    </row>
    <row r="1981">
      <c r="A1981" s="37" t="inlineStr">
        <is>
          <t>Sanjay Kumar Tarai</t>
        </is>
      </c>
      <c r="B1981" s="37" t="inlineStr">
        <is>
          <t>Baramunda(Bhubaneswar)</t>
        </is>
      </c>
      <c r="C1981" s="37" t="inlineStr">
        <is>
          <t>GROW-Youth</t>
        </is>
      </c>
      <c r="D1981" s="37" t="inlineStr">
        <is>
          <t>2026-07-22</t>
        </is>
      </c>
      <c r="E1981" s="37" t="inlineStr">
        <is>
          <t>Process Check</t>
        </is>
      </c>
      <c r="F1981" s="37" t="inlineStr">
        <is>
          <t>Check the CA’s diary — is CA guided daily by the AH during planning days?</t>
        </is>
      </c>
      <c r="G1981" s="37" t="inlineStr">
        <is>
          <t>Need Improvement</t>
        </is>
      </c>
    </row>
    <row r="1982">
      <c r="A1982" s="37" t="inlineStr">
        <is>
          <t>Sanjay Kumar Tarai</t>
        </is>
      </c>
      <c r="B1982" s="37" t="inlineStr">
        <is>
          <t>Baramunda(Bhubaneswar)</t>
        </is>
      </c>
      <c r="C1982" s="37" t="inlineStr">
        <is>
          <t>GROW-Youth</t>
        </is>
      </c>
      <c r="D1982" s="37" t="inlineStr">
        <is>
          <t>2026-07-22</t>
        </is>
      </c>
      <c r="E1982" s="37" t="inlineStr">
        <is>
          <t>Process Check</t>
        </is>
      </c>
      <c r="F1982" s="37" t="inlineStr">
        <is>
          <t>Check the AH is regularly meeting employers (in person and online) and updating the centre’s Top 20 Employer format.</t>
        </is>
      </c>
      <c r="G1982" s="37" t="inlineStr">
        <is>
          <t>Need Improvement</t>
        </is>
      </c>
    </row>
    <row r="1983">
      <c r="A1983" s="37" t="inlineStr">
        <is>
          <t>Sanjay Kumar Tarai</t>
        </is>
      </c>
      <c r="B1983" s="37" t="inlineStr">
        <is>
          <t>Baramunda(Bhubaneswar)</t>
        </is>
      </c>
      <c r="C1983" s="37" t="inlineStr">
        <is>
          <t>GROW-Youth</t>
        </is>
      </c>
      <c r="D1983" s="37" t="inlineStr">
        <is>
          <t>2026-07-22</t>
        </is>
      </c>
      <c r="E1983" s="37" t="inlineStr">
        <is>
          <t>Process Check</t>
        </is>
      </c>
      <c r="F1983" s="37" t="inlineStr">
        <is>
          <t>Confirm all new employers are registered on portal as per new process.</t>
        </is>
      </c>
      <c r="G1983" s="37" t="inlineStr">
        <is>
          <t>All is Well</t>
        </is>
      </c>
    </row>
    <row r="1984">
      <c r="A1984" s="37" t="inlineStr">
        <is>
          <t>Sanjay Kumar Tarai</t>
        </is>
      </c>
      <c r="B1984" s="37" t="inlineStr">
        <is>
          <t>Baramunda(Bhubaneswar)</t>
        </is>
      </c>
      <c r="C1984" s="37" t="inlineStr">
        <is>
          <t>GROW-Youth</t>
        </is>
      </c>
      <c r="D1984" s="37" t="inlineStr">
        <is>
          <t>2026-07-22</t>
        </is>
      </c>
      <c r="E1984" s="37" t="inlineStr">
        <is>
          <t>Process Check</t>
        </is>
      </c>
      <c r="F1984" s="37" t="inlineStr">
        <is>
          <t>Confirm 100% of enrolled students undergone screening (for technical courses).</t>
        </is>
      </c>
      <c r="G1984" s="37" t="inlineStr">
        <is>
          <t>Not Applicable</t>
        </is>
      </c>
    </row>
    <row r="1985">
      <c r="A1985" s="37" t="inlineStr">
        <is>
          <t>Sanjay Kumar Tarai</t>
        </is>
      </c>
      <c r="B1985" s="37" t="inlineStr">
        <is>
          <t>Baramunda(Bhubaneswar)</t>
        </is>
      </c>
      <c r="C1985" s="37" t="inlineStr">
        <is>
          <t>GROW-Youth</t>
        </is>
      </c>
      <c r="D1985" s="37" t="inlineStr">
        <is>
          <t>2026-07-22</t>
        </is>
      </c>
      <c r="E1985" s="37" t="inlineStr">
        <is>
          <t>Process Check</t>
        </is>
      </c>
      <c r="F1985" s="37" t="inlineStr">
        <is>
          <t>Confirm ESA is done (in GROW full ESA and in Technical courses relevant sections of Core Employability Part).</t>
        </is>
      </c>
      <c r="G1985" s="37" t="inlineStr">
        <is>
          <t>All is Well</t>
        </is>
      </c>
    </row>
    <row r="1986">
      <c r="A1986" s="37" t="inlineStr">
        <is>
          <t>Sanjay Kumar Tarai</t>
        </is>
      </c>
      <c r="B1986" s="37" t="inlineStr">
        <is>
          <t>Baramunda(Bhubaneswar)</t>
        </is>
      </c>
      <c r="C1986" s="37" t="inlineStr">
        <is>
          <t>GROW-Youth</t>
        </is>
      </c>
      <c r="D1986" s="37" t="inlineStr">
        <is>
          <t>2026-07-22</t>
        </is>
      </c>
      <c r="E1986" s="37" t="inlineStr">
        <is>
          <t>Process Check</t>
        </is>
      </c>
      <c r="F1986" s="37" t="inlineStr">
        <is>
          <t>Check is AH giving capstone project in GROW Tech.</t>
        </is>
      </c>
      <c r="G1986" s="37" t="inlineStr">
        <is>
          <t>Not Applicable</t>
        </is>
      </c>
    </row>
    <row r="1987">
      <c r="A1987" s="37" t="inlineStr">
        <is>
          <t>Sanjay Kumar Tarai</t>
        </is>
      </c>
      <c r="B1987" s="37" t="inlineStr">
        <is>
          <t>Baramunda(Bhubaneswar)</t>
        </is>
      </c>
      <c r="C1987" s="37" t="inlineStr">
        <is>
          <t>GROW-Youth</t>
        </is>
      </c>
      <c r="D1987" s="37" t="inlineStr">
        <is>
          <t>2026-07-22</t>
        </is>
      </c>
      <c r="E1987" s="37" t="inlineStr">
        <is>
          <t>Process Check</t>
        </is>
      </c>
      <c r="F1987" s="37" t="inlineStr">
        <is>
          <t>Check is AH planning OJT as per guidelines and proofs are collected for technical courses.</t>
        </is>
      </c>
      <c r="G1987" s="37" t="inlineStr">
        <is>
          <t>Not Applicable</t>
        </is>
      </c>
    </row>
    <row r="1988">
      <c r="A1988" s="37" t="inlineStr">
        <is>
          <t>Sanjay Kumar Tarai</t>
        </is>
      </c>
      <c r="B1988" s="37" t="inlineStr">
        <is>
          <t>Baramunda(Bhubaneswar)</t>
        </is>
      </c>
      <c r="C1988" s="37" t="inlineStr">
        <is>
          <t>GROW-Youth</t>
        </is>
      </c>
      <c r="D1988" s="37" t="inlineStr">
        <is>
          <t>2026-07-22</t>
        </is>
      </c>
      <c r="E1988" s="37" t="inlineStr">
        <is>
          <t>Process Check</t>
        </is>
      </c>
      <c r="F1988" s="37" t="inlineStr">
        <is>
          <t>Check are trainers contacting aspirants to find reason for their absenteeism of more than 1 day.</t>
        </is>
      </c>
      <c r="G1988" s="37" t="inlineStr">
        <is>
          <t>All is Well</t>
        </is>
      </c>
    </row>
    <row r="1989">
      <c r="A1989" s="37" t="inlineStr">
        <is>
          <t>Sanjay Kumar Tarai</t>
        </is>
      </c>
      <c r="B1989" s="37" t="inlineStr">
        <is>
          <t>Baramunda(Bhubaneswar)</t>
        </is>
      </c>
      <c r="C1989" s="37" t="inlineStr">
        <is>
          <t>GROW-Youth</t>
        </is>
      </c>
      <c r="D1989" s="37" t="inlineStr">
        <is>
          <t>2026-07-22</t>
        </is>
      </c>
      <c r="E1989" s="37" t="inlineStr">
        <is>
          <t>Process Check</t>
        </is>
      </c>
      <c r="F1989" s="37" t="inlineStr">
        <is>
          <t>Check the AH plans monthly enrolment and placement numbers by the 3rd of each month and shares them with second level managers.</t>
        </is>
      </c>
      <c r="G1989" s="37" t="inlineStr">
        <is>
          <t>Need Improvement</t>
        </is>
      </c>
    </row>
    <row r="1990">
      <c r="A1990" s="37" t="inlineStr">
        <is>
          <t>Sanjay Kumar Tarai</t>
        </is>
      </c>
      <c r="B1990" s="37" t="inlineStr">
        <is>
          <t>Baramunda(Bhubaneswar)</t>
        </is>
      </c>
      <c r="C1990" s="37" t="inlineStr">
        <is>
          <t>GROW-Youth</t>
        </is>
      </c>
      <c r="D1990" s="37" t="inlineStr">
        <is>
          <t>2026-07-22</t>
        </is>
      </c>
      <c r="E1990" s="37" t="inlineStr">
        <is>
          <t>Process Check</t>
        </is>
      </c>
      <c r="F1990" s="37" t="inlineStr">
        <is>
          <t>Check trainers submit aspirants’ placement interest areas to the AH by the batch’s 25th day (in GROW).</t>
        </is>
      </c>
      <c r="G1990" s="37" t="inlineStr">
        <is>
          <t>All is Well</t>
        </is>
      </c>
    </row>
    <row r="1991">
      <c r="A1991" s="37" t="inlineStr">
        <is>
          <t>Sanjay Kumar Tarai</t>
        </is>
      </c>
      <c r="B1991" s="37" t="inlineStr">
        <is>
          <t>Baramunda(Bhubaneswar)</t>
        </is>
      </c>
      <c r="C1991" s="37" t="inlineStr">
        <is>
          <t>GROW-Youth</t>
        </is>
      </c>
      <c r="D1991" s="37" t="inlineStr">
        <is>
          <t>2026-07-22</t>
        </is>
      </c>
      <c r="E1991" s="37" t="inlineStr">
        <is>
          <t>Process Check</t>
        </is>
      </c>
      <c r="F1991" s="37" t="inlineStr">
        <is>
          <t>Ckeck For technical programs, placement is done only in technical jobs,on which aspirants are trained and relevant emplyers are identified by 45th day.</t>
        </is>
      </c>
      <c r="G1991" s="37" t="inlineStr">
        <is>
          <t>Not Applicable</t>
        </is>
      </c>
    </row>
    <row r="1992">
      <c r="A1992" s="37" t="inlineStr">
        <is>
          <t>Sanjay Kumar Tarai</t>
        </is>
      </c>
      <c r="B1992" s="37" t="inlineStr">
        <is>
          <t>Baramunda(Bhubaneswar)</t>
        </is>
      </c>
      <c r="C1992" s="37" t="inlineStr">
        <is>
          <t>GROW-Youth</t>
        </is>
      </c>
      <c r="D1992" s="37" t="inlineStr">
        <is>
          <t>2026-07-22</t>
        </is>
      </c>
      <c r="E1992" s="37" t="inlineStr">
        <is>
          <t>Process Check</t>
        </is>
      </c>
      <c r="F1992" s="37" t="inlineStr">
        <is>
          <t>Check the AH follows EP guidelines and minimum benchmark salary guidelines.</t>
        </is>
      </c>
      <c r="G1992" s="37" t="inlineStr">
        <is>
          <t>All is Well</t>
        </is>
      </c>
    </row>
    <row r="1993">
      <c r="A1993" s="37" t="inlineStr">
        <is>
          <t>Sanjay Kumar Tarai</t>
        </is>
      </c>
      <c r="B1993" s="37" t="inlineStr">
        <is>
          <t>Baramunda(Bhubaneswar)</t>
        </is>
      </c>
      <c r="C1993" s="37" t="inlineStr">
        <is>
          <t>GROW-Youth</t>
        </is>
      </c>
      <c r="D1993" s="37" t="inlineStr">
        <is>
          <t>2026-07-22</t>
        </is>
      </c>
      <c r="E1993" s="37" t="inlineStr">
        <is>
          <t>Process Check</t>
        </is>
      </c>
      <c r="F1993" s="37" t="inlineStr">
        <is>
          <t>Check that AH is enrolling only the right traget group in the program -as per the defined target.</t>
        </is>
      </c>
      <c r="G1993" s="37" t="inlineStr">
        <is>
          <t>All is Well</t>
        </is>
      </c>
    </row>
    <row r="1994">
      <c r="A1994" s="37" t="inlineStr">
        <is>
          <t>Sanjay Kumar Tarai</t>
        </is>
      </c>
      <c r="B1994" s="37" t="inlineStr">
        <is>
          <t>Baramunda(Bhubaneswar)</t>
        </is>
      </c>
      <c r="C1994" s="37" t="inlineStr">
        <is>
          <t>GROW-Youth</t>
        </is>
      </c>
      <c r="D1994" s="37" t="inlineStr">
        <is>
          <t>2026-07-22</t>
        </is>
      </c>
      <c r="E1994" s="37" t="inlineStr">
        <is>
          <t>Process Check</t>
        </is>
      </c>
      <c r="F1994" s="37" t="inlineStr">
        <is>
          <t>Check the AH announces the next batch-start date by the 3rd of the month on all notice boards — focus on Zero-Day start.</t>
        </is>
      </c>
      <c r="G1994" s="37" t="inlineStr">
        <is>
          <t>Need Improvement</t>
        </is>
      </c>
    </row>
    <row r="1995">
      <c r="A1995" s="37" t="inlineStr">
        <is>
          <t>Sanjay Kumar Tarai</t>
        </is>
      </c>
      <c r="B1995" s="37" t="inlineStr">
        <is>
          <t>Baramunda(Bhubaneswar)</t>
        </is>
      </c>
      <c r="C1995" s="37" t="inlineStr">
        <is>
          <t>GROW-Youth</t>
        </is>
      </c>
      <c r="D1995" s="37" t="inlineStr">
        <is>
          <t>2026-07-22</t>
        </is>
      </c>
      <c r="E1995" s="37" t="inlineStr">
        <is>
          <t>Process Check</t>
        </is>
      </c>
      <c r="F1995" s="37" t="inlineStr">
        <is>
          <t>Check the Aspirant Mock Interview Score Tracker is updated after every mock interview in the L&amp;D Google Sheet.</t>
        </is>
      </c>
      <c r="G1995" s="37" t="inlineStr">
        <is>
          <t>All is Well</t>
        </is>
      </c>
    </row>
    <row r="1996">
      <c r="A1996" s="37" t="inlineStr">
        <is>
          <t>Sanjay Kumar Tarai</t>
        </is>
      </c>
      <c r="B1996" s="37" t="inlineStr">
        <is>
          <t>Baramunda(Bhubaneswar)</t>
        </is>
      </c>
      <c r="C1996" s="37" t="inlineStr">
        <is>
          <t>GROW-Youth</t>
        </is>
      </c>
      <c r="D1996" s="37" t="inlineStr">
        <is>
          <t>2026-07-22</t>
        </is>
      </c>
      <c r="E1996" s="37" t="inlineStr">
        <is>
          <t>Process Check</t>
        </is>
      </c>
      <c r="F1996" s="37" t="inlineStr">
        <is>
          <t>Confirm NPS (Net Promoter Score) is collected at MSDF centres.</t>
        </is>
      </c>
      <c r="G1996" s="37" t="inlineStr">
        <is>
          <t>Not Applicable</t>
        </is>
      </c>
    </row>
    <row r="1997">
      <c r="A1997" s="37" t="inlineStr">
        <is>
          <t>Sanjay Kumar Tarai</t>
        </is>
      </c>
      <c r="B1997" s="37" t="inlineStr">
        <is>
          <t>Baramunda(Bhubaneswar)</t>
        </is>
      </c>
      <c r="C1997" s="37" t="inlineStr">
        <is>
          <t>GROW-Youth</t>
        </is>
      </c>
      <c r="D1997" s="37" t="inlineStr">
        <is>
          <t>2026-07-22</t>
        </is>
      </c>
      <c r="E1997" s="37" t="inlineStr">
        <is>
          <t>Process Check</t>
        </is>
      </c>
      <c r="F1997" s="37" t="inlineStr">
        <is>
          <t>Confirm that QAE is collecting student feedback for every batch.</t>
        </is>
      </c>
      <c r="G1997" s="37" t="inlineStr">
        <is>
          <t>All is Well</t>
        </is>
      </c>
    </row>
    <row r="1998">
      <c r="A1998" s="37" t="inlineStr">
        <is>
          <t>Sanjay Kumar Tarai</t>
        </is>
      </c>
      <c r="B1998" s="37" t="inlineStr">
        <is>
          <t>Baramunda(Bhubaneswar)</t>
        </is>
      </c>
      <c r="C1998" s="37" t="inlineStr">
        <is>
          <t>GROW-Youth</t>
        </is>
      </c>
      <c r="D1998" s="37" t="inlineStr">
        <is>
          <t>2026-07-22</t>
        </is>
      </c>
      <c r="E1998" s="37" t="inlineStr">
        <is>
          <t>Process Check</t>
        </is>
      </c>
      <c r="F1998" s="37" t="inlineStr">
        <is>
          <t>Confirm all centre teams have completed the GROW Manual Course on Skillfy — ask for achievement certificates.</t>
        </is>
      </c>
      <c r="G1998" s="37" t="inlineStr">
        <is>
          <t>Need Improvement</t>
        </is>
      </c>
    </row>
    <row r="1999">
      <c r="A1999" s="37" t="inlineStr">
        <is>
          <t>Sanjay Kumar Tarai</t>
        </is>
      </c>
      <c r="B1999" s="37" t="inlineStr">
        <is>
          <t>Baramunda(Bhubaneswar)</t>
        </is>
      </c>
      <c r="C1999" s="37" t="inlineStr">
        <is>
          <t>GROW-Youth</t>
        </is>
      </c>
      <c r="D1999" s="37" t="inlineStr">
        <is>
          <t>2026-07-22</t>
        </is>
      </c>
      <c r="E1999" s="37" t="inlineStr">
        <is>
          <t>Process Check</t>
        </is>
      </c>
      <c r="F1999" s="37" t="inlineStr">
        <is>
          <t>Check AH holds a quality weekly team meeting, documents action points in the weekly meeting format, and sends you a photo on WhatsApp.</t>
        </is>
      </c>
      <c r="G1999" s="37" t="inlineStr">
        <is>
          <t>Need Improvement</t>
        </is>
      </c>
    </row>
    <row r="2000">
      <c r="A2000" s="37" t="inlineStr">
        <is>
          <t>Sanjay Kumar Tarai</t>
        </is>
      </c>
      <c r="B2000" s="37" t="inlineStr">
        <is>
          <t>Baramunda(Bhubaneswar)</t>
        </is>
      </c>
      <c r="C2000" s="37" t="inlineStr">
        <is>
          <t>GROW-Youth</t>
        </is>
      </c>
      <c r="D2000" s="37" t="inlineStr">
        <is>
          <t>2026-07-22</t>
        </is>
      </c>
      <c r="E2000" s="37" t="inlineStr">
        <is>
          <t>Aspirant Interaction</t>
        </is>
      </c>
      <c r="F2000" s="37" t="inlineStr">
        <is>
          <t>Ask aspirants about the session plan — confirm training is happening as planned?</t>
        </is>
      </c>
      <c r="G2000" s="37" t="inlineStr">
        <is>
          <t>All is Well</t>
        </is>
      </c>
    </row>
    <row r="2001">
      <c r="A2001" s="37" t="inlineStr">
        <is>
          <t>Sanjay Kumar Tarai</t>
        </is>
      </c>
      <c r="B2001" s="37" t="inlineStr">
        <is>
          <t>Baramunda(Bhubaneswar)</t>
        </is>
      </c>
      <c r="C2001" s="37" t="inlineStr">
        <is>
          <t>GROW-Youth</t>
        </is>
      </c>
      <c r="D2001" s="37" t="inlineStr">
        <is>
          <t>2026-07-22</t>
        </is>
      </c>
      <c r="E2001" s="37" t="inlineStr">
        <is>
          <t>Aspirant Interaction</t>
        </is>
      </c>
      <c r="F2001" s="37" t="inlineStr">
        <is>
          <t>Ask about the quality of Core Employability component delivery (technical centres) and who delivers it.</t>
        </is>
      </c>
      <c r="G2001" s="37" t="inlineStr">
        <is>
          <t>Not Applicable</t>
        </is>
      </c>
    </row>
    <row r="2002">
      <c r="A2002" s="37" t="inlineStr">
        <is>
          <t>Sanjay Kumar Tarai</t>
        </is>
      </c>
      <c r="B2002" s="37" t="inlineStr">
        <is>
          <t>Baramunda(Bhubaneswar)</t>
        </is>
      </c>
      <c r="C2002" s="37" t="inlineStr">
        <is>
          <t>GROW-Youth</t>
        </is>
      </c>
      <c r="D2002" s="37" t="inlineStr">
        <is>
          <t>2026-07-22</t>
        </is>
      </c>
      <c r="E2002" s="37" t="inlineStr">
        <is>
          <t>Aspirant Interaction</t>
        </is>
      </c>
      <c r="F2002" s="37" t="inlineStr">
        <is>
          <t>Ask whether they are aware of the referral scheme?</t>
        </is>
      </c>
      <c r="G2002" s="37" t="inlineStr">
        <is>
          <t>All is Well</t>
        </is>
      </c>
    </row>
    <row r="2003">
      <c r="A2003" s="37" t="inlineStr">
        <is>
          <t>Sanjay Kumar Tarai</t>
        </is>
      </c>
      <c r="B2003" s="37" t="inlineStr">
        <is>
          <t>Baramunda(Bhubaneswar)</t>
        </is>
      </c>
      <c r="C2003" s="37" t="inlineStr">
        <is>
          <t>GROW-Youth</t>
        </is>
      </c>
      <c r="D2003" s="37" t="inlineStr">
        <is>
          <t>2026-07-22</t>
        </is>
      </c>
      <c r="E2003" s="37" t="inlineStr">
        <is>
          <t>Aspirant Interaction</t>
        </is>
      </c>
      <c r="F2003" s="37" t="inlineStr">
        <is>
          <t>Ask whether the AH explained the importance of the offer letter and sharing it with us once received for reporting purposes?</t>
        </is>
      </c>
      <c r="G2003" s="37" t="inlineStr">
        <is>
          <t>All is Well</t>
        </is>
      </c>
    </row>
    <row r="2004">
      <c r="A2004" s="37" t="inlineStr">
        <is>
          <t>Sanjay Kumar Tarai</t>
        </is>
      </c>
      <c r="B2004" s="37" t="inlineStr">
        <is>
          <t>Baramunda(Bhubaneswar)</t>
        </is>
      </c>
      <c r="C2004" s="37" t="inlineStr">
        <is>
          <t>GROW-Youth</t>
        </is>
      </c>
      <c r="D2004" s="37" t="inlineStr">
        <is>
          <t>2026-07-22</t>
        </is>
      </c>
      <c r="E2004" s="37" t="inlineStr">
        <is>
          <t>Aspirant Interaction</t>
        </is>
      </c>
      <c r="F2004" s="37" t="inlineStr">
        <is>
          <t>Ask how many are not interested in jobs — and if so, why they enrolled in the programme?</t>
        </is>
      </c>
      <c r="G2004" s="37" t="inlineStr">
        <is>
          <t>All is Well</t>
        </is>
      </c>
    </row>
    <row r="2005">
      <c r="A2005" s="37" t="inlineStr">
        <is>
          <t>Sanjay Kumar Tarai</t>
        </is>
      </c>
      <c r="B2005" s="37" t="inlineStr">
        <is>
          <t>Baramunda(Bhubaneswar)</t>
        </is>
      </c>
      <c r="C2005" s="37" t="inlineStr">
        <is>
          <t>GROW-Youth</t>
        </is>
      </c>
      <c r="D2005" s="37" t="inlineStr">
        <is>
          <t>2026-07-22</t>
        </is>
      </c>
      <c r="E2005" s="37" t="inlineStr">
        <is>
          <t>Aspirant Interaction</t>
        </is>
      </c>
      <c r="F2005" s="37" t="inlineStr">
        <is>
          <t>Ask whether they were told the kind of job they would get during counselling?</t>
        </is>
      </c>
      <c r="G2005" s="37" t="inlineStr">
        <is>
          <t>All is Well</t>
        </is>
      </c>
    </row>
    <row r="2006">
      <c r="A2006" s="37" t="inlineStr">
        <is>
          <t>Sanjay Kumar Tarai</t>
        </is>
      </c>
      <c r="B2006" s="37" t="inlineStr">
        <is>
          <t>Baramunda(Bhubaneswar)</t>
        </is>
      </c>
      <c r="C2006" s="37" t="inlineStr">
        <is>
          <t>GROW-Youth</t>
        </is>
      </c>
      <c r="D2006" s="37" t="inlineStr">
        <is>
          <t>2026-07-22</t>
        </is>
      </c>
      <c r="E2006" s="37" t="inlineStr">
        <is>
          <t>Aspirant Interaction</t>
        </is>
      </c>
      <c r="F2006" s="37" t="inlineStr">
        <is>
          <t>Ask whether they have been given LMS access?</t>
        </is>
      </c>
      <c r="G2006" s="37" t="inlineStr">
        <is>
          <t>All is Well</t>
        </is>
      </c>
    </row>
    <row r="2007">
      <c r="A2007" s="37" t="inlineStr">
        <is>
          <t>Sanjay Kumar Tarai</t>
        </is>
      </c>
      <c r="B2007" s="37" t="inlineStr">
        <is>
          <t>Baramunda(Bhubaneswar)</t>
        </is>
      </c>
      <c r="C2007" s="37" t="inlineStr">
        <is>
          <t>GROW-Youth</t>
        </is>
      </c>
      <c r="D2007" s="37" t="inlineStr">
        <is>
          <t>2026-07-22</t>
        </is>
      </c>
      <c r="E2007" s="37" t="inlineStr">
        <is>
          <t>Aspirant Interaction</t>
        </is>
      </c>
      <c r="F2007" s="37" t="inlineStr">
        <is>
          <t>Ask whether anyone asked them for money for training or placement?</t>
        </is>
      </c>
      <c r="G2007" s="37" t="inlineStr">
        <is>
          <t>All is Well</t>
        </is>
      </c>
    </row>
    <row r="2008">
      <c r="A2008" s="37" t="inlineStr">
        <is>
          <t>Sanjay Kumar Tarai</t>
        </is>
      </c>
      <c r="B2008" s="37" t="inlineStr">
        <is>
          <t>Baramunda(Bhubaneswar)</t>
        </is>
      </c>
      <c r="C2008" s="37" t="inlineStr">
        <is>
          <t>GROW-Youth</t>
        </is>
      </c>
      <c r="D2008" s="37" t="inlineStr">
        <is>
          <t>2026-07-22</t>
        </is>
      </c>
      <c r="E2008" s="37" t="inlineStr">
        <is>
          <t>Aspirant Interaction</t>
        </is>
      </c>
      <c r="F2008" s="37" t="inlineStr">
        <is>
          <t>Ask to show their mobile phones — are they enrolled on Skillfy? If not, get them enrolled and give written feedback to trainers and the AH in your presence.</t>
        </is>
      </c>
      <c r="G2008" s="37" t="inlineStr">
        <is>
          <t>All is Well</t>
        </is>
      </c>
    </row>
    <row r="2009">
      <c r="A2009" s="37" t="inlineStr">
        <is>
          <t>Sanjay Kumar Tarai</t>
        </is>
      </c>
      <c r="B2009" s="37" t="inlineStr">
        <is>
          <t>Baramunda(Bhubaneswar)</t>
        </is>
      </c>
      <c r="C2009" s="37" t="inlineStr">
        <is>
          <t>GROW-Youth</t>
        </is>
      </c>
      <c r="D2009" s="37" t="inlineStr">
        <is>
          <t>2026-07-22</t>
        </is>
      </c>
      <c r="E2009" s="37" t="inlineStr">
        <is>
          <t>Aspirant Interaction</t>
        </is>
      </c>
      <c r="F2009" s="37" t="inlineStr">
        <is>
          <t>Ask about the quality of the hostel and any issues they face.</t>
        </is>
      </c>
      <c r="G2009" s="37" t="inlineStr">
        <is>
          <t>Not Applicable</t>
        </is>
      </c>
    </row>
    <row r="2010">
      <c r="A2010" s="37" t="inlineStr">
        <is>
          <t>Sanjay Kumar Tarai</t>
        </is>
      </c>
      <c r="B2010" s="37" t="inlineStr">
        <is>
          <t>Baramunda(Bhubaneswar)</t>
        </is>
      </c>
      <c r="C2010" s="37" t="inlineStr">
        <is>
          <t>GROW-Youth</t>
        </is>
      </c>
      <c r="D2010" s="37" t="inlineStr">
        <is>
          <t>2026-07-22</t>
        </is>
      </c>
      <c r="E2010" s="37" t="inlineStr">
        <is>
          <t>Aspirant Interaction</t>
        </is>
      </c>
      <c r="F2010" s="37" t="inlineStr">
        <is>
          <t>Ask a few relevant screening questions to support the 10th-day report and remove non-serious candidates, explaining to them the reasons.</t>
        </is>
      </c>
      <c r="G2010" s="37" t="inlineStr">
        <is>
          <t>All is Well</t>
        </is>
      </c>
    </row>
    <row r="2011">
      <c r="A2011" s="37" t="inlineStr">
        <is>
          <t>Amit Chakraborty</t>
        </is>
      </c>
      <c r="B2011" s="37" t="inlineStr">
        <is>
          <t>Dankuni</t>
        </is>
      </c>
      <c r="C2011" s="37" t="inlineStr">
        <is>
          <t>Grow Youth-CITI</t>
        </is>
      </c>
      <c r="D2011" s="37" t="inlineStr">
        <is>
          <t>2026-07-21</t>
        </is>
      </c>
      <c r="E2011" s="37" t="inlineStr">
        <is>
          <t>Data Check</t>
        </is>
      </c>
      <c r="F2011" s="37" t="inlineStr">
        <is>
          <t>Reach the centre on time (unannounced) — confirm the centre opened on time.</t>
        </is>
      </c>
      <c r="G2011" s="37" t="inlineStr">
        <is>
          <t>All is Well</t>
        </is>
      </c>
    </row>
    <row r="2012">
      <c r="A2012" s="37" t="inlineStr">
        <is>
          <t>Amit Chakraborty</t>
        </is>
      </c>
      <c r="B2012" s="37" t="inlineStr">
        <is>
          <t>Dankuni</t>
        </is>
      </c>
      <c r="C2012" s="37" t="inlineStr">
        <is>
          <t>Grow Youth-CITI</t>
        </is>
      </c>
      <c r="D2012" s="37" t="inlineStr">
        <is>
          <t>2026-07-21</t>
        </is>
      </c>
      <c r="E2012" s="37" t="inlineStr">
        <is>
          <t>Data Check</t>
        </is>
      </c>
      <c r="F2012" s="37" t="inlineStr">
        <is>
          <t>Check the staff attendance register, the Google Sheet, and geo-tagged photos for aspirants.</t>
        </is>
      </c>
      <c r="G2012" s="37" t="inlineStr">
        <is>
          <t>All is Well</t>
        </is>
      </c>
    </row>
    <row r="2013">
      <c r="A2013" s="37" t="inlineStr">
        <is>
          <t>Amit Chakraborty</t>
        </is>
      </c>
      <c r="B2013" s="37" t="inlineStr">
        <is>
          <t>Dankuni</t>
        </is>
      </c>
      <c r="C2013" s="37" t="inlineStr">
        <is>
          <t>Grow Youth-CITI</t>
        </is>
      </c>
      <c r="D2013" s="37" t="inlineStr">
        <is>
          <t>2026-07-21</t>
        </is>
      </c>
      <c r="E2013" s="37" t="inlineStr">
        <is>
          <t>Data Check</t>
        </is>
      </c>
      <c r="F2013" s="37" t="inlineStr">
        <is>
          <t>Check Counselling and Screening Forms of recently started batches.</t>
        </is>
      </c>
      <c r="G2013" s="37" t="inlineStr">
        <is>
          <t>All is Well</t>
        </is>
      </c>
    </row>
    <row r="2014">
      <c r="A2014" s="37" t="inlineStr">
        <is>
          <t>Amit Chakraborty</t>
        </is>
      </c>
      <c r="B2014" s="37" t="inlineStr">
        <is>
          <t>Dankuni</t>
        </is>
      </c>
      <c r="C2014" s="37" t="inlineStr">
        <is>
          <t>Grow Youth-CITI</t>
        </is>
      </c>
      <c r="D2014" s="37" t="inlineStr">
        <is>
          <t>2026-07-21</t>
        </is>
      </c>
      <c r="E2014" s="37" t="inlineStr">
        <is>
          <t>Data Check</t>
        </is>
      </c>
      <c r="F2014" s="37" t="inlineStr">
        <is>
          <t>Check Aspirant Registration Forms and related documents.</t>
        </is>
      </c>
      <c r="G2014" s="37" t="inlineStr">
        <is>
          <t>All is Well</t>
        </is>
      </c>
    </row>
    <row r="2015">
      <c r="A2015" s="37" t="inlineStr">
        <is>
          <t>Amit Chakraborty</t>
        </is>
      </c>
      <c r="B2015" s="37" t="inlineStr">
        <is>
          <t>Dankuni</t>
        </is>
      </c>
      <c r="C2015" s="37" t="inlineStr">
        <is>
          <t>Grow Youth-CITI</t>
        </is>
      </c>
      <c r="D2015" s="37" t="inlineStr">
        <is>
          <t>2026-07-21</t>
        </is>
      </c>
      <c r="E2015" s="37" t="inlineStr">
        <is>
          <t>Data Check</t>
        </is>
      </c>
      <c r="F2015" s="37" t="inlineStr">
        <is>
          <t>On the GROW portal, confirm all student profile details and batch updates are currect.</t>
        </is>
      </c>
      <c r="G2015" s="37" t="inlineStr">
        <is>
          <t>All is Well</t>
        </is>
      </c>
    </row>
    <row r="2016">
      <c r="A2016" s="37" t="inlineStr">
        <is>
          <t>Amit Chakraborty</t>
        </is>
      </c>
      <c r="B2016" s="37" t="inlineStr">
        <is>
          <t>Dankuni</t>
        </is>
      </c>
      <c r="C2016" s="37" t="inlineStr">
        <is>
          <t>Grow Youth-CITI</t>
        </is>
      </c>
      <c r="D2016" s="37" t="inlineStr">
        <is>
          <t>2026-07-21</t>
        </is>
      </c>
      <c r="E2016" s="37" t="inlineStr">
        <is>
          <t>Data Check</t>
        </is>
      </c>
      <c r="F2016" s="37" t="inlineStr">
        <is>
          <t>Verify placement data — randomly call 3–4 alumni placed in the last 3 months to confirm veracity (random selection is essential).</t>
        </is>
      </c>
      <c r="G2016" s="37" t="inlineStr">
        <is>
          <t>Not Applicable</t>
        </is>
      </c>
    </row>
    <row r="2017">
      <c r="A2017" s="37" t="inlineStr">
        <is>
          <t>Amit Chakraborty</t>
        </is>
      </c>
      <c r="B2017" s="37" t="inlineStr">
        <is>
          <t>Dankuni</t>
        </is>
      </c>
      <c r="C2017" s="37" t="inlineStr">
        <is>
          <t>Grow Youth-CITI</t>
        </is>
      </c>
      <c r="D2017" s="37" t="inlineStr">
        <is>
          <t>2026-07-21</t>
        </is>
      </c>
      <c r="E2017" s="37" t="inlineStr">
        <is>
          <t>Data Check</t>
        </is>
      </c>
      <c r="F2017" s="37" t="inlineStr">
        <is>
          <t>Verify retention — check the Alumni Hand-holding Format is being updated as designed.</t>
        </is>
      </c>
      <c r="G2017" s="37" t="inlineStr">
        <is>
          <t>All is Well</t>
        </is>
      </c>
    </row>
    <row r="2018">
      <c r="A2018" s="37" t="inlineStr">
        <is>
          <t>Amit Chakraborty</t>
        </is>
      </c>
      <c r="B2018" s="37" t="inlineStr">
        <is>
          <t>Dankuni</t>
        </is>
      </c>
      <c r="C2018" s="37" t="inlineStr">
        <is>
          <t>Grow Youth-CITI</t>
        </is>
      </c>
      <c r="D2018" s="37" t="inlineStr">
        <is>
          <t>2026-07-21</t>
        </is>
      </c>
      <c r="E2018" s="37" t="inlineStr">
        <is>
          <t>Data Check</t>
        </is>
      </c>
      <c r="F2018" s="37" t="inlineStr">
        <is>
          <t>Check aspirant Hostel Forms are properly filled or not.</t>
        </is>
      </c>
      <c r="G2018" s="37" t="inlineStr">
        <is>
          <t>Not Applicable</t>
        </is>
      </c>
    </row>
    <row r="2019">
      <c r="A2019" s="37" t="inlineStr">
        <is>
          <t>Amit Chakraborty</t>
        </is>
      </c>
      <c r="B2019" s="37" t="inlineStr">
        <is>
          <t>Dankuni</t>
        </is>
      </c>
      <c r="C2019" s="37" t="inlineStr">
        <is>
          <t>Grow Youth-CITI</t>
        </is>
      </c>
      <c r="D2019" s="37" t="inlineStr">
        <is>
          <t>2026-07-21</t>
        </is>
      </c>
      <c r="E2019" s="37" t="inlineStr">
        <is>
          <t>Infra Check</t>
        </is>
      </c>
      <c r="F2019" s="37" t="inlineStr">
        <is>
          <t>Check all CCTV cameras; if any are not working, ask the AH to troubleshoot or call the vendor.</t>
        </is>
      </c>
      <c r="G2019" s="37" t="inlineStr">
        <is>
          <t>All is Well</t>
        </is>
      </c>
    </row>
    <row r="2020">
      <c r="A2020" s="37" t="inlineStr">
        <is>
          <t>Amit Chakraborty</t>
        </is>
      </c>
      <c r="B2020" s="37" t="inlineStr">
        <is>
          <t>Dankuni</t>
        </is>
      </c>
      <c r="C2020" s="37" t="inlineStr">
        <is>
          <t>Grow Youth-CITI</t>
        </is>
      </c>
      <c r="D2020" s="37" t="inlineStr">
        <is>
          <t>2026-07-21</t>
        </is>
      </c>
      <c r="E2020" s="37" t="inlineStr">
        <is>
          <t>Infra Check</t>
        </is>
      </c>
      <c r="F2020" s="37" t="inlineStr">
        <is>
          <t>Check for any scrap material and get it cleared, with support of Admin</t>
        </is>
      </c>
      <c r="G2020" s="37" t="inlineStr">
        <is>
          <t>All is Well</t>
        </is>
      </c>
    </row>
    <row r="2021">
      <c r="A2021" s="37" t="inlineStr">
        <is>
          <t>Amit Chakraborty</t>
        </is>
      </c>
      <c r="B2021" s="37" t="inlineStr">
        <is>
          <t>Dankuni</t>
        </is>
      </c>
      <c r="C2021" s="37" t="inlineStr">
        <is>
          <t>Grow Youth-CITI</t>
        </is>
      </c>
      <c r="D2021" s="37" t="inlineStr">
        <is>
          <t>2026-07-21</t>
        </is>
      </c>
      <c r="E2021" s="37" t="inlineStr">
        <is>
          <t>Infra Check</t>
        </is>
      </c>
      <c r="F2021" s="37" t="inlineStr">
        <is>
          <t>Check for any pending infra repairs.</t>
        </is>
      </c>
      <c r="G2021" s="37" t="inlineStr">
        <is>
          <t>All is Well</t>
        </is>
      </c>
    </row>
    <row r="2022">
      <c r="A2022" s="37" t="inlineStr">
        <is>
          <t>Amit Chakraborty</t>
        </is>
      </c>
      <c r="B2022" s="37" t="inlineStr">
        <is>
          <t>Dankuni</t>
        </is>
      </c>
      <c r="C2022" s="37" t="inlineStr">
        <is>
          <t>Grow Youth-CITI</t>
        </is>
      </c>
      <c r="D2022" s="37" t="inlineStr">
        <is>
          <t>2026-07-21</t>
        </is>
      </c>
      <c r="E2022" s="37" t="inlineStr">
        <is>
          <t>Infra Check</t>
        </is>
      </c>
      <c r="F2022" s="37" t="inlineStr">
        <is>
          <t>Check whether any fire extinguishers have expired (check the needle and expiry date both).</t>
        </is>
      </c>
      <c r="G2022" s="37" t="inlineStr">
        <is>
          <t>All is Well</t>
        </is>
      </c>
    </row>
    <row r="2023">
      <c r="A2023" s="37" t="inlineStr">
        <is>
          <t>Amit Chakraborty</t>
        </is>
      </c>
      <c r="B2023" s="37" t="inlineStr">
        <is>
          <t>Dankuni</t>
        </is>
      </c>
      <c r="C2023" s="37" t="inlineStr">
        <is>
          <t>Grow Youth-CITI</t>
        </is>
      </c>
      <c r="D2023" s="37" t="inlineStr">
        <is>
          <t>2026-07-21</t>
        </is>
      </c>
      <c r="E2023" s="37" t="inlineStr">
        <is>
          <t>Infra Check</t>
        </is>
      </c>
      <c r="F2023" s="37" t="inlineStr">
        <is>
          <t>Check basic cleanliness of the washrooms and the centre.</t>
        </is>
      </c>
      <c r="G2023" s="37" t="inlineStr">
        <is>
          <t>All is Well</t>
        </is>
      </c>
    </row>
    <row r="2024">
      <c r="A2024" s="37" t="inlineStr">
        <is>
          <t>Amit Chakraborty</t>
        </is>
      </c>
      <c r="B2024" s="37" t="inlineStr">
        <is>
          <t>Dankuni</t>
        </is>
      </c>
      <c r="C2024" s="37" t="inlineStr">
        <is>
          <t>Grow Youth-CITI</t>
        </is>
      </c>
      <c r="D2024" s="37" t="inlineStr">
        <is>
          <t>2026-07-21</t>
        </is>
      </c>
      <c r="E2024" s="37" t="inlineStr">
        <is>
          <t>Infra Check</t>
        </is>
      </c>
      <c r="F2024" s="37" t="inlineStr">
        <is>
          <t>Confirm the correct program and partner logos are displayed.</t>
        </is>
      </c>
      <c r="G2024" s="37" t="inlineStr">
        <is>
          <t>Need Improvement</t>
        </is>
      </c>
    </row>
    <row r="2025">
      <c r="A2025" s="37" t="inlineStr">
        <is>
          <t>Amit Chakraborty</t>
        </is>
      </c>
      <c r="B2025" s="37" t="inlineStr">
        <is>
          <t>Dankuni</t>
        </is>
      </c>
      <c r="C2025" s="37" t="inlineStr">
        <is>
          <t>Grow Youth-CITI</t>
        </is>
      </c>
      <c r="D2025" s="37" t="inlineStr">
        <is>
          <t>2026-07-21</t>
        </is>
      </c>
      <c r="E2025" s="37" t="inlineStr">
        <is>
          <t>Infra Check</t>
        </is>
      </c>
      <c r="F2025" s="37" t="inlineStr">
        <is>
          <t>Check the status of digital infra — PCs, smartboards, tablets, laptops, etc.</t>
        </is>
      </c>
      <c r="G2025" s="37" t="inlineStr">
        <is>
          <t>All is Well</t>
        </is>
      </c>
    </row>
    <row r="2026">
      <c r="A2026" s="37" t="inlineStr">
        <is>
          <t>Amit Chakraborty</t>
        </is>
      </c>
      <c r="B2026" s="37" t="inlineStr">
        <is>
          <t>Dankuni</t>
        </is>
      </c>
      <c r="C2026" s="37" t="inlineStr">
        <is>
          <t>Grow Youth-CITI</t>
        </is>
      </c>
      <c r="D2026" s="37" t="inlineStr">
        <is>
          <t>2026-07-21</t>
        </is>
      </c>
      <c r="E2026" s="37" t="inlineStr">
        <is>
          <t>Infra Check</t>
        </is>
      </c>
      <c r="F2026" s="37" t="inlineStr">
        <is>
          <t>Make a quick hostel visit; have lunch there if possible to test the food quality.</t>
        </is>
      </c>
      <c r="G2026" s="37" t="inlineStr">
        <is>
          <t>Not Applicable</t>
        </is>
      </c>
    </row>
    <row r="2027">
      <c r="A2027" s="37" t="inlineStr">
        <is>
          <t>Amit Chakraborty</t>
        </is>
      </c>
      <c r="B2027" s="37" t="inlineStr">
        <is>
          <t>Dankuni</t>
        </is>
      </c>
      <c r="C2027" s="37" t="inlineStr">
        <is>
          <t>Grow Youth-CITI</t>
        </is>
      </c>
      <c r="D2027" s="37" t="inlineStr">
        <is>
          <t>2026-07-21</t>
        </is>
      </c>
      <c r="E2027" s="37" t="inlineStr">
        <is>
          <t>Process Check</t>
        </is>
      </c>
      <c r="F2027" s="37" t="inlineStr">
        <is>
          <t>Refer to the activity planner — check if any activities are delayed.</t>
        </is>
      </c>
      <c r="G2027" s="37" t="inlineStr">
        <is>
          <t>All is Well</t>
        </is>
      </c>
    </row>
    <row r="2028">
      <c r="A2028" s="37" t="inlineStr">
        <is>
          <t>Amit Chakraborty</t>
        </is>
      </c>
      <c r="B2028" s="37" t="inlineStr">
        <is>
          <t>Dankuni</t>
        </is>
      </c>
      <c r="C2028" s="37" t="inlineStr">
        <is>
          <t>Grow Youth-CITI</t>
        </is>
      </c>
      <c r="D2028" s="37" t="inlineStr">
        <is>
          <t>2026-07-21</t>
        </is>
      </c>
      <c r="E2028" s="37" t="inlineStr">
        <is>
          <t>Process Check</t>
        </is>
      </c>
      <c r="F2028" s="37" t="inlineStr">
        <is>
          <t>Check planning for the next batch-start announcement.</t>
        </is>
      </c>
      <c r="G2028" s="37" t="inlineStr">
        <is>
          <t>All is Well</t>
        </is>
      </c>
    </row>
    <row r="2029">
      <c r="A2029" s="37" t="inlineStr">
        <is>
          <t>Amit Chakraborty</t>
        </is>
      </c>
      <c r="B2029" s="37" t="inlineStr">
        <is>
          <t>Dankuni</t>
        </is>
      </c>
      <c r="C2029" s="37" t="inlineStr">
        <is>
          <t>Grow Youth-CITI</t>
        </is>
      </c>
      <c r="D2029" s="37" t="inlineStr">
        <is>
          <t>2026-07-21</t>
        </is>
      </c>
      <c r="E2029" s="37" t="inlineStr">
        <is>
          <t>Process Check</t>
        </is>
      </c>
      <c r="F2029" s="37" t="inlineStr">
        <is>
          <t>Check if any hiring is delayed and plan a resolution.</t>
        </is>
      </c>
      <c r="G2029" s="37" t="inlineStr">
        <is>
          <t>All is Well</t>
        </is>
      </c>
    </row>
    <row r="2030">
      <c r="A2030" s="37" t="inlineStr">
        <is>
          <t>Amit Chakraborty</t>
        </is>
      </c>
      <c r="B2030" s="37" t="inlineStr">
        <is>
          <t>Dankuni</t>
        </is>
      </c>
      <c r="C2030" s="37" t="inlineStr">
        <is>
          <t>Grow Youth-CITI</t>
        </is>
      </c>
      <c r="D2030" s="37" t="inlineStr">
        <is>
          <t>2026-07-21</t>
        </is>
      </c>
      <c r="E2030" s="37" t="inlineStr">
        <is>
          <t>Process Check</t>
        </is>
      </c>
      <c r="F2030" s="37" t="inlineStr">
        <is>
          <t>Check the CA’s diary — is CA guided daily by the AH during planning days?</t>
        </is>
      </c>
      <c r="G2030" s="37" t="inlineStr">
        <is>
          <t>Need Improvement</t>
        </is>
      </c>
    </row>
    <row r="2031">
      <c r="A2031" s="37" t="inlineStr">
        <is>
          <t>Amit Chakraborty</t>
        </is>
      </c>
      <c r="B2031" s="37" t="inlineStr">
        <is>
          <t>Dankuni</t>
        </is>
      </c>
      <c r="C2031" s="37" t="inlineStr">
        <is>
          <t>Grow Youth-CITI</t>
        </is>
      </c>
      <c r="D2031" s="37" t="inlineStr">
        <is>
          <t>2026-07-21</t>
        </is>
      </c>
      <c r="E2031" s="37" t="inlineStr">
        <is>
          <t>Process Check</t>
        </is>
      </c>
      <c r="F2031" s="37" t="inlineStr">
        <is>
          <t>Check the AH is regularly meeting employers (in person and online) and updating the centre’s Top 20 Employer format.</t>
        </is>
      </c>
      <c r="G2031" s="37" t="inlineStr">
        <is>
          <t>All is Well</t>
        </is>
      </c>
    </row>
    <row r="2032">
      <c r="A2032" s="37" t="inlineStr">
        <is>
          <t>Amit Chakraborty</t>
        </is>
      </c>
      <c r="B2032" s="37" t="inlineStr">
        <is>
          <t>Dankuni</t>
        </is>
      </c>
      <c r="C2032" s="37" t="inlineStr">
        <is>
          <t>Grow Youth-CITI</t>
        </is>
      </c>
      <c r="D2032" s="37" t="inlineStr">
        <is>
          <t>2026-07-21</t>
        </is>
      </c>
      <c r="E2032" s="37" t="inlineStr">
        <is>
          <t>Process Check</t>
        </is>
      </c>
      <c r="F2032" s="37" t="inlineStr">
        <is>
          <t>Confirm all new employers are registered on portal as per new process.</t>
        </is>
      </c>
      <c r="G2032" s="37" t="inlineStr">
        <is>
          <t>All is Well</t>
        </is>
      </c>
    </row>
    <row r="2033">
      <c r="A2033" s="37" t="inlineStr">
        <is>
          <t>Amit Chakraborty</t>
        </is>
      </c>
      <c r="B2033" s="37" t="inlineStr">
        <is>
          <t>Dankuni</t>
        </is>
      </c>
      <c r="C2033" s="37" t="inlineStr">
        <is>
          <t>Grow Youth-CITI</t>
        </is>
      </c>
      <c r="D2033" s="37" t="inlineStr">
        <is>
          <t>2026-07-21</t>
        </is>
      </c>
      <c r="E2033" s="37" t="inlineStr">
        <is>
          <t>Process Check</t>
        </is>
      </c>
      <c r="F2033" s="37" t="inlineStr">
        <is>
          <t>Confirm 100% of enrolled students undergone screening (for technical courses).</t>
        </is>
      </c>
      <c r="G2033" s="37" t="inlineStr">
        <is>
          <t>Not Applicable</t>
        </is>
      </c>
    </row>
    <row r="2034">
      <c r="A2034" s="37" t="inlineStr">
        <is>
          <t>Amit Chakraborty</t>
        </is>
      </c>
      <c r="B2034" s="37" t="inlineStr">
        <is>
          <t>Dankuni</t>
        </is>
      </c>
      <c r="C2034" s="37" t="inlineStr">
        <is>
          <t>Grow Youth-CITI</t>
        </is>
      </c>
      <c r="D2034" s="37" t="inlineStr">
        <is>
          <t>2026-07-21</t>
        </is>
      </c>
      <c r="E2034" s="37" t="inlineStr">
        <is>
          <t>Process Check</t>
        </is>
      </c>
      <c r="F2034" s="37" t="inlineStr">
        <is>
          <t>Confirm ESA is done (in GROW full ESA and in Technical courses relevant sections of Core Employability Part).</t>
        </is>
      </c>
      <c r="G2034" s="37" t="inlineStr">
        <is>
          <t>All is Well</t>
        </is>
      </c>
    </row>
    <row r="2035">
      <c r="A2035" s="37" t="inlineStr">
        <is>
          <t>Amit Chakraborty</t>
        </is>
      </c>
      <c r="B2035" s="37" t="inlineStr">
        <is>
          <t>Dankuni</t>
        </is>
      </c>
      <c r="C2035" s="37" t="inlineStr">
        <is>
          <t>Grow Youth-CITI</t>
        </is>
      </c>
      <c r="D2035" s="37" t="inlineStr">
        <is>
          <t>2026-07-21</t>
        </is>
      </c>
      <c r="E2035" s="37" t="inlineStr">
        <is>
          <t>Process Check</t>
        </is>
      </c>
      <c r="F2035" s="37" t="inlineStr">
        <is>
          <t>Check is AH giving capstone project in GROW Tech.</t>
        </is>
      </c>
      <c r="G2035" s="37" t="inlineStr">
        <is>
          <t>Not Applicable</t>
        </is>
      </c>
    </row>
    <row r="2036">
      <c r="A2036" s="37" t="inlineStr">
        <is>
          <t>Amit Chakraborty</t>
        </is>
      </c>
      <c r="B2036" s="37" t="inlineStr">
        <is>
          <t>Dankuni</t>
        </is>
      </c>
      <c r="C2036" s="37" t="inlineStr">
        <is>
          <t>Grow Youth-CITI</t>
        </is>
      </c>
      <c r="D2036" s="37" t="inlineStr">
        <is>
          <t>2026-07-21</t>
        </is>
      </c>
      <c r="E2036" s="37" t="inlineStr">
        <is>
          <t>Process Check</t>
        </is>
      </c>
      <c r="F2036" s="37" t="inlineStr">
        <is>
          <t>Check is AH planning OJT as per guidelines and proofs are collected for technical courses.</t>
        </is>
      </c>
      <c r="G2036" s="37" t="inlineStr">
        <is>
          <t>Not Applicable</t>
        </is>
      </c>
    </row>
    <row r="2037">
      <c r="A2037" s="37" t="inlineStr">
        <is>
          <t>Amit Chakraborty</t>
        </is>
      </c>
      <c r="B2037" s="37" t="inlineStr">
        <is>
          <t>Dankuni</t>
        </is>
      </c>
      <c r="C2037" s="37" t="inlineStr">
        <is>
          <t>Grow Youth-CITI</t>
        </is>
      </c>
      <c r="D2037" s="37" t="inlineStr">
        <is>
          <t>2026-07-21</t>
        </is>
      </c>
      <c r="E2037" s="37" t="inlineStr">
        <is>
          <t>Process Check</t>
        </is>
      </c>
      <c r="F2037" s="37" t="inlineStr">
        <is>
          <t>Check are trainers contacting aspirants to find reason for their absenteeism of more than 1 day.</t>
        </is>
      </c>
      <c r="G2037" s="37" t="inlineStr">
        <is>
          <t>All is Well</t>
        </is>
      </c>
    </row>
    <row r="2038">
      <c r="A2038" s="37" t="inlineStr">
        <is>
          <t>Amit Chakraborty</t>
        </is>
      </c>
      <c r="B2038" s="37" t="inlineStr">
        <is>
          <t>Dankuni</t>
        </is>
      </c>
      <c r="C2038" s="37" t="inlineStr">
        <is>
          <t>Grow Youth-CITI</t>
        </is>
      </c>
      <c r="D2038" s="37" t="inlineStr">
        <is>
          <t>2026-07-21</t>
        </is>
      </c>
      <c r="E2038" s="37" t="inlineStr">
        <is>
          <t>Process Check</t>
        </is>
      </c>
      <c r="F2038" s="37" t="inlineStr">
        <is>
          <t>Check the AH plans monthly enrolment and placement numbers by the 3rd of each month and shares them with second level managers.</t>
        </is>
      </c>
      <c r="G2038" s="37" t="inlineStr">
        <is>
          <t>All is Well</t>
        </is>
      </c>
    </row>
    <row r="2039">
      <c r="A2039" s="37" t="inlineStr">
        <is>
          <t>Amit Chakraborty</t>
        </is>
      </c>
      <c r="B2039" s="37" t="inlineStr">
        <is>
          <t>Dankuni</t>
        </is>
      </c>
      <c r="C2039" s="37" t="inlineStr">
        <is>
          <t>Grow Youth-CITI</t>
        </is>
      </c>
      <c r="D2039" s="37" t="inlineStr">
        <is>
          <t>2026-07-21</t>
        </is>
      </c>
      <c r="E2039" s="37" t="inlineStr">
        <is>
          <t>Process Check</t>
        </is>
      </c>
      <c r="F2039" s="37" t="inlineStr">
        <is>
          <t>Check trainers submit aspirants’ placement interest areas to the AH by the batch’s 25th day (in GROW).</t>
        </is>
      </c>
      <c r="G2039" s="37" t="inlineStr">
        <is>
          <t>All is Well</t>
        </is>
      </c>
    </row>
    <row r="2040">
      <c r="A2040" s="37" t="inlineStr">
        <is>
          <t>Amit Chakraborty</t>
        </is>
      </c>
      <c r="B2040" s="37" t="inlineStr">
        <is>
          <t>Dankuni</t>
        </is>
      </c>
      <c r="C2040" s="37" t="inlineStr">
        <is>
          <t>Grow Youth-CITI</t>
        </is>
      </c>
      <c r="D2040" s="37" t="inlineStr">
        <is>
          <t>2026-07-21</t>
        </is>
      </c>
      <c r="E2040" s="37" t="inlineStr">
        <is>
          <t>Process Check</t>
        </is>
      </c>
      <c r="F2040" s="37" t="inlineStr">
        <is>
          <t>Ckeck For technical programs, placement is done only in technical jobs,on which aspirants are trained and relevant emplyers are identified by 45th day.</t>
        </is>
      </c>
      <c r="G2040" s="37" t="inlineStr">
        <is>
          <t>Not Applicable</t>
        </is>
      </c>
    </row>
    <row r="2041">
      <c r="A2041" s="37" t="inlineStr">
        <is>
          <t>Amit Chakraborty</t>
        </is>
      </c>
      <c r="B2041" s="37" t="inlineStr">
        <is>
          <t>Dankuni</t>
        </is>
      </c>
      <c r="C2041" s="37" t="inlineStr">
        <is>
          <t>Grow Youth-CITI</t>
        </is>
      </c>
      <c r="D2041" s="37" t="inlineStr">
        <is>
          <t>2026-07-21</t>
        </is>
      </c>
      <c r="E2041" s="37" t="inlineStr">
        <is>
          <t>Process Check</t>
        </is>
      </c>
      <c r="F2041" s="37" t="inlineStr">
        <is>
          <t>Check the AH follows EP guidelines and minimum benchmark salary guidelines.</t>
        </is>
      </c>
      <c r="G2041" s="37" t="inlineStr">
        <is>
          <t>All is Well</t>
        </is>
      </c>
    </row>
    <row r="2042">
      <c r="A2042" s="37" t="inlineStr">
        <is>
          <t>Amit Chakraborty</t>
        </is>
      </c>
      <c r="B2042" s="37" t="inlineStr">
        <is>
          <t>Dankuni</t>
        </is>
      </c>
      <c r="C2042" s="37" t="inlineStr">
        <is>
          <t>Grow Youth-CITI</t>
        </is>
      </c>
      <c r="D2042" s="37" t="inlineStr">
        <is>
          <t>2026-07-21</t>
        </is>
      </c>
      <c r="E2042" s="37" t="inlineStr">
        <is>
          <t>Process Check</t>
        </is>
      </c>
      <c r="F2042" s="37" t="inlineStr">
        <is>
          <t>Check that AH is enrolling only the right traget group in the program -as per the defined target.</t>
        </is>
      </c>
      <c r="G2042" s="37" t="inlineStr">
        <is>
          <t>All is Well</t>
        </is>
      </c>
    </row>
    <row r="2043">
      <c r="A2043" s="37" t="inlineStr">
        <is>
          <t>Amit Chakraborty</t>
        </is>
      </c>
      <c r="B2043" s="37" t="inlineStr">
        <is>
          <t>Dankuni</t>
        </is>
      </c>
      <c r="C2043" s="37" t="inlineStr">
        <is>
          <t>Grow Youth-CITI</t>
        </is>
      </c>
      <c r="D2043" s="37" t="inlineStr">
        <is>
          <t>2026-07-21</t>
        </is>
      </c>
      <c r="E2043" s="37" t="inlineStr">
        <is>
          <t>Process Check</t>
        </is>
      </c>
      <c r="F2043" s="37" t="inlineStr">
        <is>
          <t>Check the AH announces the next batch-start date by the 3rd of the month on all notice boards — focus on Zero-Day start.</t>
        </is>
      </c>
      <c r="G2043" s="37" t="inlineStr">
        <is>
          <t>All is Well</t>
        </is>
      </c>
    </row>
    <row r="2044">
      <c r="A2044" s="37" t="inlineStr">
        <is>
          <t>Amit Chakraborty</t>
        </is>
      </c>
      <c r="B2044" s="37" t="inlineStr">
        <is>
          <t>Dankuni</t>
        </is>
      </c>
      <c r="C2044" s="37" t="inlineStr">
        <is>
          <t>Grow Youth-CITI</t>
        </is>
      </c>
      <c r="D2044" s="37" t="inlineStr">
        <is>
          <t>2026-07-21</t>
        </is>
      </c>
      <c r="E2044" s="37" t="inlineStr">
        <is>
          <t>Process Check</t>
        </is>
      </c>
      <c r="F2044" s="37" t="inlineStr">
        <is>
          <t>Check the Aspirant Mock Interview Score Tracker is updated after every mock interview in the L&amp;D Google Sheet.</t>
        </is>
      </c>
      <c r="G2044" s="37" t="inlineStr">
        <is>
          <t>All is Well</t>
        </is>
      </c>
    </row>
    <row r="2045">
      <c r="A2045" s="37" t="inlineStr">
        <is>
          <t>Amit Chakraborty</t>
        </is>
      </c>
      <c r="B2045" s="37" t="inlineStr">
        <is>
          <t>Dankuni</t>
        </is>
      </c>
      <c r="C2045" s="37" t="inlineStr">
        <is>
          <t>Grow Youth-CITI</t>
        </is>
      </c>
      <c r="D2045" s="37" t="inlineStr">
        <is>
          <t>2026-07-21</t>
        </is>
      </c>
      <c r="E2045" s="37" t="inlineStr">
        <is>
          <t>Process Check</t>
        </is>
      </c>
      <c r="F2045" s="37" t="inlineStr">
        <is>
          <t>Confirm NPS (Net Promoter Score) is collected at MSDF centres.</t>
        </is>
      </c>
      <c r="G2045" s="37" t="inlineStr">
        <is>
          <t>Not Applicable</t>
        </is>
      </c>
    </row>
    <row r="2046">
      <c r="A2046" s="37" t="inlineStr">
        <is>
          <t>Amit Chakraborty</t>
        </is>
      </c>
      <c r="B2046" s="37" t="inlineStr">
        <is>
          <t>Dankuni</t>
        </is>
      </c>
      <c r="C2046" s="37" t="inlineStr">
        <is>
          <t>Grow Youth-CITI</t>
        </is>
      </c>
      <c r="D2046" s="37" t="inlineStr">
        <is>
          <t>2026-07-21</t>
        </is>
      </c>
      <c r="E2046" s="37" t="inlineStr">
        <is>
          <t>Process Check</t>
        </is>
      </c>
      <c r="F2046" s="37" t="inlineStr">
        <is>
          <t>Confirm that QAE is collecting student feedback for every batch.</t>
        </is>
      </c>
      <c r="G2046" s="37" t="inlineStr">
        <is>
          <t>All is Well</t>
        </is>
      </c>
    </row>
    <row r="2047">
      <c r="A2047" s="37" t="inlineStr">
        <is>
          <t>Amit Chakraborty</t>
        </is>
      </c>
      <c r="B2047" s="37" t="inlineStr">
        <is>
          <t>Dankuni</t>
        </is>
      </c>
      <c r="C2047" s="37" t="inlineStr">
        <is>
          <t>Grow Youth-CITI</t>
        </is>
      </c>
      <c r="D2047" s="37" t="inlineStr">
        <is>
          <t>2026-07-21</t>
        </is>
      </c>
      <c r="E2047" s="37" t="inlineStr">
        <is>
          <t>Process Check</t>
        </is>
      </c>
      <c r="F2047" s="37" t="inlineStr">
        <is>
          <t>Confirm all centre teams have completed the GROW Manual Course on Skillfy — ask for achievement certificates.</t>
        </is>
      </c>
      <c r="G2047" s="37" t="inlineStr">
        <is>
          <t>All is Well</t>
        </is>
      </c>
    </row>
    <row r="2048">
      <c r="A2048" s="37" t="inlineStr">
        <is>
          <t>Amit Chakraborty</t>
        </is>
      </c>
      <c r="B2048" s="37" t="inlineStr">
        <is>
          <t>Dankuni</t>
        </is>
      </c>
      <c r="C2048" s="37" t="inlineStr">
        <is>
          <t>Grow Youth-CITI</t>
        </is>
      </c>
      <c r="D2048" s="37" t="inlineStr">
        <is>
          <t>2026-07-21</t>
        </is>
      </c>
      <c r="E2048" s="37" t="inlineStr">
        <is>
          <t>Process Check</t>
        </is>
      </c>
      <c r="F2048" s="37" t="inlineStr">
        <is>
          <t>Check AH holds a quality weekly team meeting, documents action points in the weekly meeting format, and sends you a photo on WhatsApp.</t>
        </is>
      </c>
      <c r="G2048" s="37" t="inlineStr">
        <is>
          <t>All is Well</t>
        </is>
      </c>
    </row>
    <row r="2049">
      <c r="A2049" s="37" t="inlineStr">
        <is>
          <t>Amit Chakraborty</t>
        </is>
      </c>
      <c r="B2049" s="37" t="inlineStr">
        <is>
          <t>Dankuni</t>
        </is>
      </c>
      <c r="C2049" s="37" t="inlineStr">
        <is>
          <t>Grow Youth-CITI</t>
        </is>
      </c>
      <c r="D2049" s="37" t="inlineStr">
        <is>
          <t>2026-07-21</t>
        </is>
      </c>
      <c r="E2049" s="37" t="inlineStr">
        <is>
          <t>Aspirant Interaction</t>
        </is>
      </c>
      <c r="F2049" s="37" t="inlineStr">
        <is>
          <t>Ask aspirants about the session plan — confirm training is happening as planned?</t>
        </is>
      </c>
      <c r="G2049" s="37" t="inlineStr">
        <is>
          <t>All is Well</t>
        </is>
      </c>
    </row>
    <row r="2050">
      <c r="A2050" s="37" t="inlineStr">
        <is>
          <t>Amit Chakraborty</t>
        </is>
      </c>
      <c r="B2050" s="37" t="inlineStr">
        <is>
          <t>Dankuni</t>
        </is>
      </c>
      <c r="C2050" s="37" t="inlineStr">
        <is>
          <t>Grow Youth-CITI</t>
        </is>
      </c>
      <c r="D2050" s="37" t="inlineStr">
        <is>
          <t>2026-07-21</t>
        </is>
      </c>
      <c r="E2050" s="37" t="inlineStr">
        <is>
          <t>Aspirant Interaction</t>
        </is>
      </c>
      <c r="F2050" s="37" t="inlineStr">
        <is>
          <t>Ask about the quality of Core Employability component delivery (technical centres) and who delivers it.</t>
        </is>
      </c>
      <c r="G2050" s="37" t="inlineStr">
        <is>
          <t>Not Applicable</t>
        </is>
      </c>
    </row>
    <row r="2051">
      <c r="A2051" s="37" t="inlineStr">
        <is>
          <t>Amit Chakraborty</t>
        </is>
      </c>
      <c r="B2051" s="37" t="inlineStr">
        <is>
          <t>Dankuni</t>
        </is>
      </c>
      <c r="C2051" s="37" t="inlineStr">
        <is>
          <t>Grow Youth-CITI</t>
        </is>
      </c>
      <c r="D2051" s="37" t="inlineStr">
        <is>
          <t>2026-07-21</t>
        </is>
      </c>
      <c r="E2051" s="37" t="inlineStr">
        <is>
          <t>Aspirant Interaction</t>
        </is>
      </c>
      <c r="F2051" s="37" t="inlineStr">
        <is>
          <t>Ask whether they are aware of the referral scheme?</t>
        </is>
      </c>
      <c r="G2051" s="37" t="inlineStr">
        <is>
          <t>All is Well</t>
        </is>
      </c>
    </row>
    <row r="2052">
      <c r="A2052" s="37" t="inlineStr">
        <is>
          <t>Amit Chakraborty</t>
        </is>
      </c>
      <c r="B2052" s="37" t="inlineStr">
        <is>
          <t>Dankuni</t>
        </is>
      </c>
      <c r="C2052" s="37" t="inlineStr">
        <is>
          <t>Grow Youth-CITI</t>
        </is>
      </c>
      <c r="D2052" s="37" t="inlineStr">
        <is>
          <t>2026-07-21</t>
        </is>
      </c>
      <c r="E2052" s="37" t="inlineStr">
        <is>
          <t>Aspirant Interaction</t>
        </is>
      </c>
      <c r="F2052" s="37" t="inlineStr">
        <is>
          <t>Ask whether the AH explained the importance of the offer letter and sharing it with us once received for reporting purposes?</t>
        </is>
      </c>
      <c r="G2052" s="37" t="inlineStr">
        <is>
          <t>All is Well</t>
        </is>
      </c>
    </row>
    <row r="2053">
      <c r="A2053" s="37" t="inlineStr">
        <is>
          <t>Amit Chakraborty</t>
        </is>
      </c>
      <c r="B2053" s="37" t="inlineStr">
        <is>
          <t>Dankuni</t>
        </is>
      </c>
      <c r="C2053" s="37" t="inlineStr">
        <is>
          <t>Grow Youth-CITI</t>
        </is>
      </c>
      <c r="D2053" s="37" t="inlineStr">
        <is>
          <t>2026-07-21</t>
        </is>
      </c>
      <c r="E2053" s="37" t="inlineStr">
        <is>
          <t>Aspirant Interaction</t>
        </is>
      </c>
      <c r="F2053" s="37" t="inlineStr">
        <is>
          <t>Ask how many are not interested in jobs — and if so, why they enrolled in the programme?</t>
        </is>
      </c>
      <c r="G2053" s="37" t="inlineStr">
        <is>
          <t>All is Well</t>
        </is>
      </c>
    </row>
    <row r="2054">
      <c r="A2054" s="37" t="inlineStr">
        <is>
          <t>Amit Chakraborty</t>
        </is>
      </c>
      <c r="B2054" s="37" t="inlineStr">
        <is>
          <t>Dankuni</t>
        </is>
      </c>
      <c r="C2054" s="37" t="inlineStr">
        <is>
          <t>Grow Youth-CITI</t>
        </is>
      </c>
      <c r="D2054" s="37" t="inlineStr">
        <is>
          <t>2026-07-21</t>
        </is>
      </c>
      <c r="E2054" s="37" t="inlineStr">
        <is>
          <t>Aspirant Interaction</t>
        </is>
      </c>
      <c r="F2054" s="37" t="inlineStr">
        <is>
          <t>Ask whether they were told the kind of job they would get during counselling?</t>
        </is>
      </c>
      <c r="G2054" s="37" t="inlineStr">
        <is>
          <t>All is Well</t>
        </is>
      </c>
    </row>
    <row r="2055">
      <c r="A2055" s="37" t="inlineStr">
        <is>
          <t>Amit Chakraborty</t>
        </is>
      </c>
      <c r="B2055" s="37" t="inlineStr">
        <is>
          <t>Dankuni</t>
        </is>
      </c>
      <c r="C2055" s="37" t="inlineStr">
        <is>
          <t>Grow Youth-CITI</t>
        </is>
      </c>
      <c r="D2055" s="37" t="inlineStr">
        <is>
          <t>2026-07-21</t>
        </is>
      </c>
      <c r="E2055" s="37" t="inlineStr">
        <is>
          <t>Aspirant Interaction</t>
        </is>
      </c>
      <c r="F2055" s="37" t="inlineStr">
        <is>
          <t>Ask whether they have been given LMS access?</t>
        </is>
      </c>
      <c r="G2055" s="37" t="inlineStr">
        <is>
          <t>All is Well</t>
        </is>
      </c>
    </row>
    <row r="2056">
      <c r="A2056" s="37" t="inlineStr">
        <is>
          <t>Amit Chakraborty</t>
        </is>
      </c>
      <c r="B2056" s="37" t="inlineStr">
        <is>
          <t>Dankuni</t>
        </is>
      </c>
      <c r="C2056" s="37" t="inlineStr">
        <is>
          <t>Grow Youth-CITI</t>
        </is>
      </c>
      <c r="D2056" s="37" t="inlineStr">
        <is>
          <t>2026-07-21</t>
        </is>
      </c>
      <c r="E2056" s="37" t="inlineStr">
        <is>
          <t>Aspirant Interaction</t>
        </is>
      </c>
      <c r="F2056" s="37" t="inlineStr">
        <is>
          <t>Ask whether anyone asked them for money for training or placement?</t>
        </is>
      </c>
      <c r="G2056" s="37" t="inlineStr">
        <is>
          <t>All is Well</t>
        </is>
      </c>
    </row>
    <row r="2057">
      <c r="A2057" s="37" t="inlineStr">
        <is>
          <t>Amit Chakraborty</t>
        </is>
      </c>
      <c r="B2057" s="37" t="inlineStr">
        <is>
          <t>Dankuni</t>
        </is>
      </c>
      <c r="C2057" s="37" t="inlineStr">
        <is>
          <t>Grow Youth-CITI</t>
        </is>
      </c>
      <c r="D2057" s="37" t="inlineStr">
        <is>
          <t>2026-07-21</t>
        </is>
      </c>
      <c r="E2057" s="37" t="inlineStr">
        <is>
          <t>Aspirant Interaction</t>
        </is>
      </c>
      <c r="F2057" s="37" t="inlineStr">
        <is>
          <t>Ask to show their mobile phones — are they enrolled on Skillfy? If not, get them enrolled and give written feedback to trainers and the AH in your presence.</t>
        </is>
      </c>
      <c r="G2057" s="37" t="inlineStr">
        <is>
          <t>All is Well</t>
        </is>
      </c>
    </row>
    <row r="2058">
      <c r="A2058" s="37" t="inlineStr">
        <is>
          <t>Amit Chakraborty</t>
        </is>
      </c>
      <c r="B2058" s="37" t="inlineStr">
        <is>
          <t>Dankuni</t>
        </is>
      </c>
      <c r="C2058" s="37" t="inlineStr">
        <is>
          <t>Grow Youth-CITI</t>
        </is>
      </c>
      <c r="D2058" s="37" t="inlineStr">
        <is>
          <t>2026-07-21</t>
        </is>
      </c>
      <c r="E2058" s="37" t="inlineStr">
        <is>
          <t>Aspirant Interaction</t>
        </is>
      </c>
      <c r="F2058" s="37" t="inlineStr">
        <is>
          <t>Ask about the quality of the hostel and any issues they face.</t>
        </is>
      </c>
      <c r="G2058" s="37" t="inlineStr">
        <is>
          <t>Not Applicable</t>
        </is>
      </c>
    </row>
    <row r="2059">
      <c r="A2059" s="37" t="inlineStr">
        <is>
          <t>Amit Chakraborty</t>
        </is>
      </c>
      <c r="B2059" s="37" t="inlineStr">
        <is>
          <t>Dankuni</t>
        </is>
      </c>
      <c r="C2059" s="37" t="inlineStr">
        <is>
          <t>Grow Youth-CITI</t>
        </is>
      </c>
      <c r="D2059" s="37" t="inlineStr">
        <is>
          <t>2026-07-21</t>
        </is>
      </c>
      <c r="E2059" s="37" t="inlineStr">
        <is>
          <t>Aspirant Interaction</t>
        </is>
      </c>
      <c r="F2059" s="37" t="inlineStr">
        <is>
          <t>Ask a few relevant screening questions to support the 10th-day report and remove non-serious candidates, explaining to them the reasons.</t>
        </is>
      </c>
      <c r="G2059" s="37" t="inlineStr">
        <is>
          <t>All is Well</t>
        </is>
      </c>
    </row>
    <row r="2060">
      <c r="A2060" s="37" t="inlineStr">
        <is>
          <t>Bhargav Challa</t>
        </is>
      </c>
      <c r="B2060" s="37" t="inlineStr">
        <is>
          <t>Nalgonda</t>
        </is>
      </c>
      <c r="C2060" s="37" t="inlineStr">
        <is>
          <t>Grow Youth</t>
        </is>
      </c>
      <c r="D2060" s="37" t="inlineStr">
        <is>
          <t>2026-07-20</t>
        </is>
      </c>
      <c r="E2060" s="37" t="inlineStr">
        <is>
          <t>Data Check</t>
        </is>
      </c>
      <c r="F2060" s="37" t="inlineStr">
        <is>
          <t>Reach the centre on time (unannounced) — confirm the centre opened on time.</t>
        </is>
      </c>
      <c r="G2060" s="37" t="inlineStr">
        <is>
          <t>All is Well</t>
        </is>
      </c>
    </row>
    <row r="2061">
      <c r="A2061" s="37" t="inlineStr">
        <is>
          <t>Bhargav Challa</t>
        </is>
      </c>
      <c r="B2061" s="37" t="inlineStr">
        <is>
          <t>Nalgonda</t>
        </is>
      </c>
      <c r="C2061" s="37" t="inlineStr">
        <is>
          <t>Grow Youth</t>
        </is>
      </c>
      <c r="D2061" s="37" t="inlineStr">
        <is>
          <t>2026-07-20</t>
        </is>
      </c>
      <c r="E2061" s="37" t="inlineStr">
        <is>
          <t>Data Check</t>
        </is>
      </c>
      <c r="F2061" s="37" t="inlineStr">
        <is>
          <t>Check the staff attendance register, the Google Sheet, and geo-tagged photos for aspirants.</t>
        </is>
      </c>
      <c r="G2061" s="37" t="inlineStr">
        <is>
          <t>All is Well</t>
        </is>
      </c>
    </row>
    <row r="2062">
      <c r="A2062" s="37" t="inlineStr">
        <is>
          <t>Bhargav Challa</t>
        </is>
      </c>
      <c r="B2062" s="37" t="inlineStr">
        <is>
          <t>Nalgonda</t>
        </is>
      </c>
      <c r="C2062" s="37" t="inlineStr">
        <is>
          <t>Grow Youth</t>
        </is>
      </c>
      <c r="D2062" s="37" t="inlineStr">
        <is>
          <t>2026-07-20</t>
        </is>
      </c>
      <c r="E2062" s="37" t="inlineStr">
        <is>
          <t>Data Check</t>
        </is>
      </c>
      <c r="F2062" s="37" t="inlineStr">
        <is>
          <t>Check Counselling and Screening Forms of recently started batches.</t>
        </is>
      </c>
      <c r="G2062" s="37" t="inlineStr">
        <is>
          <t>All is Well</t>
        </is>
      </c>
    </row>
    <row r="2063">
      <c r="A2063" s="37" t="inlineStr">
        <is>
          <t>Bhargav Challa</t>
        </is>
      </c>
      <c r="B2063" s="37" t="inlineStr">
        <is>
          <t>Nalgonda</t>
        </is>
      </c>
      <c r="C2063" s="37" t="inlineStr">
        <is>
          <t>Grow Youth</t>
        </is>
      </c>
      <c r="D2063" s="37" t="inlineStr">
        <is>
          <t>2026-07-20</t>
        </is>
      </c>
      <c r="E2063" s="37" t="inlineStr">
        <is>
          <t>Data Check</t>
        </is>
      </c>
      <c r="F2063" s="37" t="inlineStr">
        <is>
          <t>Check Aspirant Registration Forms and related documents.</t>
        </is>
      </c>
      <c r="G2063" s="37" t="inlineStr">
        <is>
          <t>All is Well</t>
        </is>
      </c>
    </row>
    <row r="2064">
      <c r="A2064" s="37" t="inlineStr">
        <is>
          <t>Bhargav Challa</t>
        </is>
      </c>
      <c r="B2064" s="37" t="inlineStr">
        <is>
          <t>Nalgonda</t>
        </is>
      </c>
      <c r="C2064" s="37" t="inlineStr">
        <is>
          <t>Grow Youth</t>
        </is>
      </c>
      <c r="D2064" s="37" t="inlineStr">
        <is>
          <t>2026-07-20</t>
        </is>
      </c>
      <c r="E2064" s="37" t="inlineStr">
        <is>
          <t>Data Check</t>
        </is>
      </c>
      <c r="F2064" s="37" t="inlineStr">
        <is>
          <t>On the GROW portal, confirm all student profile details and batch updates are currect.</t>
        </is>
      </c>
      <c r="G2064" s="37" t="inlineStr">
        <is>
          <t>All is Well</t>
        </is>
      </c>
    </row>
    <row r="2065">
      <c r="A2065" s="37" t="inlineStr">
        <is>
          <t>Bhargav Challa</t>
        </is>
      </c>
      <c r="B2065" s="37" t="inlineStr">
        <is>
          <t>Nalgonda</t>
        </is>
      </c>
      <c r="C2065" s="37" t="inlineStr">
        <is>
          <t>Grow Youth</t>
        </is>
      </c>
      <c r="D2065" s="37" t="inlineStr">
        <is>
          <t>2026-07-20</t>
        </is>
      </c>
      <c r="E2065" s="37" t="inlineStr">
        <is>
          <t>Data Check</t>
        </is>
      </c>
      <c r="F2065" s="37" t="inlineStr">
        <is>
          <t>Verify placement data — randomly call 3–4 alumni placed in the last 3 months to confirm veracity (random selection is essential).</t>
        </is>
      </c>
      <c r="G2065" s="37" t="inlineStr">
        <is>
          <t>All is Well</t>
        </is>
      </c>
    </row>
    <row r="2066">
      <c r="A2066" s="37" t="inlineStr">
        <is>
          <t>Bhargav Challa</t>
        </is>
      </c>
      <c r="B2066" s="37" t="inlineStr">
        <is>
          <t>Nalgonda</t>
        </is>
      </c>
      <c r="C2066" s="37" t="inlineStr">
        <is>
          <t>Grow Youth</t>
        </is>
      </c>
      <c r="D2066" s="37" t="inlineStr">
        <is>
          <t>2026-07-20</t>
        </is>
      </c>
      <c r="E2066" s="37" t="inlineStr">
        <is>
          <t>Data Check</t>
        </is>
      </c>
      <c r="F2066" s="37" t="inlineStr">
        <is>
          <t>Verify retention — check the Alumni Hand-holding Format is being updated as designed.</t>
        </is>
      </c>
      <c r="G2066" s="37" t="inlineStr">
        <is>
          <t>All is Well</t>
        </is>
      </c>
    </row>
    <row r="2067">
      <c r="A2067" s="37" t="inlineStr">
        <is>
          <t>Bhargav Challa</t>
        </is>
      </c>
      <c r="B2067" s="37" t="inlineStr">
        <is>
          <t>Nalgonda</t>
        </is>
      </c>
      <c r="C2067" s="37" t="inlineStr">
        <is>
          <t>Grow Youth</t>
        </is>
      </c>
      <c r="D2067" s="37" t="inlineStr">
        <is>
          <t>2026-07-20</t>
        </is>
      </c>
      <c r="E2067" s="37" t="inlineStr">
        <is>
          <t>Data Check</t>
        </is>
      </c>
      <c r="F2067" s="37" t="inlineStr">
        <is>
          <t>Check aspirant Hostel Forms are properly filled or not.</t>
        </is>
      </c>
      <c r="G2067" s="37" t="inlineStr">
        <is>
          <t>Not Applicable</t>
        </is>
      </c>
    </row>
    <row r="2068">
      <c r="A2068" s="37" t="inlineStr">
        <is>
          <t>Bhargav Challa</t>
        </is>
      </c>
      <c r="B2068" s="37" t="inlineStr">
        <is>
          <t>Nalgonda</t>
        </is>
      </c>
      <c r="C2068" s="37" t="inlineStr">
        <is>
          <t>Grow Youth</t>
        </is>
      </c>
      <c r="D2068" s="37" t="inlineStr">
        <is>
          <t>2026-07-20</t>
        </is>
      </c>
      <c r="E2068" s="37" t="inlineStr">
        <is>
          <t>Infra Check</t>
        </is>
      </c>
      <c r="F2068" s="37" t="inlineStr">
        <is>
          <t>Check all CCTV cameras; if any are not working, ask the AH to troubleshoot or call the vendor.</t>
        </is>
      </c>
      <c r="G2068" s="37" t="inlineStr">
        <is>
          <t>All is Well</t>
        </is>
      </c>
    </row>
    <row r="2069">
      <c r="A2069" s="37" t="inlineStr">
        <is>
          <t>Bhargav Challa</t>
        </is>
      </c>
      <c r="B2069" s="37" t="inlineStr">
        <is>
          <t>Nalgonda</t>
        </is>
      </c>
      <c r="C2069" s="37" t="inlineStr">
        <is>
          <t>Grow Youth</t>
        </is>
      </c>
      <c r="D2069" s="37" t="inlineStr">
        <is>
          <t>2026-07-20</t>
        </is>
      </c>
      <c r="E2069" s="37" t="inlineStr">
        <is>
          <t>Infra Check</t>
        </is>
      </c>
      <c r="F2069" s="37" t="inlineStr">
        <is>
          <t>Check for any scrap material and get it cleared, with support of Admin</t>
        </is>
      </c>
      <c r="G2069" s="37" t="inlineStr">
        <is>
          <t>Need Improvement</t>
        </is>
      </c>
    </row>
    <row r="2070">
      <c r="A2070" s="37" t="inlineStr">
        <is>
          <t>Bhargav Challa</t>
        </is>
      </c>
      <c r="B2070" s="37" t="inlineStr">
        <is>
          <t>Nalgonda</t>
        </is>
      </c>
      <c r="C2070" s="37" t="inlineStr">
        <is>
          <t>Grow Youth</t>
        </is>
      </c>
      <c r="D2070" s="37" t="inlineStr">
        <is>
          <t>2026-07-20</t>
        </is>
      </c>
      <c r="E2070" s="37" t="inlineStr">
        <is>
          <t>Infra Check</t>
        </is>
      </c>
      <c r="F2070" s="37" t="inlineStr">
        <is>
          <t>Check for any pending infra repairs.</t>
        </is>
      </c>
      <c r="G2070" s="37" t="inlineStr">
        <is>
          <t>Need Improvement</t>
        </is>
      </c>
    </row>
    <row r="2071">
      <c r="A2071" s="37" t="inlineStr">
        <is>
          <t>Bhargav Challa</t>
        </is>
      </c>
      <c r="B2071" s="37" t="inlineStr">
        <is>
          <t>Nalgonda</t>
        </is>
      </c>
      <c r="C2071" s="37" t="inlineStr">
        <is>
          <t>Grow Youth</t>
        </is>
      </c>
      <c r="D2071" s="37" t="inlineStr">
        <is>
          <t>2026-07-20</t>
        </is>
      </c>
      <c r="E2071" s="37" t="inlineStr">
        <is>
          <t>Infra Check</t>
        </is>
      </c>
      <c r="F2071" s="37" t="inlineStr">
        <is>
          <t>Check whether any fire extinguishers have expired (check the needle and expiry date both).</t>
        </is>
      </c>
      <c r="G2071" s="37" t="inlineStr">
        <is>
          <t>All is Well</t>
        </is>
      </c>
    </row>
    <row r="2072">
      <c r="A2072" s="37" t="inlineStr">
        <is>
          <t>Bhargav Challa</t>
        </is>
      </c>
      <c r="B2072" s="37" t="inlineStr">
        <is>
          <t>Nalgonda</t>
        </is>
      </c>
      <c r="C2072" s="37" t="inlineStr">
        <is>
          <t>Grow Youth</t>
        </is>
      </c>
      <c r="D2072" s="37" t="inlineStr">
        <is>
          <t>2026-07-20</t>
        </is>
      </c>
      <c r="E2072" s="37" t="inlineStr">
        <is>
          <t>Infra Check</t>
        </is>
      </c>
      <c r="F2072" s="37" t="inlineStr">
        <is>
          <t>Check basic cleanliness of the washrooms and the centre.</t>
        </is>
      </c>
      <c r="G2072" s="37" t="inlineStr">
        <is>
          <t>All is Well</t>
        </is>
      </c>
    </row>
    <row r="2073">
      <c r="A2073" s="37" t="inlineStr">
        <is>
          <t>Bhargav Challa</t>
        </is>
      </c>
      <c r="B2073" s="37" t="inlineStr">
        <is>
          <t>Nalgonda</t>
        </is>
      </c>
      <c r="C2073" s="37" t="inlineStr">
        <is>
          <t>Grow Youth</t>
        </is>
      </c>
      <c r="D2073" s="37" t="inlineStr">
        <is>
          <t>2026-07-20</t>
        </is>
      </c>
      <c r="E2073" s="37" t="inlineStr">
        <is>
          <t>Infra Check</t>
        </is>
      </c>
      <c r="F2073" s="37" t="inlineStr">
        <is>
          <t>Confirm the correct program and partner logos are displayed.</t>
        </is>
      </c>
      <c r="G2073" s="37" t="inlineStr">
        <is>
          <t>All is Well</t>
        </is>
      </c>
    </row>
    <row r="2074">
      <c r="A2074" s="37" t="inlineStr">
        <is>
          <t>Bhargav Challa</t>
        </is>
      </c>
      <c r="B2074" s="37" t="inlineStr">
        <is>
          <t>Nalgonda</t>
        </is>
      </c>
      <c r="C2074" s="37" t="inlineStr">
        <is>
          <t>Grow Youth</t>
        </is>
      </c>
      <c r="D2074" s="37" t="inlineStr">
        <is>
          <t>2026-07-20</t>
        </is>
      </c>
      <c r="E2074" s="37" t="inlineStr">
        <is>
          <t>Infra Check</t>
        </is>
      </c>
      <c r="F2074" s="37" t="inlineStr">
        <is>
          <t>Check the status of digital infra — PCs, smartboards, tablets, laptops, etc.</t>
        </is>
      </c>
      <c r="G2074" s="37" t="inlineStr">
        <is>
          <t>All is Well</t>
        </is>
      </c>
    </row>
    <row r="2075">
      <c r="A2075" s="37" t="inlineStr">
        <is>
          <t>Bhargav Challa</t>
        </is>
      </c>
      <c r="B2075" s="37" t="inlineStr">
        <is>
          <t>Nalgonda</t>
        </is>
      </c>
      <c r="C2075" s="37" t="inlineStr">
        <is>
          <t>Grow Youth</t>
        </is>
      </c>
      <c r="D2075" s="37" t="inlineStr">
        <is>
          <t>2026-07-20</t>
        </is>
      </c>
      <c r="E2075" s="37" t="inlineStr">
        <is>
          <t>Infra Check</t>
        </is>
      </c>
      <c r="F2075" s="37" t="inlineStr">
        <is>
          <t>Make a quick hostel visit; have lunch there if possible to test the food quality.</t>
        </is>
      </c>
      <c r="G2075" s="37" t="inlineStr">
        <is>
          <t>Not Applicable</t>
        </is>
      </c>
    </row>
    <row r="2076">
      <c r="A2076" s="37" t="inlineStr">
        <is>
          <t>Bhargav Challa</t>
        </is>
      </c>
      <c r="B2076" s="37" t="inlineStr">
        <is>
          <t>Nalgonda</t>
        </is>
      </c>
      <c r="C2076" s="37" t="inlineStr">
        <is>
          <t>Grow Youth</t>
        </is>
      </c>
      <c r="D2076" s="37" t="inlineStr">
        <is>
          <t>2026-07-20</t>
        </is>
      </c>
      <c r="E2076" s="37" t="inlineStr">
        <is>
          <t>Process Check</t>
        </is>
      </c>
      <c r="F2076" s="37" t="inlineStr">
        <is>
          <t>Refer to the activity planner — check if any activities are delayed.</t>
        </is>
      </c>
      <c r="G2076" s="37" t="inlineStr">
        <is>
          <t>All is Well</t>
        </is>
      </c>
    </row>
    <row r="2077">
      <c r="A2077" s="37" t="inlineStr">
        <is>
          <t>Bhargav Challa</t>
        </is>
      </c>
      <c r="B2077" s="37" t="inlineStr">
        <is>
          <t>Nalgonda</t>
        </is>
      </c>
      <c r="C2077" s="37" t="inlineStr">
        <is>
          <t>Grow Youth</t>
        </is>
      </c>
      <c r="D2077" s="37" t="inlineStr">
        <is>
          <t>2026-07-20</t>
        </is>
      </c>
      <c r="E2077" s="37" t="inlineStr">
        <is>
          <t>Process Check</t>
        </is>
      </c>
      <c r="F2077" s="37" t="inlineStr">
        <is>
          <t>Check planning for the next batch-start announcement.</t>
        </is>
      </c>
      <c r="G2077" s="37" t="inlineStr">
        <is>
          <t>All is Well</t>
        </is>
      </c>
    </row>
    <row r="2078">
      <c r="A2078" s="37" t="inlineStr">
        <is>
          <t>Bhargav Challa</t>
        </is>
      </c>
      <c r="B2078" s="37" t="inlineStr">
        <is>
          <t>Nalgonda</t>
        </is>
      </c>
      <c r="C2078" s="37" t="inlineStr">
        <is>
          <t>Grow Youth</t>
        </is>
      </c>
      <c r="D2078" s="37" t="inlineStr">
        <is>
          <t>2026-07-20</t>
        </is>
      </c>
      <c r="E2078" s="37" t="inlineStr">
        <is>
          <t>Process Check</t>
        </is>
      </c>
      <c r="F2078" s="37" t="inlineStr">
        <is>
          <t>Check if any hiring is delayed and plan a resolution.</t>
        </is>
      </c>
      <c r="G2078" s="37" t="inlineStr">
        <is>
          <t>All is Well</t>
        </is>
      </c>
    </row>
    <row r="2079">
      <c r="A2079" s="37" t="inlineStr">
        <is>
          <t>Bhargav Challa</t>
        </is>
      </c>
      <c r="B2079" s="37" t="inlineStr">
        <is>
          <t>Nalgonda</t>
        </is>
      </c>
      <c r="C2079" s="37" t="inlineStr">
        <is>
          <t>Grow Youth</t>
        </is>
      </c>
      <c r="D2079" s="37" t="inlineStr">
        <is>
          <t>2026-07-20</t>
        </is>
      </c>
      <c r="E2079" s="37" t="inlineStr">
        <is>
          <t>Process Check</t>
        </is>
      </c>
      <c r="F2079" s="37" t="inlineStr">
        <is>
          <t>Check the CA’s diary — is CA guided daily by the AH during planning days?</t>
        </is>
      </c>
      <c r="G2079" s="37" t="inlineStr">
        <is>
          <t>All is Well</t>
        </is>
      </c>
    </row>
    <row r="2080">
      <c r="A2080" s="37" t="inlineStr">
        <is>
          <t>Bhargav Challa</t>
        </is>
      </c>
      <c r="B2080" s="37" t="inlineStr">
        <is>
          <t>Nalgonda</t>
        </is>
      </c>
      <c r="C2080" s="37" t="inlineStr">
        <is>
          <t>Grow Youth</t>
        </is>
      </c>
      <c r="D2080" s="37" t="inlineStr">
        <is>
          <t>2026-07-20</t>
        </is>
      </c>
      <c r="E2080" s="37" t="inlineStr">
        <is>
          <t>Process Check</t>
        </is>
      </c>
      <c r="F2080" s="37" t="inlineStr">
        <is>
          <t>Check the AH is regularly meeting employers (in person and online) and updating the centre’s Top 20 Employer format.</t>
        </is>
      </c>
      <c r="G2080" s="37" t="inlineStr">
        <is>
          <t>All is Well</t>
        </is>
      </c>
    </row>
    <row r="2081">
      <c r="A2081" s="37" t="inlineStr">
        <is>
          <t>Bhargav Challa</t>
        </is>
      </c>
      <c r="B2081" s="37" t="inlineStr">
        <is>
          <t>Nalgonda</t>
        </is>
      </c>
      <c r="C2081" s="37" t="inlineStr">
        <is>
          <t>Grow Youth</t>
        </is>
      </c>
      <c r="D2081" s="37" t="inlineStr">
        <is>
          <t>2026-07-20</t>
        </is>
      </c>
      <c r="E2081" s="37" t="inlineStr">
        <is>
          <t>Process Check</t>
        </is>
      </c>
      <c r="F2081" s="37" t="inlineStr">
        <is>
          <t>Confirm all new employers are registered on portal as per new process.</t>
        </is>
      </c>
      <c r="G2081" s="37" t="inlineStr">
        <is>
          <t>All is Well</t>
        </is>
      </c>
    </row>
    <row r="2082">
      <c r="A2082" s="37" t="inlineStr">
        <is>
          <t>Bhargav Challa</t>
        </is>
      </c>
      <c r="B2082" s="37" t="inlineStr">
        <is>
          <t>Nalgonda</t>
        </is>
      </c>
      <c r="C2082" s="37" t="inlineStr">
        <is>
          <t>Grow Youth</t>
        </is>
      </c>
      <c r="D2082" s="37" t="inlineStr">
        <is>
          <t>2026-07-20</t>
        </is>
      </c>
      <c r="E2082" s="37" t="inlineStr">
        <is>
          <t>Process Check</t>
        </is>
      </c>
      <c r="F2082" s="37" t="inlineStr">
        <is>
          <t>Confirm 100% of enrolled students undergone screening (for technical courses).</t>
        </is>
      </c>
      <c r="G2082" s="37" t="inlineStr">
        <is>
          <t>Not Applicable</t>
        </is>
      </c>
    </row>
    <row r="2083">
      <c r="A2083" s="37" t="inlineStr">
        <is>
          <t>Bhargav Challa</t>
        </is>
      </c>
      <c r="B2083" s="37" t="inlineStr">
        <is>
          <t>Nalgonda</t>
        </is>
      </c>
      <c r="C2083" s="37" t="inlineStr">
        <is>
          <t>Grow Youth</t>
        </is>
      </c>
      <c r="D2083" s="37" t="inlineStr">
        <is>
          <t>2026-07-20</t>
        </is>
      </c>
      <c r="E2083" s="37" t="inlineStr">
        <is>
          <t>Process Check</t>
        </is>
      </c>
      <c r="F2083" s="37" t="inlineStr">
        <is>
          <t>Confirm ESA is done (in GROW full ESA and in Technical courses relevant sections of Core Employability Part).</t>
        </is>
      </c>
      <c r="G2083" s="37" t="inlineStr">
        <is>
          <t>All is Well</t>
        </is>
      </c>
    </row>
    <row r="2084">
      <c r="A2084" s="37" t="inlineStr">
        <is>
          <t>Bhargav Challa</t>
        </is>
      </c>
      <c r="B2084" s="37" t="inlineStr">
        <is>
          <t>Nalgonda</t>
        </is>
      </c>
      <c r="C2084" s="37" t="inlineStr">
        <is>
          <t>Grow Youth</t>
        </is>
      </c>
      <c r="D2084" s="37" t="inlineStr">
        <is>
          <t>2026-07-20</t>
        </is>
      </c>
      <c r="E2084" s="37" t="inlineStr">
        <is>
          <t>Process Check</t>
        </is>
      </c>
      <c r="F2084" s="37" t="inlineStr">
        <is>
          <t>Check is AH giving capstone project in GROW Tech.</t>
        </is>
      </c>
      <c r="G2084" s="37" t="inlineStr">
        <is>
          <t>Not Applicable</t>
        </is>
      </c>
    </row>
    <row r="2085">
      <c r="A2085" s="37" t="inlineStr">
        <is>
          <t>Bhargav Challa</t>
        </is>
      </c>
      <c r="B2085" s="37" t="inlineStr">
        <is>
          <t>Nalgonda</t>
        </is>
      </c>
      <c r="C2085" s="37" t="inlineStr">
        <is>
          <t>Grow Youth</t>
        </is>
      </c>
      <c r="D2085" s="37" t="inlineStr">
        <is>
          <t>2026-07-20</t>
        </is>
      </c>
      <c r="E2085" s="37" t="inlineStr">
        <is>
          <t>Process Check</t>
        </is>
      </c>
      <c r="F2085" s="37" t="inlineStr">
        <is>
          <t>Check is AH planning OJT as per guidelines and proofs are collected for technical courses.</t>
        </is>
      </c>
      <c r="G2085" s="37" t="inlineStr">
        <is>
          <t>Not Applicable</t>
        </is>
      </c>
    </row>
    <row r="2086">
      <c r="A2086" s="37" t="inlineStr">
        <is>
          <t>Bhargav Challa</t>
        </is>
      </c>
      <c r="B2086" s="37" t="inlineStr">
        <is>
          <t>Nalgonda</t>
        </is>
      </c>
      <c r="C2086" s="37" t="inlineStr">
        <is>
          <t>Grow Youth</t>
        </is>
      </c>
      <c r="D2086" s="37" t="inlineStr">
        <is>
          <t>2026-07-20</t>
        </is>
      </c>
      <c r="E2086" s="37" t="inlineStr">
        <is>
          <t>Process Check</t>
        </is>
      </c>
      <c r="F2086" s="37" t="inlineStr">
        <is>
          <t>Check are trainers contacting aspirants to find reason for their absenteeism of more than 1 day.</t>
        </is>
      </c>
      <c r="G2086" s="37" t="inlineStr">
        <is>
          <t>All is Well</t>
        </is>
      </c>
    </row>
    <row r="2087">
      <c r="A2087" s="37" t="inlineStr">
        <is>
          <t>Bhargav Challa</t>
        </is>
      </c>
      <c r="B2087" s="37" t="inlineStr">
        <is>
          <t>Nalgonda</t>
        </is>
      </c>
      <c r="C2087" s="37" t="inlineStr">
        <is>
          <t>Grow Youth</t>
        </is>
      </c>
      <c r="D2087" s="37" t="inlineStr">
        <is>
          <t>2026-07-20</t>
        </is>
      </c>
      <c r="E2087" s="37" t="inlineStr">
        <is>
          <t>Process Check</t>
        </is>
      </c>
      <c r="F2087" s="37" t="inlineStr">
        <is>
          <t>Check the AH plans monthly enrolment and placement numbers by the 3rd of each month and shares them with second level managers.</t>
        </is>
      </c>
      <c r="G2087" s="37" t="inlineStr">
        <is>
          <t>Need Improvement</t>
        </is>
      </c>
    </row>
    <row r="2088">
      <c r="A2088" s="37" t="inlineStr">
        <is>
          <t>Bhargav Challa</t>
        </is>
      </c>
      <c r="B2088" s="37" t="inlineStr">
        <is>
          <t>Nalgonda</t>
        </is>
      </c>
      <c r="C2088" s="37" t="inlineStr">
        <is>
          <t>Grow Youth</t>
        </is>
      </c>
      <c r="D2088" s="37" t="inlineStr">
        <is>
          <t>2026-07-20</t>
        </is>
      </c>
      <c r="E2088" s="37" t="inlineStr">
        <is>
          <t>Process Check</t>
        </is>
      </c>
      <c r="F2088" s="37" t="inlineStr">
        <is>
          <t>Check trainers submit aspirants’ placement interest areas to the AH by the batch’s 25th day (in GROW).</t>
        </is>
      </c>
      <c r="G2088" s="37" t="inlineStr">
        <is>
          <t>All is Well</t>
        </is>
      </c>
    </row>
    <row r="2089">
      <c r="A2089" s="37" t="inlineStr">
        <is>
          <t>Bhargav Challa</t>
        </is>
      </c>
      <c r="B2089" s="37" t="inlineStr">
        <is>
          <t>Nalgonda</t>
        </is>
      </c>
      <c r="C2089" s="37" t="inlineStr">
        <is>
          <t>Grow Youth</t>
        </is>
      </c>
      <c r="D2089" s="37" t="inlineStr">
        <is>
          <t>2026-07-20</t>
        </is>
      </c>
      <c r="E2089" s="37" t="inlineStr">
        <is>
          <t>Process Check</t>
        </is>
      </c>
      <c r="F2089" s="37" t="inlineStr">
        <is>
          <t>Ckeck For technical programs, placement is done only in technical jobs,on which aspirants are trained and relevant emplyers are identified by 45th day.</t>
        </is>
      </c>
      <c r="G2089" s="37" t="inlineStr">
        <is>
          <t>Not Applicable</t>
        </is>
      </c>
    </row>
    <row r="2090">
      <c r="A2090" s="37" t="inlineStr">
        <is>
          <t>Bhargav Challa</t>
        </is>
      </c>
      <c r="B2090" s="37" t="inlineStr">
        <is>
          <t>Nalgonda</t>
        </is>
      </c>
      <c r="C2090" s="37" t="inlineStr">
        <is>
          <t>Grow Youth</t>
        </is>
      </c>
      <c r="D2090" s="37" t="inlineStr">
        <is>
          <t>2026-07-20</t>
        </is>
      </c>
      <c r="E2090" s="37" t="inlineStr">
        <is>
          <t>Process Check</t>
        </is>
      </c>
      <c r="F2090" s="37" t="inlineStr">
        <is>
          <t>Check the AH follows EP guidelines and minimum benchmark salary guidelines.</t>
        </is>
      </c>
      <c r="G2090" s="37" t="inlineStr">
        <is>
          <t>All is Well</t>
        </is>
      </c>
    </row>
    <row r="2091">
      <c r="A2091" s="37" t="inlineStr">
        <is>
          <t>Bhargav Challa</t>
        </is>
      </c>
      <c r="B2091" s="37" t="inlineStr">
        <is>
          <t>Nalgonda</t>
        </is>
      </c>
      <c r="C2091" s="37" t="inlineStr">
        <is>
          <t>Grow Youth</t>
        </is>
      </c>
      <c r="D2091" s="37" t="inlineStr">
        <is>
          <t>2026-07-20</t>
        </is>
      </c>
      <c r="E2091" s="37" t="inlineStr">
        <is>
          <t>Process Check</t>
        </is>
      </c>
      <c r="F2091" s="37" t="inlineStr">
        <is>
          <t>Check that AH is enrolling only the right traget group in the program -as per the defined target.</t>
        </is>
      </c>
      <c r="G2091" s="37" t="inlineStr">
        <is>
          <t>All is Well</t>
        </is>
      </c>
    </row>
    <row r="2092">
      <c r="A2092" s="37" t="inlineStr">
        <is>
          <t>Bhargav Challa</t>
        </is>
      </c>
      <c r="B2092" s="37" t="inlineStr">
        <is>
          <t>Nalgonda</t>
        </is>
      </c>
      <c r="C2092" s="37" t="inlineStr">
        <is>
          <t>Grow Youth</t>
        </is>
      </c>
      <c r="D2092" s="37" t="inlineStr">
        <is>
          <t>2026-07-20</t>
        </is>
      </c>
      <c r="E2092" s="37" t="inlineStr">
        <is>
          <t>Process Check</t>
        </is>
      </c>
      <c r="F2092" s="37" t="inlineStr">
        <is>
          <t>Check the AH announces the next batch-start date by the 3rd of the month on all notice boards — focus on Zero-Day start.</t>
        </is>
      </c>
      <c r="G2092" s="37" t="inlineStr">
        <is>
          <t>All is Well</t>
        </is>
      </c>
    </row>
    <row r="2093">
      <c r="A2093" s="37" t="inlineStr">
        <is>
          <t>Bhargav Challa</t>
        </is>
      </c>
      <c r="B2093" s="37" t="inlineStr">
        <is>
          <t>Nalgonda</t>
        </is>
      </c>
      <c r="C2093" s="37" t="inlineStr">
        <is>
          <t>Grow Youth</t>
        </is>
      </c>
      <c r="D2093" s="37" t="inlineStr">
        <is>
          <t>2026-07-20</t>
        </is>
      </c>
      <c r="E2093" s="37" t="inlineStr">
        <is>
          <t>Process Check</t>
        </is>
      </c>
      <c r="F2093" s="37" t="inlineStr">
        <is>
          <t>Check the Aspirant Mock Interview Score Tracker is updated after every mock interview in the L&amp;D Google Sheet.</t>
        </is>
      </c>
      <c r="G2093" s="37" t="inlineStr">
        <is>
          <t>All is Well</t>
        </is>
      </c>
    </row>
    <row r="2094">
      <c r="A2094" s="37" t="inlineStr">
        <is>
          <t>Bhargav Challa</t>
        </is>
      </c>
      <c r="B2094" s="37" t="inlineStr">
        <is>
          <t>Nalgonda</t>
        </is>
      </c>
      <c r="C2094" s="37" t="inlineStr">
        <is>
          <t>Grow Youth</t>
        </is>
      </c>
      <c r="D2094" s="37" t="inlineStr">
        <is>
          <t>2026-07-20</t>
        </is>
      </c>
      <c r="E2094" s="37" t="inlineStr">
        <is>
          <t>Process Check</t>
        </is>
      </c>
      <c r="F2094" s="37" t="inlineStr">
        <is>
          <t>Confirm NPS (Net Promoter Score) is collected at MSDF centres.</t>
        </is>
      </c>
      <c r="G2094" s="37" t="inlineStr">
        <is>
          <t>Not Applicable</t>
        </is>
      </c>
    </row>
    <row r="2095">
      <c r="A2095" s="37" t="inlineStr">
        <is>
          <t>Bhargav Challa</t>
        </is>
      </c>
      <c r="B2095" s="37" t="inlineStr">
        <is>
          <t>Nalgonda</t>
        </is>
      </c>
      <c r="C2095" s="37" t="inlineStr">
        <is>
          <t>Grow Youth</t>
        </is>
      </c>
      <c r="D2095" s="37" t="inlineStr">
        <is>
          <t>2026-07-20</t>
        </is>
      </c>
      <c r="E2095" s="37" t="inlineStr">
        <is>
          <t>Process Check</t>
        </is>
      </c>
      <c r="F2095" s="37" t="inlineStr">
        <is>
          <t>Confirm that QAE is collecting student feedback for every batch.</t>
        </is>
      </c>
      <c r="G2095" s="37" t="inlineStr">
        <is>
          <t>All is Well</t>
        </is>
      </c>
    </row>
    <row r="2096">
      <c r="A2096" s="37" t="inlineStr">
        <is>
          <t>Bhargav Challa</t>
        </is>
      </c>
      <c r="B2096" s="37" t="inlineStr">
        <is>
          <t>Nalgonda</t>
        </is>
      </c>
      <c r="C2096" s="37" t="inlineStr">
        <is>
          <t>Grow Youth</t>
        </is>
      </c>
      <c r="D2096" s="37" t="inlineStr">
        <is>
          <t>2026-07-20</t>
        </is>
      </c>
      <c r="E2096" s="37" t="inlineStr">
        <is>
          <t>Process Check</t>
        </is>
      </c>
      <c r="F2096" s="37" t="inlineStr">
        <is>
          <t>Confirm all centre teams have completed the GROW Manual Course on Skillfy — ask for achievement certificates.</t>
        </is>
      </c>
      <c r="G2096" s="37" t="inlineStr">
        <is>
          <t>All is Well</t>
        </is>
      </c>
    </row>
    <row r="2097">
      <c r="A2097" s="37" t="inlineStr">
        <is>
          <t>Bhargav Challa</t>
        </is>
      </c>
      <c r="B2097" s="37" t="inlineStr">
        <is>
          <t>Nalgonda</t>
        </is>
      </c>
      <c r="C2097" s="37" t="inlineStr">
        <is>
          <t>Grow Youth</t>
        </is>
      </c>
      <c r="D2097" s="37" t="inlineStr">
        <is>
          <t>2026-07-20</t>
        </is>
      </c>
      <c r="E2097" s="37" t="inlineStr">
        <is>
          <t>Process Check</t>
        </is>
      </c>
      <c r="F2097" s="37" t="inlineStr">
        <is>
          <t>Check AH holds a quality weekly team meeting, documents action points in the weekly meeting format, and sends you a photo on WhatsApp.</t>
        </is>
      </c>
      <c r="G2097" s="37" t="inlineStr">
        <is>
          <t>All is Well</t>
        </is>
      </c>
    </row>
    <row r="2098">
      <c r="A2098" s="37" t="inlineStr">
        <is>
          <t>Bhargav Challa</t>
        </is>
      </c>
      <c r="B2098" s="37" t="inlineStr">
        <is>
          <t>Nalgonda</t>
        </is>
      </c>
      <c r="C2098" s="37" t="inlineStr">
        <is>
          <t>Grow Youth</t>
        </is>
      </c>
      <c r="D2098" s="37" t="inlineStr">
        <is>
          <t>2026-07-20</t>
        </is>
      </c>
      <c r="E2098" s="37" t="inlineStr">
        <is>
          <t>Aspirant Interaction</t>
        </is>
      </c>
      <c r="F2098" s="37" t="inlineStr">
        <is>
          <t>Ask aspirants about the session plan — confirm training is happening as planned?</t>
        </is>
      </c>
      <c r="G2098" s="37" t="inlineStr">
        <is>
          <t>Need Improvement</t>
        </is>
      </c>
    </row>
    <row r="2099">
      <c r="A2099" s="37" t="inlineStr">
        <is>
          <t>Bhargav Challa</t>
        </is>
      </c>
      <c r="B2099" s="37" t="inlineStr">
        <is>
          <t>Nalgonda</t>
        </is>
      </c>
      <c r="C2099" s="37" t="inlineStr">
        <is>
          <t>Grow Youth</t>
        </is>
      </c>
      <c r="D2099" s="37" t="inlineStr">
        <is>
          <t>2026-07-20</t>
        </is>
      </c>
      <c r="E2099" s="37" t="inlineStr">
        <is>
          <t>Aspirant Interaction</t>
        </is>
      </c>
      <c r="F2099" s="37" t="inlineStr">
        <is>
          <t>Ask about the quality of Core Employability component delivery (technical centres) and who delivers it.</t>
        </is>
      </c>
      <c r="G2099" s="37" t="inlineStr">
        <is>
          <t>Not Applicable</t>
        </is>
      </c>
    </row>
    <row r="2100">
      <c r="A2100" s="37" t="inlineStr">
        <is>
          <t>Bhargav Challa</t>
        </is>
      </c>
      <c r="B2100" s="37" t="inlineStr">
        <is>
          <t>Nalgonda</t>
        </is>
      </c>
      <c r="C2100" s="37" t="inlineStr">
        <is>
          <t>Grow Youth</t>
        </is>
      </c>
      <c r="D2100" s="37" t="inlineStr">
        <is>
          <t>2026-07-20</t>
        </is>
      </c>
      <c r="E2100" s="37" t="inlineStr">
        <is>
          <t>Aspirant Interaction</t>
        </is>
      </c>
      <c r="F2100" s="37" t="inlineStr">
        <is>
          <t>Ask whether they are aware of the referral scheme?</t>
        </is>
      </c>
      <c r="G2100" s="37" t="inlineStr">
        <is>
          <t>Need Improvement</t>
        </is>
      </c>
    </row>
    <row r="2101">
      <c r="A2101" s="37" t="inlineStr">
        <is>
          <t>Bhargav Challa</t>
        </is>
      </c>
      <c r="B2101" s="37" t="inlineStr">
        <is>
          <t>Nalgonda</t>
        </is>
      </c>
      <c r="C2101" s="37" t="inlineStr">
        <is>
          <t>Grow Youth</t>
        </is>
      </c>
      <c r="D2101" s="37" t="inlineStr">
        <is>
          <t>2026-07-20</t>
        </is>
      </c>
      <c r="E2101" s="37" t="inlineStr">
        <is>
          <t>Aspirant Interaction</t>
        </is>
      </c>
      <c r="F2101" s="37" t="inlineStr">
        <is>
          <t>Ask whether the AH explained the importance of the offer letter and sharing it with us once received for reporting purposes?</t>
        </is>
      </c>
      <c r="G2101" s="37" t="inlineStr">
        <is>
          <t>All is Well</t>
        </is>
      </c>
    </row>
    <row r="2102">
      <c r="A2102" s="37" t="inlineStr">
        <is>
          <t>Bhargav Challa</t>
        </is>
      </c>
      <c r="B2102" s="37" t="inlineStr">
        <is>
          <t>Nalgonda</t>
        </is>
      </c>
      <c r="C2102" s="37" t="inlineStr">
        <is>
          <t>Grow Youth</t>
        </is>
      </c>
      <c r="D2102" s="37" t="inlineStr">
        <is>
          <t>2026-07-20</t>
        </is>
      </c>
      <c r="E2102" s="37" t="inlineStr">
        <is>
          <t>Aspirant Interaction</t>
        </is>
      </c>
      <c r="F2102" s="37" t="inlineStr">
        <is>
          <t>Ask how many are not interested in jobs — and if so, why they enrolled in the programme?</t>
        </is>
      </c>
      <c r="G2102" s="37" t="inlineStr">
        <is>
          <t>All is Well</t>
        </is>
      </c>
    </row>
    <row r="2103">
      <c r="A2103" s="37" t="inlineStr">
        <is>
          <t>Bhargav Challa</t>
        </is>
      </c>
      <c r="B2103" s="37" t="inlineStr">
        <is>
          <t>Nalgonda</t>
        </is>
      </c>
      <c r="C2103" s="37" t="inlineStr">
        <is>
          <t>Grow Youth</t>
        </is>
      </c>
      <c r="D2103" s="37" t="inlineStr">
        <is>
          <t>2026-07-20</t>
        </is>
      </c>
      <c r="E2103" s="37" t="inlineStr">
        <is>
          <t>Aspirant Interaction</t>
        </is>
      </c>
      <c r="F2103" s="37" t="inlineStr">
        <is>
          <t>Ask whether they were told the kind of job they would get during counselling?</t>
        </is>
      </c>
      <c r="G2103" s="37" t="inlineStr">
        <is>
          <t>All is Well</t>
        </is>
      </c>
    </row>
    <row r="2104">
      <c r="A2104" s="37" t="inlineStr">
        <is>
          <t>Bhargav Challa</t>
        </is>
      </c>
      <c r="B2104" s="37" t="inlineStr">
        <is>
          <t>Nalgonda</t>
        </is>
      </c>
      <c r="C2104" s="37" t="inlineStr">
        <is>
          <t>Grow Youth</t>
        </is>
      </c>
      <c r="D2104" s="37" t="inlineStr">
        <is>
          <t>2026-07-20</t>
        </is>
      </c>
      <c r="E2104" s="37" t="inlineStr">
        <is>
          <t>Aspirant Interaction</t>
        </is>
      </c>
      <c r="F2104" s="37" t="inlineStr">
        <is>
          <t>Ask whether they have been given LMS access?</t>
        </is>
      </c>
      <c r="G2104" s="37" t="inlineStr">
        <is>
          <t>All is Well</t>
        </is>
      </c>
    </row>
    <row r="2105">
      <c r="A2105" s="37" t="inlineStr">
        <is>
          <t>Bhargav Challa</t>
        </is>
      </c>
      <c r="B2105" s="37" t="inlineStr">
        <is>
          <t>Nalgonda</t>
        </is>
      </c>
      <c r="C2105" s="37" t="inlineStr">
        <is>
          <t>Grow Youth</t>
        </is>
      </c>
      <c r="D2105" s="37" t="inlineStr">
        <is>
          <t>2026-07-20</t>
        </is>
      </c>
      <c r="E2105" s="37" t="inlineStr">
        <is>
          <t>Aspirant Interaction</t>
        </is>
      </c>
      <c r="F2105" s="37" t="inlineStr">
        <is>
          <t>Ask whether anyone asked them for money for training or placement?</t>
        </is>
      </c>
      <c r="G2105" s="37" t="inlineStr">
        <is>
          <t>All is Well</t>
        </is>
      </c>
    </row>
    <row r="2106">
      <c r="A2106" s="37" t="inlineStr">
        <is>
          <t>Bhargav Challa</t>
        </is>
      </c>
      <c r="B2106" s="37" t="inlineStr">
        <is>
          <t>Nalgonda</t>
        </is>
      </c>
      <c r="C2106" s="37" t="inlineStr">
        <is>
          <t>Grow Youth</t>
        </is>
      </c>
      <c r="D2106" s="37" t="inlineStr">
        <is>
          <t>2026-07-20</t>
        </is>
      </c>
      <c r="E2106" s="37" t="inlineStr">
        <is>
          <t>Aspirant Interaction</t>
        </is>
      </c>
      <c r="F2106" s="37" t="inlineStr">
        <is>
          <t>Ask to show their mobile phones — are they enrolled on Skillfy? If not, get them enrolled and give written feedback to trainers and the AH in your presence.</t>
        </is>
      </c>
      <c r="G2106" s="37" t="inlineStr">
        <is>
          <t>All is Well</t>
        </is>
      </c>
    </row>
    <row r="2107">
      <c r="A2107" s="37" t="inlineStr">
        <is>
          <t>Bhargav Challa</t>
        </is>
      </c>
      <c r="B2107" s="37" t="inlineStr">
        <is>
          <t>Nalgonda</t>
        </is>
      </c>
      <c r="C2107" s="37" t="inlineStr">
        <is>
          <t>Grow Youth</t>
        </is>
      </c>
      <c r="D2107" s="37" t="inlineStr">
        <is>
          <t>2026-07-20</t>
        </is>
      </c>
      <c r="E2107" s="37" t="inlineStr">
        <is>
          <t>Aspirant Interaction</t>
        </is>
      </c>
      <c r="F2107" s="37" t="inlineStr">
        <is>
          <t>Ask about the quality of the hostel and any issues they face.</t>
        </is>
      </c>
      <c r="G2107" s="37" t="inlineStr">
        <is>
          <t>Not Applicable</t>
        </is>
      </c>
    </row>
    <row r="2108">
      <c r="A2108" s="37" t="inlineStr">
        <is>
          <t>Bhargav Challa</t>
        </is>
      </c>
      <c r="B2108" s="37" t="inlineStr">
        <is>
          <t>Nalgonda</t>
        </is>
      </c>
      <c r="C2108" s="37" t="inlineStr">
        <is>
          <t>Grow Youth</t>
        </is>
      </c>
      <c r="D2108" s="37" t="inlineStr">
        <is>
          <t>2026-07-20</t>
        </is>
      </c>
      <c r="E2108" s="37" t="inlineStr">
        <is>
          <t>Aspirant Interaction</t>
        </is>
      </c>
      <c r="F2108" s="37" t="inlineStr">
        <is>
          <t>Ask a few relevant screening questions to support the 10th-day report and remove non-serious candidates, explaining to them the reasons.</t>
        </is>
      </c>
      <c r="G2108" s="37" t="inlineStr">
        <is>
          <t>All is Well</t>
        </is>
      </c>
    </row>
    <row r="2109">
      <c r="A2109" s="37" t="inlineStr">
        <is>
          <t>Bhargav Challa</t>
        </is>
      </c>
      <c r="B2109" s="37" t="inlineStr">
        <is>
          <t>Secunderabad</t>
        </is>
      </c>
      <c r="C2109" s="37" t="inlineStr">
        <is>
          <t>Youth</t>
        </is>
      </c>
      <c r="D2109" s="37" t="inlineStr">
        <is>
          <t>2026-07-21</t>
        </is>
      </c>
      <c r="E2109" s="37" t="inlineStr">
        <is>
          <t>Data Check</t>
        </is>
      </c>
      <c r="F2109" s="37" t="inlineStr">
        <is>
          <t>Reach the centre on time (unannounced) — confirm the centre opened on time.</t>
        </is>
      </c>
      <c r="G2109" s="37" t="inlineStr">
        <is>
          <t>All is Well</t>
        </is>
      </c>
    </row>
    <row r="2110">
      <c r="A2110" s="37" t="inlineStr">
        <is>
          <t>Bhargav Challa</t>
        </is>
      </c>
      <c r="B2110" s="37" t="inlineStr">
        <is>
          <t>Secunderabad</t>
        </is>
      </c>
      <c r="C2110" s="37" t="inlineStr">
        <is>
          <t>Youth</t>
        </is>
      </c>
      <c r="D2110" s="37" t="inlineStr">
        <is>
          <t>2026-07-21</t>
        </is>
      </c>
      <c r="E2110" s="37" t="inlineStr">
        <is>
          <t>Data Check</t>
        </is>
      </c>
      <c r="F2110" s="37" t="inlineStr">
        <is>
          <t>Check the staff attendance register, the Google Sheet, and geo-tagged photos for aspirants.</t>
        </is>
      </c>
      <c r="G2110" s="37" t="inlineStr">
        <is>
          <t>All is Well</t>
        </is>
      </c>
    </row>
    <row r="2111">
      <c r="A2111" s="37" t="inlineStr">
        <is>
          <t>Bhargav Challa</t>
        </is>
      </c>
      <c r="B2111" s="37" t="inlineStr">
        <is>
          <t>Secunderabad</t>
        </is>
      </c>
      <c r="C2111" s="37" t="inlineStr">
        <is>
          <t>Youth</t>
        </is>
      </c>
      <c r="D2111" s="37" t="inlineStr">
        <is>
          <t>2026-07-21</t>
        </is>
      </c>
      <c r="E2111" s="37" t="inlineStr">
        <is>
          <t>Data Check</t>
        </is>
      </c>
      <c r="F2111" s="37" t="inlineStr">
        <is>
          <t>Check Counselling and Screening Forms of recently started batches.</t>
        </is>
      </c>
      <c r="G2111" s="37" t="inlineStr">
        <is>
          <t>All is Well</t>
        </is>
      </c>
    </row>
    <row r="2112">
      <c r="A2112" s="37" t="inlineStr">
        <is>
          <t>Bhargav Challa</t>
        </is>
      </c>
      <c r="B2112" s="37" t="inlineStr">
        <is>
          <t>Secunderabad</t>
        </is>
      </c>
      <c r="C2112" s="37" t="inlineStr">
        <is>
          <t>Youth</t>
        </is>
      </c>
      <c r="D2112" s="37" t="inlineStr">
        <is>
          <t>2026-07-21</t>
        </is>
      </c>
      <c r="E2112" s="37" t="inlineStr">
        <is>
          <t>Data Check</t>
        </is>
      </c>
      <c r="F2112" s="37" t="inlineStr">
        <is>
          <t>Check Aspirant Registration Forms and related documents.</t>
        </is>
      </c>
      <c r="G2112" s="37" t="inlineStr">
        <is>
          <t>All is Well</t>
        </is>
      </c>
    </row>
    <row r="2113">
      <c r="A2113" s="37" t="inlineStr">
        <is>
          <t>Bhargav Challa</t>
        </is>
      </c>
      <c r="B2113" s="37" t="inlineStr">
        <is>
          <t>Secunderabad</t>
        </is>
      </c>
      <c r="C2113" s="37" t="inlineStr">
        <is>
          <t>Youth</t>
        </is>
      </c>
      <c r="D2113" s="37" t="inlineStr">
        <is>
          <t>2026-07-21</t>
        </is>
      </c>
      <c r="E2113" s="37" t="inlineStr">
        <is>
          <t>Data Check</t>
        </is>
      </c>
      <c r="F2113" s="37" t="inlineStr">
        <is>
          <t>On the GROW portal, confirm all student profile details and batch updates are currect.</t>
        </is>
      </c>
      <c r="G2113" s="37" t="inlineStr">
        <is>
          <t>Need Improvement</t>
        </is>
      </c>
    </row>
    <row r="2114">
      <c r="A2114" s="37" t="inlineStr">
        <is>
          <t>Bhargav Challa</t>
        </is>
      </c>
      <c r="B2114" s="37" t="inlineStr">
        <is>
          <t>Secunderabad</t>
        </is>
      </c>
      <c r="C2114" s="37" t="inlineStr">
        <is>
          <t>Youth</t>
        </is>
      </c>
      <c r="D2114" s="37" t="inlineStr">
        <is>
          <t>2026-07-21</t>
        </is>
      </c>
      <c r="E2114" s="37" t="inlineStr">
        <is>
          <t>Data Check</t>
        </is>
      </c>
      <c r="F2114" s="37" t="inlineStr">
        <is>
          <t>Verify placement data — randomly call 3–4 alumni placed in the last 3 months to confirm veracity (random selection is essential).</t>
        </is>
      </c>
      <c r="G2114" s="37" t="inlineStr">
        <is>
          <t>All is Well</t>
        </is>
      </c>
    </row>
    <row r="2115">
      <c r="A2115" s="37" t="inlineStr">
        <is>
          <t>Bhargav Challa</t>
        </is>
      </c>
      <c r="B2115" s="37" t="inlineStr">
        <is>
          <t>Secunderabad</t>
        </is>
      </c>
      <c r="C2115" s="37" t="inlineStr">
        <is>
          <t>Youth</t>
        </is>
      </c>
      <c r="D2115" s="37" t="inlineStr">
        <is>
          <t>2026-07-21</t>
        </is>
      </c>
      <c r="E2115" s="37" t="inlineStr">
        <is>
          <t>Data Check</t>
        </is>
      </c>
      <c r="F2115" s="37" t="inlineStr">
        <is>
          <t>Verify retention — check the Alumni Hand-holding Format is being updated as designed.</t>
        </is>
      </c>
      <c r="G2115" s="37" t="inlineStr">
        <is>
          <t>Need Improvement</t>
        </is>
      </c>
    </row>
    <row r="2116">
      <c r="A2116" s="37" t="inlineStr">
        <is>
          <t>Bhargav Challa</t>
        </is>
      </c>
      <c r="B2116" s="37" t="inlineStr">
        <is>
          <t>Secunderabad</t>
        </is>
      </c>
      <c r="C2116" s="37" t="inlineStr">
        <is>
          <t>Youth</t>
        </is>
      </c>
      <c r="D2116" s="37" t="inlineStr">
        <is>
          <t>2026-07-21</t>
        </is>
      </c>
      <c r="E2116" s="37" t="inlineStr">
        <is>
          <t>Data Check</t>
        </is>
      </c>
      <c r="F2116" s="37" t="inlineStr">
        <is>
          <t>Check aspirant Hostel Forms are properly filled or not.</t>
        </is>
      </c>
      <c r="G2116" s="37" t="inlineStr">
        <is>
          <t>Not Applicable</t>
        </is>
      </c>
    </row>
    <row r="2117">
      <c r="A2117" s="37" t="inlineStr">
        <is>
          <t>Bhargav Challa</t>
        </is>
      </c>
      <c r="B2117" s="37" t="inlineStr">
        <is>
          <t>Secunderabad</t>
        </is>
      </c>
      <c r="C2117" s="37" t="inlineStr">
        <is>
          <t>Youth</t>
        </is>
      </c>
      <c r="D2117" s="37" t="inlineStr">
        <is>
          <t>2026-07-21</t>
        </is>
      </c>
      <c r="E2117" s="37" t="inlineStr">
        <is>
          <t>Infra Check</t>
        </is>
      </c>
      <c r="F2117" s="37" t="inlineStr">
        <is>
          <t>Check all CCTV cameras; if any are not working, ask the AH to troubleshoot or call the vendor.</t>
        </is>
      </c>
      <c r="G2117" s="37" t="inlineStr">
        <is>
          <t>All is Well</t>
        </is>
      </c>
    </row>
    <row r="2118">
      <c r="A2118" s="37" t="inlineStr">
        <is>
          <t>Bhargav Challa</t>
        </is>
      </c>
      <c r="B2118" s="37" t="inlineStr">
        <is>
          <t>Secunderabad</t>
        </is>
      </c>
      <c r="C2118" s="37" t="inlineStr">
        <is>
          <t>Youth</t>
        </is>
      </c>
      <c r="D2118" s="37" t="inlineStr">
        <is>
          <t>2026-07-21</t>
        </is>
      </c>
      <c r="E2118" s="37" t="inlineStr">
        <is>
          <t>Infra Check</t>
        </is>
      </c>
      <c r="F2118" s="37" t="inlineStr">
        <is>
          <t>Check for any scrap material and get it cleared, with support of Admin</t>
        </is>
      </c>
      <c r="G2118" s="37" t="inlineStr">
        <is>
          <t>All is Well</t>
        </is>
      </c>
    </row>
    <row r="2119">
      <c r="A2119" s="37" t="inlineStr">
        <is>
          <t>Bhargav Challa</t>
        </is>
      </c>
      <c r="B2119" s="37" t="inlineStr">
        <is>
          <t>Secunderabad</t>
        </is>
      </c>
      <c r="C2119" s="37" t="inlineStr">
        <is>
          <t>Youth</t>
        </is>
      </c>
      <c r="D2119" s="37" t="inlineStr">
        <is>
          <t>2026-07-21</t>
        </is>
      </c>
      <c r="E2119" s="37" t="inlineStr">
        <is>
          <t>Infra Check</t>
        </is>
      </c>
      <c r="F2119" s="37" t="inlineStr">
        <is>
          <t>Check for any pending infra repairs.</t>
        </is>
      </c>
      <c r="G2119" s="37" t="inlineStr">
        <is>
          <t>All is Well</t>
        </is>
      </c>
    </row>
    <row r="2120">
      <c r="A2120" s="37" t="inlineStr">
        <is>
          <t>Bhargav Challa</t>
        </is>
      </c>
      <c r="B2120" s="37" t="inlineStr">
        <is>
          <t>Secunderabad</t>
        </is>
      </c>
      <c r="C2120" s="37" t="inlineStr">
        <is>
          <t>Youth</t>
        </is>
      </c>
      <c r="D2120" s="37" t="inlineStr">
        <is>
          <t>2026-07-21</t>
        </is>
      </c>
      <c r="E2120" s="37" t="inlineStr">
        <is>
          <t>Infra Check</t>
        </is>
      </c>
      <c r="F2120" s="37" t="inlineStr">
        <is>
          <t>Check whether any fire extinguishers have expired (check the needle and expiry date both).</t>
        </is>
      </c>
      <c r="G2120" s="37" t="inlineStr">
        <is>
          <t>All is Well</t>
        </is>
      </c>
    </row>
    <row r="2121">
      <c r="A2121" s="37" t="inlineStr">
        <is>
          <t>Bhargav Challa</t>
        </is>
      </c>
      <c r="B2121" s="37" t="inlineStr">
        <is>
          <t>Secunderabad</t>
        </is>
      </c>
      <c r="C2121" s="37" t="inlineStr">
        <is>
          <t>Youth</t>
        </is>
      </c>
      <c r="D2121" s="37" t="inlineStr">
        <is>
          <t>2026-07-21</t>
        </is>
      </c>
      <c r="E2121" s="37" t="inlineStr">
        <is>
          <t>Infra Check</t>
        </is>
      </c>
      <c r="F2121" s="37" t="inlineStr">
        <is>
          <t>Check basic cleanliness of the washrooms and the centre.</t>
        </is>
      </c>
      <c r="G2121" s="37" t="inlineStr">
        <is>
          <t>All is Well</t>
        </is>
      </c>
    </row>
    <row r="2122">
      <c r="A2122" s="37" t="inlineStr">
        <is>
          <t>Bhargav Challa</t>
        </is>
      </c>
      <c r="B2122" s="37" t="inlineStr">
        <is>
          <t>Secunderabad</t>
        </is>
      </c>
      <c r="C2122" s="37" t="inlineStr">
        <is>
          <t>Youth</t>
        </is>
      </c>
      <c r="D2122" s="37" t="inlineStr">
        <is>
          <t>2026-07-21</t>
        </is>
      </c>
      <c r="E2122" s="37" t="inlineStr">
        <is>
          <t>Infra Check</t>
        </is>
      </c>
      <c r="F2122" s="37" t="inlineStr">
        <is>
          <t>Confirm the correct program and partner logos are displayed.</t>
        </is>
      </c>
      <c r="G2122" s="37" t="inlineStr">
        <is>
          <t>All is Well</t>
        </is>
      </c>
    </row>
    <row r="2123">
      <c r="A2123" s="37" t="inlineStr">
        <is>
          <t>Bhargav Challa</t>
        </is>
      </c>
      <c r="B2123" s="37" t="inlineStr">
        <is>
          <t>Secunderabad</t>
        </is>
      </c>
      <c r="C2123" s="37" t="inlineStr">
        <is>
          <t>Youth</t>
        </is>
      </c>
      <c r="D2123" s="37" t="inlineStr">
        <is>
          <t>2026-07-21</t>
        </is>
      </c>
      <c r="E2123" s="37" t="inlineStr">
        <is>
          <t>Infra Check</t>
        </is>
      </c>
      <c r="F2123" s="37" t="inlineStr">
        <is>
          <t>Check the status of digital infra — PCs, smartboards, tablets, laptops, etc.</t>
        </is>
      </c>
      <c r="G2123" s="37" t="inlineStr">
        <is>
          <t>All is Well</t>
        </is>
      </c>
    </row>
    <row r="2124">
      <c r="A2124" s="37" t="inlineStr">
        <is>
          <t>Bhargav Challa</t>
        </is>
      </c>
      <c r="B2124" s="37" t="inlineStr">
        <is>
          <t>Secunderabad</t>
        </is>
      </c>
      <c r="C2124" s="37" t="inlineStr">
        <is>
          <t>Youth</t>
        </is>
      </c>
      <c r="D2124" s="37" t="inlineStr">
        <is>
          <t>2026-07-21</t>
        </is>
      </c>
      <c r="E2124" s="37" t="inlineStr">
        <is>
          <t>Infra Check</t>
        </is>
      </c>
      <c r="F2124" s="37" t="inlineStr">
        <is>
          <t>Make a quick hostel visit; have lunch there if possible to test the food quality.</t>
        </is>
      </c>
      <c r="G2124" s="37" t="inlineStr">
        <is>
          <t>Not Applicable</t>
        </is>
      </c>
    </row>
    <row r="2125">
      <c r="A2125" s="37" t="inlineStr">
        <is>
          <t>Bhargav Challa</t>
        </is>
      </c>
      <c r="B2125" s="37" t="inlineStr">
        <is>
          <t>Secunderabad</t>
        </is>
      </c>
      <c r="C2125" s="37" t="inlineStr">
        <is>
          <t>Youth</t>
        </is>
      </c>
      <c r="D2125" s="37" t="inlineStr">
        <is>
          <t>2026-07-21</t>
        </is>
      </c>
      <c r="E2125" s="37" t="inlineStr">
        <is>
          <t>Process Check</t>
        </is>
      </c>
      <c r="F2125" s="37" t="inlineStr">
        <is>
          <t>Refer to the activity planner — check if any activities are delayed.</t>
        </is>
      </c>
      <c r="G2125" s="37" t="inlineStr">
        <is>
          <t>All is Well</t>
        </is>
      </c>
    </row>
    <row r="2126">
      <c r="A2126" s="37" t="inlineStr">
        <is>
          <t>Bhargav Challa</t>
        </is>
      </c>
      <c r="B2126" s="37" t="inlineStr">
        <is>
          <t>Secunderabad</t>
        </is>
      </c>
      <c r="C2126" s="37" t="inlineStr">
        <is>
          <t>Youth</t>
        </is>
      </c>
      <c r="D2126" s="37" t="inlineStr">
        <is>
          <t>2026-07-21</t>
        </is>
      </c>
      <c r="E2126" s="37" t="inlineStr">
        <is>
          <t>Process Check</t>
        </is>
      </c>
      <c r="F2126" s="37" t="inlineStr">
        <is>
          <t>Check planning for the next batch-start announcement.</t>
        </is>
      </c>
      <c r="G2126" s="37" t="inlineStr">
        <is>
          <t>All is Well</t>
        </is>
      </c>
    </row>
    <row r="2127">
      <c r="A2127" s="37" t="inlineStr">
        <is>
          <t>Bhargav Challa</t>
        </is>
      </c>
      <c r="B2127" s="37" t="inlineStr">
        <is>
          <t>Secunderabad</t>
        </is>
      </c>
      <c r="C2127" s="37" t="inlineStr">
        <is>
          <t>Youth</t>
        </is>
      </c>
      <c r="D2127" s="37" t="inlineStr">
        <is>
          <t>2026-07-21</t>
        </is>
      </c>
      <c r="E2127" s="37" t="inlineStr">
        <is>
          <t>Process Check</t>
        </is>
      </c>
      <c r="F2127" s="37" t="inlineStr">
        <is>
          <t>Check if any hiring is delayed and plan a resolution.</t>
        </is>
      </c>
      <c r="G2127" s="37" t="inlineStr">
        <is>
          <t>Need Improvement</t>
        </is>
      </c>
    </row>
    <row r="2128">
      <c r="A2128" s="37" t="inlineStr">
        <is>
          <t>Bhargav Challa</t>
        </is>
      </c>
      <c r="B2128" s="37" t="inlineStr">
        <is>
          <t>Secunderabad</t>
        </is>
      </c>
      <c r="C2128" s="37" t="inlineStr">
        <is>
          <t>Youth</t>
        </is>
      </c>
      <c r="D2128" s="37" t="inlineStr">
        <is>
          <t>2026-07-21</t>
        </is>
      </c>
      <c r="E2128" s="37" t="inlineStr">
        <is>
          <t>Process Check</t>
        </is>
      </c>
      <c r="F2128" s="37" t="inlineStr">
        <is>
          <t>Check the CA’s diary — is CA guided daily by the AH during planning days?</t>
        </is>
      </c>
      <c r="G2128" s="37" t="inlineStr">
        <is>
          <t>Need Improvement</t>
        </is>
      </c>
    </row>
    <row r="2129">
      <c r="A2129" s="37" t="inlineStr">
        <is>
          <t>Bhargav Challa</t>
        </is>
      </c>
      <c r="B2129" s="37" t="inlineStr">
        <is>
          <t>Secunderabad</t>
        </is>
      </c>
      <c r="C2129" s="37" t="inlineStr">
        <is>
          <t>Youth</t>
        </is>
      </c>
      <c r="D2129" s="37" t="inlineStr">
        <is>
          <t>2026-07-21</t>
        </is>
      </c>
      <c r="E2129" s="37" t="inlineStr">
        <is>
          <t>Process Check</t>
        </is>
      </c>
      <c r="F2129" s="37" t="inlineStr">
        <is>
          <t>Check the AH is regularly meeting employers (in person and online) and updating the centre’s Top 20 Employer format.</t>
        </is>
      </c>
      <c r="G2129" s="37" t="inlineStr">
        <is>
          <t>All is Well</t>
        </is>
      </c>
    </row>
    <row r="2130">
      <c r="A2130" s="37" t="inlineStr">
        <is>
          <t>Bhargav Challa</t>
        </is>
      </c>
      <c r="B2130" s="37" t="inlineStr">
        <is>
          <t>Secunderabad</t>
        </is>
      </c>
      <c r="C2130" s="37" t="inlineStr">
        <is>
          <t>Youth</t>
        </is>
      </c>
      <c r="D2130" s="37" t="inlineStr">
        <is>
          <t>2026-07-21</t>
        </is>
      </c>
      <c r="E2130" s="37" t="inlineStr">
        <is>
          <t>Process Check</t>
        </is>
      </c>
      <c r="F2130" s="37" t="inlineStr">
        <is>
          <t>Confirm all new employers are registered on portal as per new process.</t>
        </is>
      </c>
      <c r="G2130" s="37" t="inlineStr">
        <is>
          <t>All is Well</t>
        </is>
      </c>
    </row>
    <row r="2131">
      <c r="A2131" s="37" t="inlineStr">
        <is>
          <t>Bhargav Challa</t>
        </is>
      </c>
      <c r="B2131" s="37" t="inlineStr">
        <is>
          <t>Secunderabad</t>
        </is>
      </c>
      <c r="C2131" s="37" t="inlineStr">
        <is>
          <t>Youth</t>
        </is>
      </c>
      <c r="D2131" s="37" t="inlineStr">
        <is>
          <t>2026-07-21</t>
        </is>
      </c>
      <c r="E2131" s="37" t="inlineStr">
        <is>
          <t>Process Check</t>
        </is>
      </c>
      <c r="F2131" s="37" t="inlineStr">
        <is>
          <t>Confirm 100% of enrolled students undergone screening (for technical courses).</t>
        </is>
      </c>
      <c r="G2131" s="37" t="inlineStr">
        <is>
          <t>All is Well</t>
        </is>
      </c>
    </row>
    <row r="2132">
      <c r="A2132" s="37" t="inlineStr">
        <is>
          <t>Bhargav Challa</t>
        </is>
      </c>
      <c r="B2132" s="37" t="inlineStr">
        <is>
          <t>Secunderabad</t>
        </is>
      </c>
      <c r="C2132" s="37" t="inlineStr">
        <is>
          <t>Youth</t>
        </is>
      </c>
      <c r="D2132" s="37" t="inlineStr">
        <is>
          <t>2026-07-21</t>
        </is>
      </c>
      <c r="E2132" s="37" t="inlineStr">
        <is>
          <t>Process Check</t>
        </is>
      </c>
      <c r="F2132" s="37" t="inlineStr">
        <is>
          <t>Confirm ESA is done (in GROW full ESA and in Technical courses relevant sections of Core Employability Part).</t>
        </is>
      </c>
      <c r="G2132" s="37" t="inlineStr">
        <is>
          <t>All is Well</t>
        </is>
      </c>
    </row>
    <row r="2133">
      <c r="A2133" s="37" t="inlineStr">
        <is>
          <t>Bhargav Challa</t>
        </is>
      </c>
      <c r="B2133" s="37" t="inlineStr">
        <is>
          <t>Secunderabad</t>
        </is>
      </c>
      <c r="C2133" s="37" t="inlineStr">
        <is>
          <t>Youth</t>
        </is>
      </c>
      <c r="D2133" s="37" t="inlineStr">
        <is>
          <t>2026-07-21</t>
        </is>
      </c>
      <c r="E2133" s="37" t="inlineStr">
        <is>
          <t>Process Check</t>
        </is>
      </c>
      <c r="F2133" s="37" t="inlineStr">
        <is>
          <t>Check is AH giving capstone project in GROW Tech.</t>
        </is>
      </c>
      <c r="G2133" s="37" t="inlineStr">
        <is>
          <t>Not Applicable</t>
        </is>
      </c>
    </row>
    <row r="2134">
      <c r="A2134" s="37" t="inlineStr">
        <is>
          <t>Bhargav Challa</t>
        </is>
      </c>
      <c r="B2134" s="37" t="inlineStr">
        <is>
          <t>Secunderabad</t>
        </is>
      </c>
      <c r="C2134" s="37" t="inlineStr">
        <is>
          <t>Youth</t>
        </is>
      </c>
      <c r="D2134" s="37" t="inlineStr">
        <is>
          <t>2026-07-21</t>
        </is>
      </c>
      <c r="E2134" s="37" t="inlineStr">
        <is>
          <t>Process Check</t>
        </is>
      </c>
      <c r="F2134" s="37" t="inlineStr">
        <is>
          <t>Check is AH planning OJT as per guidelines and proofs are collected for technical courses.</t>
        </is>
      </c>
      <c r="G2134" s="37" t="inlineStr">
        <is>
          <t>Not Applicable</t>
        </is>
      </c>
    </row>
    <row r="2135">
      <c r="A2135" s="37" t="inlineStr">
        <is>
          <t>Bhargav Challa</t>
        </is>
      </c>
      <c r="B2135" s="37" t="inlineStr">
        <is>
          <t>Secunderabad</t>
        </is>
      </c>
      <c r="C2135" s="37" t="inlineStr">
        <is>
          <t>Youth</t>
        </is>
      </c>
      <c r="D2135" s="37" t="inlineStr">
        <is>
          <t>2026-07-21</t>
        </is>
      </c>
      <c r="E2135" s="37" t="inlineStr">
        <is>
          <t>Process Check</t>
        </is>
      </c>
      <c r="F2135" s="37" t="inlineStr">
        <is>
          <t>Check are trainers contacting aspirants to find reason for their absenteeism of more than 1 day.</t>
        </is>
      </c>
      <c r="G2135" s="37" t="inlineStr">
        <is>
          <t>All is Well</t>
        </is>
      </c>
    </row>
    <row r="2136">
      <c r="A2136" s="37" t="inlineStr">
        <is>
          <t>Bhargav Challa</t>
        </is>
      </c>
      <c r="B2136" s="37" t="inlineStr">
        <is>
          <t>Secunderabad</t>
        </is>
      </c>
      <c r="C2136" s="37" t="inlineStr">
        <is>
          <t>Youth</t>
        </is>
      </c>
      <c r="D2136" s="37" t="inlineStr">
        <is>
          <t>2026-07-21</t>
        </is>
      </c>
      <c r="E2136" s="37" t="inlineStr">
        <is>
          <t>Process Check</t>
        </is>
      </c>
      <c r="F2136" s="37" t="inlineStr">
        <is>
          <t>Check the AH plans monthly enrolment and placement numbers by the 3rd of each month and shares them with second level managers.</t>
        </is>
      </c>
      <c r="G2136" s="37" t="inlineStr">
        <is>
          <t>Need Improvement</t>
        </is>
      </c>
    </row>
    <row r="2137">
      <c r="A2137" s="37" t="inlineStr">
        <is>
          <t>Bhargav Challa</t>
        </is>
      </c>
      <c r="B2137" s="37" t="inlineStr">
        <is>
          <t>Secunderabad</t>
        </is>
      </c>
      <c r="C2137" s="37" t="inlineStr">
        <is>
          <t>Youth</t>
        </is>
      </c>
      <c r="D2137" s="37" t="inlineStr">
        <is>
          <t>2026-07-21</t>
        </is>
      </c>
      <c r="E2137" s="37" t="inlineStr">
        <is>
          <t>Process Check</t>
        </is>
      </c>
      <c r="F2137" s="37" t="inlineStr">
        <is>
          <t>Check trainers submit aspirants’ placement interest areas to the AH by the batch’s 25th day (in GROW).</t>
        </is>
      </c>
      <c r="G2137" s="37" t="inlineStr">
        <is>
          <t>All is Well</t>
        </is>
      </c>
    </row>
    <row r="2138">
      <c r="A2138" s="37" t="inlineStr">
        <is>
          <t>Bhargav Challa</t>
        </is>
      </c>
      <c r="B2138" s="37" t="inlineStr">
        <is>
          <t>Secunderabad</t>
        </is>
      </c>
      <c r="C2138" s="37" t="inlineStr">
        <is>
          <t>Youth</t>
        </is>
      </c>
      <c r="D2138" s="37" t="inlineStr">
        <is>
          <t>2026-07-21</t>
        </is>
      </c>
      <c r="E2138" s="37" t="inlineStr">
        <is>
          <t>Process Check</t>
        </is>
      </c>
      <c r="F2138" s="37" t="inlineStr">
        <is>
          <t>Ckeck For technical programs, placement is done only in technical jobs,on which aspirants are trained and relevant emplyers are identified by 45th day.</t>
        </is>
      </c>
      <c r="G2138" s="37" t="inlineStr">
        <is>
          <t>Not Applicable</t>
        </is>
      </c>
    </row>
    <row r="2139">
      <c r="A2139" s="37" t="inlineStr">
        <is>
          <t>Bhargav Challa</t>
        </is>
      </c>
      <c r="B2139" s="37" t="inlineStr">
        <is>
          <t>Secunderabad</t>
        </is>
      </c>
      <c r="C2139" s="37" t="inlineStr">
        <is>
          <t>Youth</t>
        </is>
      </c>
      <c r="D2139" s="37" t="inlineStr">
        <is>
          <t>2026-07-21</t>
        </is>
      </c>
      <c r="E2139" s="37" t="inlineStr">
        <is>
          <t>Process Check</t>
        </is>
      </c>
      <c r="F2139" s="37" t="inlineStr">
        <is>
          <t>Check the AH follows EP guidelines and minimum benchmark salary guidelines.</t>
        </is>
      </c>
      <c r="G2139" s="37" t="inlineStr">
        <is>
          <t>All is Well</t>
        </is>
      </c>
    </row>
    <row r="2140">
      <c r="A2140" s="37" t="inlineStr">
        <is>
          <t>Bhargav Challa</t>
        </is>
      </c>
      <c r="B2140" s="37" t="inlineStr">
        <is>
          <t>Secunderabad</t>
        </is>
      </c>
      <c r="C2140" s="37" t="inlineStr">
        <is>
          <t>Youth</t>
        </is>
      </c>
      <c r="D2140" s="37" t="inlineStr">
        <is>
          <t>2026-07-21</t>
        </is>
      </c>
      <c r="E2140" s="37" t="inlineStr">
        <is>
          <t>Process Check</t>
        </is>
      </c>
      <c r="F2140" s="37" t="inlineStr">
        <is>
          <t>Check that AH is enrolling only the right traget group in the program -as per the defined target.</t>
        </is>
      </c>
      <c r="G2140" s="37" t="inlineStr">
        <is>
          <t>All is Well</t>
        </is>
      </c>
    </row>
    <row r="2141">
      <c r="A2141" s="37" t="inlineStr">
        <is>
          <t>Bhargav Challa</t>
        </is>
      </c>
      <c r="B2141" s="37" t="inlineStr">
        <is>
          <t>Secunderabad</t>
        </is>
      </c>
      <c r="C2141" s="37" t="inlineStr">
        <is>
          <t>Youth</t>
        </is>
      </c>
      <c r="D2141" s="37" t="inlineStr">
        <is>
          <t>2026-07-21</t>
        </is>
      </c>
      <c r="E2141" s="37" t="inlineStr">
        <is>
          <t>Process Check</t>
        </is>
      </c>
      <c r="F2141" s="37" t="inlineStr">
        <is>
          <t>Check the AH announces the next batch-start date by the 3rd of the month on all notice boards — focus on Zero-Day start.</t>
        </is>
      </c>
      <c r="G2141" s="37" t="inlineStr">
        <is>
          <t>All is Well</t>
        </is>
      </c>
    </row>
    <row r="2142">
      <c r="A2142" s="37" t="inlineStr">
        <is>
          <t>Bhargav Challa</t>
        </is>
      </c>
      <c r="B2142" s="37" t="inlineStr">
        <is>
          <t>Secunderabad</t>
        </is>
      </c>
      <c r="C2142" s="37" t="inlineStr">
        <is>
          <t>Youth</t>
        </is>
      </c>
      <c r="D2142" s="37" t="inlineStr">
        <is>
          <t>2026-07-21</t>
        </is>
      </c>
      <c r="E2142" s="37" t="inlineStr">
        <is>
          <t>Process Check</t>
        </is>
      </c>
      <c r="F2142" s="37" t="inlineStr">
        <is>
          <t>Check the Aspirant Mock Interview Score Tracker is updated after every mock interview in the L&amp;D Google Sheet.</t>
        </is>
      </c>
      <c r="G2142" s="37" t="inlineStr">
        <is>
          <t>All is Well</t>
        </is>
      </c>
    </row>
    <row r="2143">
      <c r="A2143" s="37" t="inlineStr">
        <is>
          <t>Bhargav Challa</t>
        </is>
      </c>
      <c r="B2143" s="37" t="inlineStr">
        <is>
          <t>Secunderabad</t>
        </is>
      </c>
      <c r="C2143" s="37" t="inlineStr">
        <is>
          <t>Youth</t>
        </is>
      </c>
      <c r="D2143" s="37" t="inlineStr">
        <is>
          <t>2026-07-21</t>
        </is>
      </c>
      <c r="E2143" s="37" t="inlineStr">
        <is>
          <t>Process Check</t>
        </is>
      </c>
      <c r="F2143" s="37" t="inlineStr">
        <is>
          <t>Confirm NPS (Net Promoter Score) is collected at MSDF centres.</t>
        </is>
      </c>
      <c r="G2143" s="37" t="inlineStr">
        <is>
          <t>Not Applicable</t>
        </is>
      </c>
    </row>
    <row r="2144">
      <c r="A2144" s="37" t="inlineStr">
        <is>
          <t>Bhargav Challa</t>
        </is>
      </c>
      <c r="B2144" s="37" t="inlineStr">
        <is>
          <t>Secunderabad</t>
        </is>
      </c>
      <c r="C2144" s="37" t="inlineStr">
        <is>
          <t>Youth</t>
        </is>
      </c>
      <c r="D2144" s="37" t="inlineStr">
        <is>
          <t>2026-07-21</t>
        </is>
      </c>
      <c r="E2144" s="37" t="inlineStr">
        <is>
          <t>Process Check</t>
        </is>
      </c>
      <c r="F2144" s="37" t="inlineStr">
        <is>
          <t>Confirm that QAE is collecting student feedback for every batch.</t>
        </is>
      </c>
      <c r="G2144" s="37" t="inlineStr">
        <is>
          <t>All is Well</t>
        </is>
      </c>
    </row>
    <row r="2145">
      <c r="A2145" s="37" t="inlineStr">
        <is>
          <t>Bhargav Challa</t>
        </is>
      </c>
      <c r="B2145" s="37" t="inlineStr">
        <is>
          <t>Secunderabad</t>
        </is>
      </c>
      <c r="C2145" s="37" t="inlineStr">
        <is>
          <t>Youth</t>
        </is>
      </c>
      <c r="D2145" s="37" t="inlineStr">
        <is>
          <t>2026-07-21</t>
        </is>
      </c>
      <c r="E2145" s="37" t="inlineStr">
        <is>
          <t>Process Check</t>
        </is>
      </c>
      <c r="F2145" s="37" t="inlineStr">
        <is>
          <t>Confirm all centre teams have completed the GROW Manual Course on Skillfy — ask for achievement certificates.</t>
        </is>
      </c>
      <c r="G2145" s="37" t="inlineStr">
        <is>
          <t>All is Well</t>
        </is>
      </c>
    </row>
    <row r="2146">
      <c r="A2146" s="37" t="inlineStr">
        <is>
          <t>Bhargav Challa</t>
        </is>
      </c>
      <c r="B2146" s="37" t="inlineStr">
        <is>
          <t>Secunderabad</t>
        </is>
      </c>
      <c r="C2146" s="37" t="inlineStr">
        <is>
          <t>Youth</t>
        </is>
      </c>
      <c r="D2146" s="37" t="inlineStr">
        <is>
          <t>2026-07-21</t>
        </is>
      </c>
      <c r="E2146" s="37" t="inlineStr">
        <is>
          <t>Process Check</t>
        </is>
      </c>
      <c r="F2146" s="37" t="inlineStr">
        <is>
          <t>Check AH holds a quality weekly team meeting, documents action points in the weekly meeting format, and sends you a photo on WhatsApp.</t>
        </is>
      </c>
      <c r="G2146" s="37" t="inlineStr">
        <is>
          <t>All is Well</t>
        </is>
      </c>
    </row>
    <row r="2147">
      <c r="A2147" s="37" t="inlineStr">
        <is>
          <t>Bhargav Challa</t>
        </is>
      </c>
      <c r="B2147" s="37" t="inlineStr">
        <is>
          <t>Secunderabad</t>
        </is>
      </c>
      <c r="C2147" s="37" t="inlineStr">
        <is>
          <t>Youth</t>
        </is>
      </c>
      <c r="D2147" s="37" t="inlineStr">
        <is>
          <t>2026-07-21</t>
        </is>
      </c>
      <c r="E2147" s="37" t="inlineStr">
        <is>
          <t>Aspirant Interaction</t>
        </is>
      </c>
      <c r="F2147" s="37" t="inlineStr">
        <is>
          <t>Ask aspirants about the session plan — confirm training is happening as planned?</t>
        </is>
      </c>
      <c r="G2147" s="37" t="inlineStr">
        <is>
          <t>Need Improvement</t>
        </is>
      </c>
    </row>
    <row r="2148">
      <c r="A2148" s="37" t="inlineStr">
        <is>
          <t>Bhargav Challa</t>
        </is>
      </c>
      <c r="B2148" s="37" t="inlineStr">
        <is>
          <t>Secunderabad</t>
        </is>
      </c>
      <c r="C2148" s="37" t="inlineStr">
        <is>
          <t>Youth</t>
        </is>
      </c>
      <c r="D2148" s="37" t="inlineStr">
        <is>
          <t>2026-07-21</t>
        </is>
      </c>
      <c r="E2148" s="37" t="inlineStr">
        <is>
          <t>Aspirant Interaction</t>
        </is>
      </c>
      <c r="F2148" s="37" t="inlineStr">
        <is>
          <t>Ask about the quality of Core Employability component delivery (technical centres) and who delivers it.</t>
        </is>
      </c>
      <c r="G2148" s="37" t="inlineStr">
        <is>
          <t>Not Applicable</t>
        </is>
      </c>
    </row>
    <row r="2149">
      <c r="A2149" s="37" t="inlineStr">
        <is>
          <t>Bhargav Challa</t>
        </is>
      </c>
      <c r="B2149" s="37" t="inlineStr">
        <is>
          <t>Secunderabad</t>
        </is>
      </c>
      <c r="C2149" s="37" t="inlineStr">
        <is>
          <t>Youth</t>
        </is>
      </c>
      <c r="D2149" s="37" t="inlineStr">
        <is>
          <t>2026-07-21</t>
        </is>
      </c>
      <c r="E2149" s="37" t="inlineStr">
        <is>
          <t>Aspirant Interaction</t>
        </is>
      </c>
      <c r="F2149" s="37" t="inlineStr">
        <is>
          <t>Ask whether they are aware of the referral scheme?</t>
        </is>
      </c>
      <c r="G2149" s="37" t="inlineStr">
        <is>
          <t>All is Well</t>
        </is>
      </c>
    </row>
    <row r="2150">
      <c r="A2150" s="37" t="inlineStr">
        <is>
          <t>Bhargav Challa</t>
        </is>
      </c>
      <c r="B2150" s="37" t="inlineStr">
        <is>
          <t>Secunderabad</t>
        </is>
      </c>
      <c r="C2150" s="37" t="inlineStr">
        <is>
          <t>Youth</t>
        </is>
      </c>
      <c r="D2150" s="37" t="inlineStr">
        <is>
          <t>2026-07-21</t>
        </is>
      </c>
      <c r="E2150" s="37" t="inlineStr">
        <is>
          <t>Aspirant Interaction</t>
        </is>
      </c>
      <c r="F2150" s="37" t="inlineStr">
        <is>
          <t>Ask whether the AH explained the importance of the offer letter and sharing it with us once received for reporting purposes?</t>
        </is>
      </c>
      <c r="G2150" s="37" t="inlineStr">
        <is>
          <t>All is Well</t>
        </is>
      </c>
    </row>
    <row r="2151">
      <c r="A2151" s="37" t="inlineStr">
        <is>
          <t>Bhargav Challa</t>
        </is>
      </c>
      <c r="B2151" s="37" t="inlineStr">
        <is>
          <t>Secunderabad</t>
        </is>
      </c>
      <c r="C2151" s="37" t="inlineStr">
        <is>
          <t>Youth</t>
        </is>
      </c>
      <c r="D2151" s="37" t="inlineStr">
        <is>
          <t>2026-07-21</t>
        </is>
      </c>
      <c r="E2151" s="37" t="inlineStr">
        <is>
          <t>Aspirant Interaction</t>
        </is>
      </c>
      <c r="F2151" s="37" t="inlineStr">
        <is>
          <t>Ask how many are not interested in jobs — and if so, why they enrolled in the programme?</t>
        </is>
      </c>
      <c r="G2151" s="37" t="inlineStr">
        <is>
          <t>All is Well</t>
        </is>
      </c>
    </row>
    <row r="2152">
      <c r="A2152" s="37" t="inlineStr">
        <is>
          <t>Bhargav Challa</t>
        </is>
      </c>
      <c r="B2152" s="37" t="inlineStr">
        <is>
          <t>Secunderabad</t>
        </is>
      </c>
      <c r="C2152" s="37" t="inlineStr">
        <is>
          <t>Youth</t>
        </is>
      </c>
      <c r="D2152" s="37" t="inlineStr">
        <is>
          <t>2026-07-21</t>
        </is>
      </c>
      <c r="E2152" s="37" t="inlineStr">
        <is>
          <t>Aspirant Interaction</t>
        </is>
      </c>
      <c r="F2152" s="37" t="inlineStr">
        <is>
          <t>Ask whether they were told the kind of job they would get during counselling?</t>
        </is>
      </c>
      <c r="G2152" s="37" t="inlineStr">
        <is>
          <t>All is Well</t>
        </is>
      </c>
    </row>
    <row r="2153">
      <c r="A2153" s="37" t="inlineStr">
        <is>
          <t>Bhargav Challa</t>
        </is>
      </c>
      <c r="B2153" s="37" t="inlineStr">
        <is>
          <t>Secunderabad</t>
        </is>
      </c>
      <c r="C2153" s="37" t="inlineStr">
        <is>
          <t>Youth</t>
        </is>
      </c>
      <c r="D2153" s="37" t="inlineStr">
        <is>
          <t>2026-07-21</t>
        </is>
      </c>
      <c r="E2153" s="37" t="inlineStr">
        <is>
          <t>Aspirant Interaction</t>
        </is>
      </c>
      <c r="F2153" s="37" t="inlineStr">
        <is>
          <t>Ask whether they have been given LMS access?</t>
        </is>
      </c>
      <c r="G2153" s="37" t="inlineStr">
        <is>
          <t>All is Well</t>
        </is>
      </c>
    </row>
    <row r="2154">
      <c r="A2154" s="37" t="inlineStr">
        <is>
          <t>Bhargav Challa</t>
        </is>
      </c>
      <c r="B2154" s="37" t="inlineStr">
        <is>
          <t>Secunderabad</t>
        </is>
      </c>
      <c r="C2154" s="37" t="inlineStr">
        <is>
          <t>Youth</t>
        </is>
      </c>
      <c r="D2154" s="37" t="inlineStr">
        <is>
          <t>2026-07-21</t>
        </is>
      </c>
      <c r="E2154" s="37" t="inlineStr">
        <is>
          <t>Aspirant Interaction</t>
        </is>
      </c>
      <c r="F2154" s="37" t="inlineStr">
        <is>
          <t>Ask whether anyone asked them for money for training or placement?</t>
        </is>
      </c>
      <c r="G2154" s="37" t="inlineStr">
        <is>
          <t>All is Well</t>
        </is>
      </c>
    </row>
    <row r="2155">
      <c r="A2155" s="37" t="inlineStr">
        <is>
          <t>Bhargav Challa</t>
        </is>
      </c>
      <c r="B2155" s="37" t="inlineStr">
        <is>
          <t>Secunderabad</t>
        </is>
      </c>
      <c r="C2155" s="37" t="inlineStr">
        <is>
          <t>Youth</t>
        </is>
      </c>
      <c r="D2155" s="37" t="inlineStr">
        <is>
          <t>2026-07-21</t>
        </is>
      </c>
      <c r="E2155" s="37" t="inlineStr">
        <is>
          <t>Aspirant Interaction</t>
        </is>
      </c>
      <c r="F2155" s="37" t="inlineStr">
        <is>
          <t>Ask to show their mobile phones — are they enrolled on Skillfy? If not, get them enrolled and give written feedback to trainers and the AH in your presence.</t>
        </is>
      </c>
      <c r="G2155" s="37" t="inlineStr">
        <is>
          <t>All is Well</t>
        </is>
      </c>
    </row>
    <row r="2156">
      <c r="A2156" s="37" t="inlineStr">
        <is>
          <t>Bhargav Challa</t>
        </is>
      </c>
      <c r="B2156" s="37" t="inlineStr">
        <is>
          <t>Secunderabad</t>
        </is>
      </c>
      <c r="C2156" s="37" t="inlineStr">
        <is>
          <t>Youth</t>
        </is>
      </c>
      <c r="D2156" s="37" t="inlineStr">
        <is>
          <t>2026-07-21</t>
        </is>
      </c>
      <c r="E2156" s="37" t="inlineStr">
        <is>
          <t>Aspirant Interaction</t>
        </is>
      </c>
      <c r="F2156" s="37" t="inlineStr">
        <is>
          <t>Ask about the quality of the hostel and any issues they face.</t>
        </is>
      </c>
      <c r="G2156" s="37" t="inlineStr">
        <is>
          <t>Not Applicable</t>
        </is>
      </c>
    </row>
    <row r="2157">
      <c r="A2157" s="37" t="inlineStr">
        <is>
          <t>Bhargav Challa</t>
        </is>
      </c>
      <c r="B2157" s="37" t="inlineStr">
        <is>
          <t>Secunderabad</t>
        </is>
      </c>
      <c r="C2157" s="37" t="inlineStr">
        <is>
          <t>Youth</t>
        </is>
      </c>
      <c r="D2157" s="37" t="inlineStr">
        <is>
          <t>2026-07-21</t>
        </is>
      </c>
      <c r="E2157" s="37" t="inlineStr">
        <is>
          <t>Aspirant Interaction</t>
        </is>
      </c>
      <c r="F2157" s="37" t="inlineStr">
        <is>
          <t>Ask a few relevant screening questions to support the 10th-day report and remove non-serious candidates, explaining to them the reasons.</t>
        </is>
      </c>
      <c r="G2157" s="37" t="inlineStr">
        <is>
          <t>All is Well</t>
        </is>
      </c>
    </row>
    <row r="2158">
      <c r="A2158" s="37" t="inlineStr">
        <is>
          <t>Raghavender Rao</t>
        </is>
      </c>
      <c r="B2158" s="37" t="inlineStr">
        <is>
          <t>Tech jobs-Miyapur</t>
        </is>
      </c>
      <c r="C2158" s="37" t="inlineStr">
        <is>
          <t>Tech jobs</t>
        </is>
      </c>
      <c r="D2158" s="37" t="inlineStr">
        <is>
          <t>2026-07-22</t>
        </is>
      </c>
      <c r="E2158" s="37" t="inlineStr">
        <is>
          <t>Data Check</t>
        </is>
      </c>
      <c r="F2158" s="37" t="inlineStr">
        <is>
          <t>Reach the centre on time (unannounced) — confirm the centre opened on time.</t>
        </is>
      </c>
      <c r="G2158" s="37" t="inlineStr">
        <is>
          <t>All is Well</t>
        </is>
      </c>
    </row>
    <row r="2159">
      <c r="A2159" s="37" t="inlineStr">
        <is>
          <t>Raghavender Rao</t>
        </is>
      </c>
      <c r="B2159" s="37" t="inlineStr">
        <is>
          <t>Tech jobs-Miyapur</t>
        </is>
      </c>
      <c r="C2159" s="37" t="inlineStr">
        <is>
          <t>Tech jobs</t>
        </is>
      </c>
      <c r="D2159" s="37" t="inlineStr">
        <is>
          <t>2026-07-22</t>
        </is>
      </c>
      <c r="E2159" s="37" t="inlineStr">
        <is>
          <t>Data Check</t>
        </is>
      </c>
      <c r="F2159" s="37" t="inlineStr">
        <is>
          <t>Check the staff attendance register, the Google Sheet, and geo-tagged photos for aspirants.</t>
        </is>
      </c>
      <c r="G2159" s="37" t="inlineStr">
        <is>
          <t>All is Well</t>
        </is>
      </c>
    </row>
    <row r="2160">
      <c r="A2160" s="37" t="inlineStr">
        <is>
          <t>Raghavender Rao</t>
        </is>
      </c>
      <c r="B2160" s="37" t="inlineStr">
        <is>
          <t>Tech jobs-Miyapur</t>
        </is>
      </c>
      <c r="C2160" s="37" t="inlineStr">
        <is>
          <t>Tech jobs</t>
        </is>
      </c>
      <c r="D2160" s="37" t="inlineStr">
        <is>
          <t>2026-07-22</t>
        </is>
      </c>
      <c r="E2160" s="37" t="inlineStr">
        <is>
          <t>Data Check</t>
        </is>
      </c>
      <c r="F2160" s="37" t="inlineStr">
        <is>
          <t>Check Counselling and Screening Forms of recently started batches.</t>
        </is>
      </c>
      <c r="G2160" s="37" t="inlineStr">
        <is>
          <t>All is Well</t>
        </is>
      </c>
    </row>
    <row r="2161">
      <c r="A2161" s="37" t="inlineStr">
        <is>
          <t>Raghavender Rao</t>
        </is>
      </c>
      <c r="B2161" s="37" t="inlineStr">
        <is>
          <t>Tech jobs-Miyapur</t>
        </is>
      </c>
      <c r="C2161" s="37" t="inlineStr">
        <is>
          <t>Tech jobs</t>
        </is>
      </c>
      <c r="D2161" s="37" t="inlineStr">
        <is>
          <t>2026-07-22</t>
        </is>
      </c>
      <c r="E2161" s="37" t="inlineStr">
        <is>
          <t>Data Check</t>
        </is>
      </c>
      <c r="F2161" s="37" t="inlineStr">
        <is>
          <t>Check Aspirant Registration Forms and related documents.</t>
        </is>
      </c>
      <c r="G2161" s="37" t="inlineStr">
        <is>
          <t>All is Well</t>
        </is>
      </c>
    </row>
    <row r="2162">
      <c r="A2162" s="37" t="inlineStr">
        <is>
          <t>Raghavender Rao</t>
        </is>
      </c>
      <c r="B2162" s="37" t="inlineStr">
        <is>
          <t>Tech jobs-Miyapur</t>
        </is>
      </c>
      <c r="C2162" s="37" t="inlineStr">
        <is>
          <t>Tech jobs</t>
        </is>
      </c>
      <c r="D2162" s="37" t="inlineStr">
        <is>
          <t>2026-07-22</t>
        </is>
      </c>
      <c r="E2162" s="37" t="inlineStr">
        <is>
          <t>Data Check</t>
        </is>
      </c>
      <c r="F2162" s="37" t="inlineStr">
        <is>
          <t>On the GROW portal, confirm all student profile details and batch updates are currect.</t>
        </is>
      </c>
      <c r="G2162" s="37" t="inlineStr">
        <is>
          <t>All is Well</t>
        </is>
      </c>
    </row>
    <row r="2163">
      <c r="A2163" s="37" t="inlineStr">
        <is>
          <t>Raghavender Rao</t>
        </is>
      </c>
      <c r="B2163" s="37" t="inlineStr">
        <is>
          <t>Tech jobs-Miyapur</t>
        </is>
      </c>
      <c r="C2163" s="37" t="inlineStr">
        <is>
          <t>Tech jobs</t>
        </is>
      </c>
      <c r="D2163" s="37" t="inlineStr">
        <is>
          <t>2026-07-22</t>
        </is>
      </c>
      <c r="E2163" s="37" t="inlineStr">
        <is>
          <t>Data Check</t>
        </is>
      </c>
      <c r="F2163" s="37" t="inlineStr">
        <is>
          <t>Verify placement data — randomly call 3–4 alumni placed in the last 3 months to confirm veracity (random selection is essential).</t>
        </is>
      </c>
      <c r="G2163" s="37" t="inlineStr">
        <is>
          <t>All is Well</t>
        </is>
      </c>
    </row>
    <row r="2164">
      <c r="A2164" s="37" t="inlineStr">
        <is>
          <t>Raghavender Rao</t>
        </is>
      </c>
      <c r="B2164" s="37" t="inlineStr">
        <is>
          <t>Tech jobs-Miyapur</t>
        </is>
      </c>
      <c r="C2164" s="37" t="inlineStr">
        <is>
          <t>Tech jobs</t>
        </is>
      </c>
      <c r="D2164" s="37" t="inlineStr">
        <is>
          <t>2026-07-22</t>
        </is>
      </c>
      <c r="E2164" s="37" t="inlineStr">
        <is>
          <t>Data Check</t>
        </is>
      </c>
      <c r="F2164" s="37" t="inlineStr">
        <is>
          <t>Verify retention — check the Alumni Hand-holding Format is being updated as designed.</t>
        </is>
      </c>
      <c r="G2164" s="37" t="inlineStr">
        <is>
          <t>All is Well</t>
        </is>
      </c>
    </row>
    <row r="2165">
      <c r="A2165" s="37" t="inlineStr">
        <is>
          <t>Raghavender Rao</t>
        </is>
      </c>
      <c r="B2165" s="37" t="inlineStr">
        <is>
          <t>Tech jobs-Miyapur</t>
        </is>
      </c>
      <c r="C2165" s="37" t="inlineStr">
        <is>
          <t>Tech jobs</t>
        </is>
      </c>
      <c r="D2165" s="37" t="inlineStr">
        <is>
          <t>2026-07-22</t>
        </is>
      </c>
      <c r="E2165" s="37" t="inlineStr">
        <is>
          <t>Data Check</t>
        </is>
      </c>
      <c r="F2165" s="37" t="inlineStr">
        <is>
          <t>Check aspirant Hostel Forms are properly filled or not.</t>
        </is>
      </c>
      <c r="G2165" s="37" t="inlineStr">
        <is>
          <t>Not Applicable</t>
        </is>
      </c>
    </row>
    <row r="2166">
      <c r="A2166" s="37" t="inlineStr">
        <is>
          <t>Raghavender Rao</t>
        </is>
      </c>
      <c r="B2166" s="37" t="inlineStr">
        <is>
          <t>Tech jobs-Miyapur</t>
        </is>
      </c>
      <c r="C2166" s="37" t="inlineStr">
        <is>
          <t>Tech jobs</t>
        </is>
      </c>
      <c r="D2166" s="37" t="inlineStr">
        <is>
          <t>2026-07-22</t>
        </is>
      </c>
      <c r="E2166" s="37" t="inlineStr">
        <is>
          <t>Infra Check</t>
        </is>
      </c>
      <c r="F2166" s="37" t="inlineStr">
        <is>
          <t>Check all CCTV cameras; if any are not working, ask the AH to troubleshoot or call the vendor.</t>
        </is>
      </c>
      <c r="G2166" s="37" t="inlineStr">
        <is>
          <t>All is Well</t>
        </is>
      </c>
    </row>
    <row r="2167">
      <c r="A2167" s="37" t="inlineStr">
        <is>
          <t>Raghavender Rao</t>
        </is>
      </c>
      <c r="B2167" s="37" t="inlineStr">
        <is>
          <t>Tech jobs-Miyapur</t>
        </is>
      </c>
      <c r="C2167" s="37" t="inlineStr">
        <is>
          <t>Tech jobs</t>
        </is>
      </c>
      <c r="D2167" s="37" t="inlineStr">
        <is>
          <t>2026-07-22</t>
        </is>
      </c>
      <c r="E2167" s="37" t="inlineStr">
        <is>
          <t>Infra Check</t>
        </is>
      </c>
      <c r="F2167" s="37" t="inlineStr">
        <is>
          <t>Check for any scrap material and get it cleared, with support of Admin</t>
        </is>
      </c>
      <c r="G2167" s="37" t="inlineStr">
        <is>
          <t>Not Applicable</t>
        </is>
      </c>
    </row>
    <row r="2168">
      <c r="A2168" s="37" t="inlineStr">
        <is>
          <t>Raghavender Rao</t>
        </is>
      </c>
      <c r="B2168" s="37" t="inlineStr">
        <is>
          <t>Tech jobs-Miyapur</t>
        </is>
      </c>
      <c r="C2168" s="37" t="inlineStr">
        <is>
          <t>Tech jobs</t>
        </is>
      </c>
      <c r="D2168" s="37" t="inlineStr">
        <is>
          <t>2026-07-22</t>
        </is>
      </c>
      <c r="E2168" s="37" t="inlineStr">
        <is>
          <t>Infra Check</t>
        </is>
      </c>
      <c r="F2168" s="37" t="inlineStr">
        <is>
          <t>Check for any pending infra repairs.</t>
        </is>
      </c>
      <c r="G2168" s="37" t="inlineStr">
        <is>
          <t>All is Well</t>
        </is>
      </c>
    </row>
    <row r="2169">
      <c r="A2169" s="37" t="inlineStr">
        <is>
          <t>Raghavender Rao</t>
        </is>
      </c>
      <c r="B2169" s="37" t="inlineStr">
        <is>
          <t>Tech jobs-Miyapur</t>
        </is>
      </c>
      <c r="C2169" s="37" t="inlineStr">
        <is>
          <t>Tech jobs</t>
        </is>
      </c>
      <c r="D2169" s="37" t="inlineStr">
        <is>
          <t>2026-07-22</t>
        </is>
      </c>
      <c r="E2169" s="37" t="inlineStr">
        <is>
          <t>Infra Check</t>
        </is>
      </c>
      <c r="F2169" s="37" t="inlineStr">
        <is>
          <t>Check whether any fire extinguishers have expired (check the needle and expiry date both).</t>
        </is>
      </c>
      <c r="G2169" s="37" t="inlineStr">
        <is>
          <t>All is Well</t>
        </is>
      </c>
    </row>
    <row r="2170">
      <c r="A2170" s="37" t="inlineStr">
        <is>
          <t>Raghavender Rao</t>
        </is>
      </c>
      <c r="B2170" s="37" t="inlineStr">
        <is>
          <t>Tech jobs-Miyapur</t>
        </is>
      </c>
      <c r="C2170" s="37" t="inlineStr">
        <is>
          <t>Tech jobs</t>
        </is>
      </c>
      <c r="D2170" s="37" t="inlineStr">
        <is>
          <t>2026-07-22</t>
        </is>
      </c>
      <c r="E2170" s="37" t="inlineStr">
        <is>
          <t>Infra Check</t>
        </is>
      </c>
      <c r="F2170" s="37" t="inlineStr">
        <is>
          <t>Check basic cleanliness of the washrooms and the centre.</t>
        </is>
      </c>
      <c r="G2170" s="37" t="inlineStr">
        <is>
          <t>All is Well</t>
        </is>
      </c>
    </row>
    <row r="2171">
      <c r="A2171" s="37" t="inlineStr">
        <is>
          <t>Raghavender Rao</t>
        </is>
      </c>
      <c r="B2171" s="37" t="inlineStr">
        <is>
          <t>Tech jobs-Miyapur</t>
        </is>
      </c>
      <c r="C2171" s="37" t="inlineStr">
        <is>
          <t>Tech jobs</t>
        </is>
      </c>
      <c r="D2171" s="37" t="inlineStr">
        <is>
          <t>2026-07-22</t>
        </is>
      </c>
      <c r="E2171" s="37" t="inlineStr">
        <is>
          <t>Infra Check</t>
        </is>
      </c>
      <c r="F2171" s="37" t="inlineStr">
        <is>
          <t>Confirm the correct program and partner logos are displayed.</t>
        </is>
      </c>
      <c r="G2171" s="37" t="inlineStr">
        <is>
          <t>All is Well</t>
        </is>
      </c>
    </row>
    <row r="2172">
      <c r="A2172" s="37" t="inlineStr">
        <is>
          <t>Raghavender Rao</t>
        </is>
      </c>
      <c r="B2172" s="37" t="inlineStr">
        <is>
          <t>Tech jobs-Miyapur</t>
        </is>
      </c>
      <c r="C2172" s="37" t="inlineStr">
        <is>
          <t>Tech jobs</t>
        </is>
      </c>
      <c r="D2172" s="37" t="inlineStr">
        <is>
          <t>2026-07-22</t>
        </is>
      </c>
      <c r="E2172" s="37" t="inlineStr">
        <is>
          <t>Infra Check</t>
        </is>
      </c>
      <c r="F2172" s="37" t="inlineStr">
        <is>
          <t>Check the status of digital infra — PCs, smartboards, tablets, laptops, etc.</t>
        </is>
      </c>
      <c r="G2172" s="37" t="inlineStr">
        <is>
          <t>All is Well</t>
        </is>
      </c>
    </row>
    <row r="2173">
      <c r="A2173" s="37" t="inlineStr">
        <is>
          <t>Raghavender Rao</t>
        </is>
      </c>
      <c r="B2173" s="37" t="inlineStr">
        <is>
          <t>Tech jobs-Miyapur</t>
        </is>
      </c>
      <c r="C2173" s="37" t="inlineStr">
        <is>
          <t>Tech jobs</t>
        </is>
      </c>
      <c r="D2173" s="37" t="inlineStr">
        <is>
          <t>2026-07-22</t>
        </is>
      </c>
      <c r="E2173" s="37" t="inlineStr">
        <is>
          <t>Infra Check</t>
        </is>
      </c>
      <c r="F2173" s="37" t="inlineStr">
        <is>
          <t>Make a quick hostel visit; have lunch there if possible to test the food quality.</t>
        </is>
      </c>
      <c r="G2173" s="37" t="inlineStr">
        <is>
          <t>Not Applicable</t>
        </is>
      </c>
    </row>
    <row r="2174">
      <c r="A2174" s="37" t="inlineStr">
        <is>
          <t>Raghavender Rao</t>
        </is>
      </c>
      <c r="B2174" s="37" t="inlineStr">
        <is>
          <t>Tech jobs-Miyapur</t>
        </is>
      </c>
      <c r="C2174" s="37" t="inlineStr">
        <is>
          <t>Tech jobs</t>
        </is>
      </c>
      <c r="D2174" s="37" t="inlineStr">
        <is>
          <t>2026-07-22</t>
        </is>
      </c>
      <c r="E2174" s="37" t="inlineStr">
        <is>
          <t>Process Check</t>
        </is>
      </c>
      <c r="F2174" s="37" t="inlineStr">
        <is>
          <t>Refer to the activity planner — check if any activities are delayed.</t>
        </is>
      </c>
      <c r="G2174" s="37" t="inlineStr">
        <is>
          <t>All is Well</t>
        </is>
      </c>
    </row>
    <row r="2175">
      <c r="A2175" s="37" t="inlineStr">
        <is>
          <t>Raghavender Rao</t>
        </is>
      </c>
      <c r="B2175" s="37" t="inlineStr">
        <is>
          <t>Tech jobs-Miyapur</t>
        </is>
      </c>
      <c r="C2175" s="37" t="inlineStr">
        <is>
          <t>Tech jobs</t>
        </is>
      </c>
      <c r="D2175" s="37" t="inlineStr">
        <is>
          <t>2026-07-22</t>
        </is>
      </c>
      <c r="E2175" s="37" t="inlineStr">
        <is>
          <t>Process Check</t>
        </is>
      </c>
      <c r="F2175" s="37" t="inlineStr">
        <is>
          <t>Check planning for the next batch-start announcement.</t>
        </is>
      </c>
      <c r="G2175" s="37" t="inlineStr">
        <is>
          <t>All is Well</t>
        </is>
      </c>
    </row>
    <row r="2176">
      <c r="A2176" s="37" t="inlineStr">
        <is>
          <t>Raghavender Rao</t>
        </is>
      </c>
      <c r="B2176" s="37" t="inlineStr">
        <is>
          <t>Tech jobs-Miyapur</t>
        </is>
      </c>
      <c r="C2176" s="37" t="inlineStr">
        <is>
          <t>Tech jobs</t>
        </is>
      </c>
      <c r="D2176" s="37" t="inlineStr">
        <is>
          <t>2026-07-22</t>
        </is>
      </c>
      <c r="E2176" s="37" t="inlineStr">
        <is>
          <t>Process Check</t>
        </is>
      </c>
      <c r="F2176" s="37" t="inlineStr">
        <is>
          <t>Check if any hiring is delayed and plan a resolution.</t>
        </is>
      </c>
      <c r="G2176" s="37" t="inlineStr">
        <is>
          <t>Not Applicable</t>
        </is>
      </c>
    </row>
    <row r="2177">
      <c r="A2177" s="37" t="inlineStr">
        <is>
          <t>Raghavender Rao</t>
        </is>
      </c>
      <c r="B2177" s="37" t="inlineStr">
        <is>
          <t>Tech jobs-Miyapur</t>
        </is>
      </c>
      <c r="C2177" s="37" t="inlineStr">
        <is>
          <t>Tech jobs</t>
        </is>
      </c>
      <c r="D2177" s="37" t="inlineStr">
        <is>
          <t>2026-07-22</t>
        </is>
      </c>
      <c r="E2177" s="37" t="inlineStr">
        <is>
          <t>Process Check</t>
        </is>
      </c>
      <c r="F2177" s="37" t="inlineStr">
        <is>
          <t>Check the CA’s diary — is CA guided daily by the AH during planning days?</t>
        </is>
      </c>
      <c r="G2177" s="37" t="inlineStr">
        <is>
          <t>All is Well</t>
        </is>
      </c>
    </row>
    <row r="2178">
      <c r="A2178" s="37" t="inlineStr">
        <is>
          <t>Raghavender Rao</t>
        </is>
      </c>
      <c r="B2178" s="37" t="inlineStr">
        <is>
          <t>Tech jobs-Miyapur</t>
        </is>
      </c>
      <c r="C2178" s="37" t="inlineStr">
        <is>
          <t>Tech jobs</t>
        </is>
      </c>
      <c r="D2178" s="37" t="inlineStr">
        <is>
          <t>2026-07-22</t>
        </is>
      </c>
      <c r="E2178" s="37" t="inlineStr">
        <is>
          <t>Process Check</t>
        </is>
      </c>
      <c r="F2178" s="37" t="inlineStr">
        <is>
          <t>Check the AH is regularly meeting employers (in person and online) and updating the centre’s Top 20 Employer format.</t>
        </is>
      </c>
      <c r="G2178" s="37" t="inlineStr">
        <is>
          <t>All is Well</t>
        </is>
      </c>
    </row>
    <row r="2179">
      <c r="A2179" s="37" t="inlineStr">
        <is>
          <t>Raghavender Rao</t>
        </is>
      </c>
      <c r="B2179" s="37" t="inlineStr">
        <is>
          <t>Tech jobs-Miyapur</t>
        </is>
      </c>
      <c r="C2179" s="37" t="inlineStr">
        <is>
          <t>Tech jobs</t>
        </is>
      </c>
      <c r="D2179" s="37" t="inlineStr">
        <is>
          <t>2026-07-22</t>
        </is>
      </c>
      <c r="E2179" s="37" t="inlineStr">
        <is>
          <t>Process Check</t>
        </is>
      </c>
      <c r="F2179" s="37" t="inlineStr">
        <is>
          <t>Confirm all new employers are registered on portal as per new process.</t>
        </is>
      </c>
      <c r="G2179" s="37" t="inlineStr">
        <is>
          <t>All is Well</t>
        </is>
      </c>
    </row>
    <row r="2180">
      <c r="A2180" s="37" t="inlineStr">
        <is>
          <t>Raghavender Rao</t>
        </is>
      </c>
      <c r="B2180" s="37" t="inlineStr">
        <is>
          <t>Tech jobs-Miyapur</t>
        </is>
      </c>
      <c r="C2180" s="37" t="inlineStr">
        <is>
          <t>Tech jobs</t>
        </is>
      </c>
      <c r="D2180" s="37" t="inlineStr">
        <is>
          <t>2026-07-22</t>
        </is>
      </c>
      <c r="E2180" s="37" t="inlineStr">
        <is>
          <t>Process Check</t>
        </is>
      </c>
      <c r="F2180" s="37" t="inlineStr">
        <is>
          <t>Confirm 100% of enrolled students undergone screening (for technical courses).</t>
        </is>
      </c>
      <c r="G2180" s="37" t="inlineStr">
        <is>
          <t>All is Well</t>
        </is>
      </c>
    </row>
    <row r="2181">
      <c r="A2181" s="37" t="inlineStr">
        <is>
          <t>Raghavender Rao</t>
        </is>
      </c>
      <c r="B2181" s="37" t="inlineStr">
        <is>
          <t>Tech jobs-Miyapur</t>
        </is>
      </c>
      <c r="C2181" s="37" t="inlineStr">
        <is>
          <t>Tech jobs</t>
        </is>
      </c>
      <c r="D2181" s="37" t="inlineStr">
        <is>
          <t>2026-07-22</t>
        </is>
      </c>
      <c r="E2181" s="37" t="inlineStr">
        <is>
          <t>Process Check</t>
        </is>
      </c>
      <c r="F2181" s="37" t="inlineStr">
        <is>
          <t>Confirm ESA is done (in GROW full ESA and in Technical courses relevant sections of Core Employability Part).</t>
        </is>
      </c>
      <c r="G2181" s="37" t="inlineStr">
        <is>
          <t>All is Well</t>
        </is>
      </c>
    </row>
    <row r="2182">
      <c r="A2182" s="37" t="inlineStr">
        <is>
          <t>Raghavender Rao</t>
        </is>
      </c>
      <c r="B2182" s="37" t="inlineStr">
        <is>
          <t>Tech jobs-Miyapur</t>
        </is>
      </c>
      <c r="C2182" s="37" t="inlineStr">
        <is>
          <t>Tech jobs</t>
        </is>
      </c>
      <c r="D2182" s="37" t="inlineStr">
        <is>
          <t>2026-07-22</t>
        </is>
      </c>
      <c r="E2182" s="37" t="inlineStr">
        <is>
          <t>Process Check</t>
        </is>
      </c>
      <c r="F2182" s="37" t="inlineStr">
        <is>
          <t>Check is AH giving capstone project in GROW Tech.</t>
        </is>
      </c>
      <c r="G2182" s="37" t="inlineStr">
        <is>
          <t>All is Well</t>
        </is>
      </c>
    </row>
    <row r="2183">
      <c r="A2183" s="37" t="inlineStr">
        <is>
          <t>Raghavender Rao</t>
        </is>
      </c>
      <c r="B2183" s="37" t="inlineStr">
        <is>
          <t>Tech jobs-Miyapur</t>
        </is>
      </c>
      <c r="C2183" s="37" t="inlineStr">
        <is>
          <t>Tech jobs</t>
        </is>
      </c>
      <c r="D2183" s="37" t="inlineStr">
        <is>
          <t>2026-07-22</t>
        </is>
      </c>
      <c r="E2183" s="37" t="inlineStr">
        <is>
          <t>Process Check</t>
        </is>
      </c>
      <c r="F2183" s="37" t="inlineStr">
        <is>
          <t>Check is AH planning OJT as per guidelines and proofs are collected for technical courses.</t>
        </is>
      </c>
      <c r="G2183" s="37" t="inlineStr">
        <is>
          <t>Not Applicable</t>
        </is>
      </c>
    </row>
    <row r="2184">
      <c r="A2184" s="37" t="inlineStr">
        <is>
          <t>Raghavender Rao</t>
        </is>
      </c>
      <c r="B2184" s="37" t="inlineStr">
        <is>
          <t>Tech jobs-Miyapur</t>
        </is>
      </c>
      <c r="C2184" s="37" t="inlineStr">
        <is>
          <t>Tech jobs</t>
        </is>
      </c>
      <c r="D2184" s="37" t="inlineStr">
        <is>
          <t>2026-07-22</t>
        </is>
      </c>
      <c r="E2184" s="37" t="inlineStr">
        <is>
          <t>Process Check</t>
        </is>
      </c>
      <c r="F2184" s="37" t="inlineStr">
        <is>
          <t>Check are trainers contacting aspirants to find reason for their absenteeism of more than 1 day.</t>
        </is>
      </c>
      <c r="G2184" s="37" t="inlineStr">
        <is>
          <t>All is Well</t>
        </is>
      </c>
    </row>
    <row r="2185">
      <c r="A2185" s="37" t="inlineStr">
        <is>
          <t>Raghavender Rao</t>
        </is>
      </c>
      <c r="B2185" s="37" t="inlineStr">
        <is>
          <t>Tech jobs-Miyapur</t>
        </is>
      </c>
      <c r="C2185" s="37" t="inlineStr">
        <is>
          <t>Tech jobs</t>
        </is>
      </c>
      <c r="D2185" s="37" t="inlineStr">
        <is>
          <t>2026-07-22</t>
        </is>
      </c>
      <c r="E2185" s="37" t="inlineStr">
        <is>
          <t>Process Check</t>
        </is>
      </c>
      <c r="F2185" s="37" t="inlineStr">
        <is>
          <t>Check the AH plans monthly enrolment and placement numbers by the 3rd of each month and shares them with second level managers.</t>
        </is>
      </c>
      <c r="G2185" s="37" t="inlineStr">
        <is>
          <t>All is Well</t>
        </is>
      </c>
    </row>
    <row r="2186">
      <c r="A2186" s="37" t="inlineStr">
        <is>
          <t>Raghavender Rao</t>
        </is>
      </c>
      <c r="B2186" s="37" t="inlineStr">
        <is>
          <t>Tech jobs-Miyapur</t>
        </is>
      </c>
      <c r="C2186" s="37" t="inlineStr">
        <is>
          <t>Tech jobs</t>
        </is>
      </c>
      <c r="D2186" s="37" t="inlineStr">
        <is>
          <t>2026-07-22</t>
        </is>
      </c>
      <c r="E2186" s="37" t="inlineStr">
        <is>
          <t>Process Check</t>
        </is>
      </c>
      <c r="F2186" s="37" t="inlineStr">
        <is>
          <t>Check trainers submit aspirants’ placement interest areas to the AH by the batch’s 25th day (in GROW).</t>
        </is>
      </c>
      <c r="G2186" s="37" t="inlineStr">
        <is>
          <t>All is Well</t>
        </is>
      </c>
    </row>
    <row r="2187">
      <c r="A2187" s="37" t="inlineStr">
        <is>
          <t>Raghavender Rao</t>
        </is>
      </c>
      <c r="B2187" s="37" t="inlineStr">
        <is>
          <t>Tech jobs-Miyapur</t>
        </is>
      </c>
      <c r="C2187" s="37" t="inlineStr">
        <is>
          <t>Tech jobs</t>
        </is>
      </c>
      <c r="D2187" s="37" t="inlineStr">
        <is>
          <t>2026-07-22</t>
        </is>
      </c>
      <c r="E2187" s="37" t="inlineStr">
        <is>
          <t>Process Check</t>
        </is>
      </c>
      <c r="F2187" s="37" t="inlineStr">
        <is>
          <t>Ckeck For technical programs, placement is done only in technical jobs,on which aspirants are trained and relevant emplyers are identified by 45th day.</t>
        </is>
      </c>
      <c r="G2187" s="37" t="inlineStr">
        <is>
          <t>All is Well</t>
        </is>
      </c>
    </row>
    <row r="2188">
      <c r="A2188" s="37" t="inlineStr">
        <is>
          <t>Raghavender Rao</t>
        </is>
      </c>
      <c r="B2188" s="37" t="inlineStr">
        <is>
          <t>Tech jobs-Miyapur</t>
        </is>
      </c>
      <c r="C2188" s="37" t="inlineStr">
        <is>
          <t>Tech jobs</t>
        </is>
      </c>
      <c r="D2188" s="37" t="inlineStr">
        <is>
          <t>2026-07-22</t>
        </is>
      </c>
      <c r="E2188" s="37" t="inlineStr">
        <is>
          <t>Process Check</t>
        </is>
      </c>
      <c r="F2188" s="37" t="inlineStr">
        <is>
          <t>Check the AH follows EP guidelines and minimum benchmark salary guidelines.</t>
        </is>
      </c>
      <c r="G2188" s="37" t="inlineStr">
        <is>
          <t>All is Well</t>
        </is>
      </c>
    </row>
    <row r="2189">
      <c r="A2189" s="37" t="inlineStr">
        <is>
          <t>Raghavender Rao</t>
        </is>
      </c>
      <c r="B2189" s="37" t="inlineStr">
        <is>
          <t>Tech jobs-Miyapur</t>
        </is>
      </c>
      <c r="C2189" s="37" t="inlineStr">
        <is>
          <t>Tech jobs</t>
        </is>
      </c>
      <c r="D2189" s="37" t="inlineStr">
        <is>
          <t>2026-07-22</t>
        </is>
      </c>
      <c r="E2189" s="37" t="inlineStr">
        <is>
          <t>Process Check</t>
        </is>
      </c>
      <c r="F2189" s="37" t="inlineStr">
        <is>
          <t>Check that AH is enrolling only the right traget group in the program -as per the defined target.</t>
        </is>
      </c>
      <c r="G2189" s="37" t="inlineStr">
        <is>
          <t>All is Well</t>
        </is>
      </c>
    </row>
    <row r="2190">
      <c r="A2190" s="37" t="inlineStr">
        <is>
          <t>Raghavender Rao</t>
        </is>
      </c>
      <c r="B2190" s="37" t="inlineStr">
        <is>
          <t>Tech jobs-Miyapur</t>
        </is>
      </c>
      <c r="C2190" s="37" t="inlineStr">
        <is>
          <t>Tech jobs</t>
        </is>
      </c>
      <c r="D2190" s="37" t="inlineStr">
        <is>
          <t>2026-07-22</t>
        </is>
      </c>
      <c r="E2190" s="37" t="inlineStr">
        <is>
          <t>Process Check</t>
        </is>
      </c>
      <c r="F2190" s="37" t="inlineStr">
        <is>
          <t>Check the AH announces the next batch-start date by the 3rd of the month on all notice boards — focus on Zero-Day start.</t>
        </is>
      </c>
      <c r="G2190" s="37" t="inlineStr">
        <is>
          <t>All is Well</t>
        </is>
      </c>
    </row>
    <row r="2191">
      <c r="A2191" s="37" t="inlineStr">
        <is>
          <t>Raghavender Rao</t>
        </is>
      </c>
      <c r="B2191" s="37" t="inlineStr">
        <is>
          <t>Tech jobs-Miyapur</t>
        </is>
      </c>
      <c r="C2191" s="37" t="inlineStr">
        <is>
          <t>Tech jobs</t>
        </is>
      </c>
      <c r="D2191" s="37" t="inlineStr">
        <is>
          <t>2026-07-22</t>
        </is>
      </c>
      <c r="E2191" s="37" t="inlineStr">
        <is>
          <t>Process Check</t>
        </is>
      </c>
      <c r="F2191" s="37" t="inlineStr">
        <is>
          <t>Check the Aspirant Mock Interview Score Tracker is updated after every mock interview in the L&amp;D Google Sheet.</t>
        </is>
      </c>
      <c r="G2191" s="37" t="inlineStr">
        <is>
          <t>All is Well</t>
        </is>
      </c>
    </row>
    <row r="2192">
      <c r="A2192" s="37" t="inlineStr">
        <is>
          <t>Raghavender Rao</t>
        </is>
      </c>
      <c r="B2192" s="37" t="inlineStr">
        <is>
          <t>Tech jobs-Miyapur</t>
        </is>
      </c>
      <c r="C2192" s="37" t="inlineStr">
        <is>
          <t>Tech jobs</t>
        </is>
      </c>
      <c r="D2192" s="37" t="inlineStr">
        <is>
          <t>2026-07-22</t>
        </is>
      </c>
      <c r="E2192" s="37" t="inlineStr">
        <is>
          <t>Process Check</t>
        </is>
      </c>
      <c r="F2192" s="37" t="inlineStr">
        <is>
          <t>Confirm NPS (Net Promoter Score) is collected at MSDF centres.</t>
        </is>
      </c>
      <c r="G2192" s="37" t="inlineStr">
        <is>
          <t>Not Applicable</t>
        </is>
      </c>
    </row>
    <row r="2193">
      <c r="A2193" s="37" t="inlineStr">
        <is>
          <t>Raghavender Rao</t>
        </is>
      </c>
      <c r="B2193" s="37" t="inlineStr">
        <is>
          <t>Tech jobs-Miyapur</t>
        </is>
      </c>
      <c r="C2193" s="37" t="inlineStr">
        <is>
          <t>Tech jobs</t>
        </is>
      </c>
      <c r="D2193" s="37" t="inlineStr">
        <is>
          <t>2026-07-22</t>
        </is>
      </c>
      <c r="E2193" s="37" t="inlineStr">
        <is>
          <t>Process Check</t>
        </is>
      </c>
      <c r="F2193" s="37" t="inlineStr">
        <is>
          <t>Confirm that QAE is collecting student feedback for every batch.</t>
        </is>
      </c>
      <c r="G2193" s="37" t="inlineStr">
        <is>
          <t>All is Well</t>
        </is>
      </c>
    </row>
    <row r="2194">
      <c r="A2194" s="37" t="inlineStr">
        <is>
          <t>Raghavender Rao</t>
        </is>
      </c>
      <c r="B2194" s="37" t="inlineStr">
        <is>
          <t>Tech jobs-Miyapur</t>
        </is>
      </c>
      <c r="C2194" s="37" t="inlineStr">
        <is>
          <t>Tech jobs</t>
        </is>
      </c>
      <c r="D2194" s="37" t="inlineStr">
        <is>
          <t>2026-07-22</t>
        </is>
      </c>
      <c r="E2194" s="37" t="inlineStr">
        <is>
          <t>Process Check</t>
        </is>
      </c>
      <c r="F2194" s="37" t="inlineStr">
        <is>
          <t>Confirm all centre teams have completed the GROW Manual Course on Skillfy — ask for achievement certificates.</t>
        </is>
      </c>
      <c r="G2194" s="37" t="inlineStr">
        <is>
          <t>All is Well</t>
        </is>
      </c>
    </row>
    <row r="2195">
      <c r="A2195" s="37" t="inlineStr">
        <is>
          <t>Raghavender Rao</t>
        </is>
      </c>
      <c r="B2195" s="37" t="inlineStr">
        <is>
          <t>Tech jobs-Miyapur</t>
        </is>
      </c>
      <c r="C2195" s="37" t="inlineStr">
        <is>
          <t>Tech jobs</t>
        </is>
      </c>
      <c r="D2195" s="37" t="inlineStr">
        <is>
          <t>2026-07-22</t>
        </is>
      </c>
      <c r="E2195" s="37" t="inlineStr">
        <is>
          <t>Process Check</t>
        </is>
      </c>
      <c r="F2195" s="37" t="inlineStr">
        <is>
          <t>Check AH holds a quality weekly team meeting, documents action points in the weekly meeting format, and sends you a photo on WhatsApp.</t>
        </is>
      </c>
      <c r="G2195" s="37" t="inlineStr">
        <is>
          <t>Need Improvement</t>
        </is>
      </c>
    </row>
    <row r="2196">
      <c r="A2196" s="37" t="inlineStr">
        <is>
          <t>Raghavender Rao</t>
        </is>
      </c>
      <c r="B2196" s="37" t="inlineStr">
        <is>
          <t>Tech jobs-Miyapur</t>
        </is>
      </c>
      <c r="C2196" s="37" t="inlineStr">
        <is>
          <t>Tech jobs</t>
        </is>
      </c>
      <c r="D2196" s="37" t="inlineStr">
        <is>
          <t>2026-07-22</t>
        </is>
      </c>
      <c r="E2196" s="37" t="inlineStr">
        <is>
          <t>Aspirant Interaction</t>
        </is>
      </c>
      <c r="F2196" s="37" t="inlineStr">
        <is>
          <t>Ask aspirants about the session plan — confirm training is happening as planned?</t>
        </is>
      </c>
      <c r="G2196" s="37" t="inlineStr">
        <is>
          <t>All is Well</t>
        </is>
      </c>
    </row>
    <row r="2197">
      <c r="A2197" s="37" t="inlineStr">
        <is>
          <t>Raghavender Rao</t>
        </is>
      </c>
      <c r="B2197" s="37" t="inlineStr">
        <is>
          <t>Tech jobs-Miyapur</t>
        </is>
      </c>
      <c r="C2197" s="37" t="inlineStr">
        <is>
          <t>Tech jobs</t>
        </is>
      </c>
      <c r="D2197" s="37" t="inlineStr">
        <is>
          <t>2026-07-22</t>
        </is>
      </c>
      <c r="E2197" s="37" t="inlineStr">
        <is>
          <t>Aspirant Interaction</t>
        </is>
      </c>
      <c r="F2197" s="37" t="inlineStr">
        <is>
          <t>Ask about the quality of Core Employability component delivery (technical centres) and who delivers it.</t>
        </is>
      </c>
      <c r="G2197" s="37" t="inlineStr">
        <is>
          <t>All is Well</t>
        </is>
      </c>
    </row>
    <row r="2198">
      <c r="A2198" s="37" t="inlineStr">
        <is>
          <t>Raghavender Rao</t>
        </is>
      </c>
      <c r="B2198" s="37" t="inlineStr">
        <is>
          <t>Tech jobs-Miyapur</t>
        </is>
      </c>
      <c r="C2198" s="37" t="inlineStr">
        <is>
          <t>Tech jobs</t>
        </is>
      </c>
      <c r="D2198" s="37" t="inlineStr">
        <is>
          <t>2026-07-22</t>
        </is>
      </c>
      <c r="E2198" s="37" t="inlineStr">
        <is>
          <t>Aspirant Interaction</t>
        </is>
      </c>
      <c r="F2198" s="37" t="inlineStr">
        <is>
          <t>Ask whether they are aware of the referral scheme?</t>
        </is>
      </c>
      <c r="G2198" s="37" t="inlineStr">
        <is>
          <t>Not Applicable</t>
        </is>
      </c>
    </row>
    <row r="2199">
      <c r="A2199" s="37" t="inlineStr">
        <is>
          <t>Raghavender Rao</t>
        </is>
      </c>
      <c r="B2199" s="37" t="inlineStr">
        <is>
          <t>Tech jobs-Miyapur</t>
        </is>
      </c>
      <c r="C2199" s="37" t="inlineStr">
        <is>
          <t>Tech jobs</t>
        </is>
      </c>
      <c r="D2199" s="37" t="inlineStr">
        <is>
          <t>2026-07-22</t>
        </is>
      </c>
      <c r="E2199" s="37" t="inlineStr">
        <is>
          <t>Aspirant Interaction</t>
        </is>
      </c>
      <c r="F2199" s="37" t="inlineStr">
        <is>
          <t>Ask whether the AH explained the importance of the offer letter and sharing it with us once received for reporting purposes?</t>
        </is>
      </c>
      <c r="G2199" s="37" t="inlineStr">
        <is>
          <t>All is Well</t>
        </is>
      </c>
    </row>
    <row r="2200">
      <c r="A2200" s="37" t="inlineStr">
        <is>
          <t>Raghavender Rao</t>
        </is>
      </c>
      <c r="B2200" s="37" t="inlineStr">
        <is>
          <t>Tech jobs-Miyapur</t>
        </is>
      </c>
      <c r="C2200" s="37" t="inlineStr">
        <is>
          <t>Tech jobs</t>
        </is>
      </c>
      <c r="D2200" s="37" t="inlineStr">
        <is>
          <t>2026-07-22</t>
        </is>
      </c>
      <c r="E2200" s="37" t="inlineStr">
        <is>
          <t>Aspirant Interaction</t>
        </is>
      </c>
      <c r="F2200" s="37" t="inlineStr">
        <is>
          <t>Ask how many are not interested in jobs — and if so, why they enrolled in the programme?</t>
        </is>
      </c>
      <c r="G2200" s="37" t="inlineStr">
        <is>
          <t>All is Well</t>
        </is>
      </c>
    </row>
    <row r="2201">
      <c r="A2201" s="37" t="inlineStr">
        <is>
          <t>Raghavender Rao</t>
        </is>
      </c>
      <c r="B2201" s="37" t="inlineStr">
        <is>
          <t>Tech jobs-Miyapur</t>
        </is>
      </c>
      <c r="C2201" s="37" t="inlineStr">
        <is>
          <t>Tech jobs</t>
        </is>
      </c>
      <c r="D2201" s="37" t="inlineStr">
        <is>
          <t>2026-07-22</t>
        </is>
      </c>
      <c r="E2201" s="37" t="inlineStr">
        <is>
          <t>Aspirant Interaction</t>
        </is>
      </c>
      <c r="F2201" s="37" t="inlineStr">
        <is>
          <t>Ask whether they were told the kind of job they would get during counselling?</t>
        </is>
      </c>
      <c r="G2201" s="37" t="inlineStr">
        <is>
          <t>All is Well</t>
        </is>
      </c>
    </row>
    <row r="2202">
      <c r="A2202" s="37" t="inlineStr">
        <is>
          <t>Raghavender Rao</t>
        </is>
      </c>
      <c r="B2202" s="37" t="inlineStr">
        <is>
          <t>Tech jobs-Miyapur</t>
        </is>
      </c>
      <c r="C2202" s="37" t="inlineStr">
        <is>
          <t>Tech jobs</t>
        </is>
      </c>
      <c r="D2202" s="37" t="inlineStr">
        <is>
          <t>2026-07-22</t>
        </is>
      </c>
      <c r="E2202" s="37" t="inlineStr">
        <is>
          <t>Aspirant Interaction</t>
        </is>
      </c>
      <c r="F2202" s="37" t="inlineStr">
        <is>
          <t>Ask whether they have been given LMS access?</t>
        </is>
      </c>
      <c r="G2202" s="37" t="inlineStr">
        <is>
          <t>All is Well</t>
        </is>
      </c>
    </row>
    <row r="2203">
      <c r="A2203" s="37" t="inlineStr">
        <is>
          <t>Raghavender Rao</t>
        </is>
      </c>
      <c r="B2203" s="37" t="inlineStr">
        <is>
          <t>Tech jobs-Miyapur</t>
        </is>
      </c>
      <c r="C2203" s="37" t="inlineStr">
        <is>
          <t>Tech jobs</t>
        </is>
      </c>
      <c r="D2203" s="37" t="inlineStr">
        <is>
          <t>2026-07-22</t>
        </is>
      </c>
      <c r="E2203" s="37" t="inlineStr">
        <is>
          <t>Aspirant Interaction</t>
        </is>
      </c>
      <c r="F2203" s="37" t="inlineStr">
        <is>
          <t>Ask whether anyone asked them for money for training or placement?</t>
        </is>
      </c>
      <c r="G2203" s="37" t="inlineStr">
        <is>
          <t>All is Well</t>
        </is>
      </c>
    </row>
    <row r="2204">
      <c r="A2204" s="37" t="inlineStr">
        <is>
          <t>Raghavender Rao</t>
        </is>
      </c>
      <c r="B2204" s="37" t="inlineStr">
        <is>
          <t>Tech jobs-Miyapur</t>
        </is>
      </c>
      <c r="C2204" s="37" t="inlineStr">
        <is>
          <t>Tech jobs</t>
        </is>
      </c>
      <c r="D2204" s="37" t="inlineStr">
        <is>
          <t>2026-07-22</t>
        </is>
      </c>
      <c r="E2204" s="37" t="inlineStr">
        <is>
          <t>Aspirant Interaction</t>
        </is>
      </c>
      <c r="F2204" s="37" t="inlineStr">
        <is>
          <t>Ask to show their mobile phones — are they enrolled on Skillfy? If not, get them enrolled and give written feedback to trainers and the AH in your presence.</t>
        </is>
      </c>
      <c r="G2204" s="37" t="inlineStr">
        <is>
          <t>All is Well</t>
        </is>
      </c>
    </row>
    <row r="2205">
      <c r="A2205" s="37" t="inlineStr">
        <is>
          <t>Raghavender Rao</t>
        </is>
      </c>
      <c r="B2205" s="37" t="inlineStr">
        <is>
          <t>Tech jobs-Miyapur</t>
        </is>
      </c>
      <c r="C2205" s="37" t="inlineStr">
        <is>
          <t>Tech jobs</t>
        </is>
      </c>
      <c r="D2205" s="37" t="inlineStr">
        <is>
          <t>2026-07-22</t>
        </is>
      </c>
      <c r="E2205" s="37" t="inlineStr">
        <is>
          <t>Aspirant Interaction</t>
        </is>
      </c>
      <c r="F2205" s="37" t="inlineStr">
        <is>
          <t>Ask about the quality of the hostel and any issues they face.</t>
        </is>
      </c>
      <c r="G2205" s="37" t="inlineStr">
        <is>
          <t>Not Applicable</t>
        </is>
      </c>
    </row>
    <row r="2206">
      <c r="A2206" s="37" t="inlineStr">
        <is>
          <t>Raghavender Rao</t>
        </is>
      </c>
      <c r="B2206" s="37" t="inlineStr">
        <is>
          <t>Tech jobs-Miyapur</t>
        </is>
      </c>
      <c r="C2206" s="37" t="inlineStr">
        <is>
          <t>Tech jobs</t>
        </is>
      </c>
      <c r="D2206" s="37" t="inlineStr">
        <is>
          <t>2026-07-22</t>
        </is>
      </c>
      <c r="E2206" s="37" t="inlineStr">
        <is>
          <t>Aspirant Interaction</t>
        </is>
      </c>
      <c r="F2206" s="37" t="inlineStr">
        <is>
          <t>Ask a few relevant screening questions to support the 10th-day report and remove non-serious candidates, explaining to them the reasons.</t>
        </is>
      </c>
      <c r="G2206" s="37" t="inlineStr">
        <is>
          <t>Need Improvement</t>
        </is>
      </c>
    </row>
    <row r="2207">
      <c r="A2207" s="37" t="inlineStr">
        <is>
          <t>Barna</t>
        </is>
      </c>
      <c r="B2207" s="37" t="inlineStr">
        <is>
          <t>Shanti Nagar Raipur CITI</t>
        </is>
      </c>
      <c r="C2207" s="37" t="inlineStr">
        <is>
          <t>Youth</t>
        </is>
      </c>
      <c r="D2207" s="37" t="inlineStr">
        <is>
          <t>2026-07-17</t>
        </is>
      </c>
      <c r="E2207" s="37" t="inlineStr">
        <is>
          <t>Data Check</t>
        </is>
      </c>
      <c r="F2207" s="37" t="inlineStr">
        <is>
          <t>Reach the centre on time (unannounced) — confirm the centre opened on time.</t>
        </is>
      </c>
      <c r="G2207" s="37" t="inlineStr">
        <is>
          <t>All is Well</t>
        </is>
      </c>
    </row>
    <row r="2208">
      <c r="A2208" s="37" t="inlineStr">
        <is>
          <t>Barna</t>
        </is>
      </c>
      <c r="B2208" s="37" t="inlineStr">
        <is>
          <t>Shanti Nagar Raipur CITI</t>
        </is>
      </c>
      <c r="C2208" s="37" t="inlineStr">
        <is>
          <t>Youth</t>
        </is>
      </c>
      <c r="D2208" s="37" t="inlineStr">
        <is>
          <t>2026-07-17</t>
        </is>
      </c>
      <c r="E2208" s="37" t="inlineStr">
        <is>
          <t>Data Check</t>
        </is>
      </c>
      <c r="F2208" s="37" t="inlineStr">
        <is>
          <t>Check the staff attendance register, the Google Sheet, and geo-tagged photos for aspirants.</t>
        </is>
      </c>
      <c r="G2208" s="37" t="inlineStr">
        <is>
          <t>All is Well</t>
        </is>
      </c>
    </row>
    <row r="2209">
      <c r="A2209" s="37" t="inlineStr">
        <is>
          <t>Barna</t>
        </is>
      </c>
      <c r="B2209" s="37" t="inlineStr">
        <is>
          <t>Shanti Nagar Raipur CITI</t>
        </is>
      </c>
      <c r="C2209" s="37" t="inlineStr">
        <is>
          <t>Youth</t>
        </is>
      </c>
      <c r="D2209" s="37" t="inlineStr">
        <is>
          <t>2026-07-17</t>
        </is>
      </c>
      <c r="E2209" s="37" t="inlineStr">
        <is>
          <t>Data Check</t>
        </is>
      </c>
      <c r="F2209" s="37" t="inlineStr">
        <is>
          <t>Check Counselling and Screening Forms of recently started batches.</t>
        </is>
      </c>
      <c r="G2209" s="37" t="inlineStr">
        <is>
          <t>All is Well</t>
        </is>
      </c>
    </row>
    <row r="2210">
      <c r="A2210" s="37" t="inlineStr">
        <is>
          <t>Barna</t>
        </is>
      </c>
      <c r="B2210" s="37" t="inlineStr">
        <is>
          <t>Shanti Nagar Raipur CITI</t>
        </is>
      </c>
      <c r="C2210" s="37" t="inlineStr">
        <is>
          <t>Youth</t>
        </is>
      </c>
      <c r="D2210" s="37" t="inlineStr">
        <is>
          <t>2026-07-17</t>
        </is>
      </c>
      <c r="E2210" s="37" t="inlineStr">
        <is>
          <t>Data Check</t>
        </is>
      </c>
      <c r="F2210" s="37" t="inlineStr">
        <is>
          <t>Check Aspirant Registration Forms and related documents.</t>
        </is>
      </c>
      <c r="G2210" s="37" t="inlineStr">
        <is>
          <t>All is Well</t>
        </is>
      </c>
    </row>
    <row r="2211">
      <c r="A2211" s="37" t="inlineStr">
        <is>
          <t>Barna</t>
        </is>
      </c>
      <c r="B2211" s="37" t="inlineStr">
        <is>
          <t>Shanti Nagar Raipur CITI</t>
        </is>
      </c>
      <c r="C2211" s="37" t="inlineStr">
        <is>
          <t>Youth</t>
        </is>
      </c>
      <c r="D2211" s="37" t="inlineStr">
        <is>
          <t>2026-07-17</t>
        </is>
      </c>
      <c r="E2211" s="37" t="inlineStr">
        <is>
          <t>Data Check</t>
        </is>
      </c>
      <c r="F2211" s="37" t="inlineStr">
        <is>
          <t>On the GROW portal, confirm all student profile details and batch updates are currect.</t>
        </is>
      </c>
      <c r="G2211" s="37" t="inlineStr">
        <is>
          <t>All is Well</t>
        </is>
      </c>
    </row>
    <row r="2212">
      <c r="A2212" s="37" t="inlineStr">
        <is>
          <t>Barna</t>
        </is>
      </c>
      <c r="B2212" s="37" t="inlineStr">
        <is>
          <t>Shanti Nagar Raipur CITI</t>
        </is>
      </c>
      <c r="C2212" s="37" t="inlineStr">
        <is>
          <t>Youth</t>
        </is>
      </c>
      <c r="D2212" s="37" t="inlineStr">
        <is>
          <t>2026-07-17</t>
        </is>
      </c>
      <c r="E2212" s="37" t="inlineStr">
        <is>
          <t>Data Check</t>
        </is>
      </c>
      <c r="F2212" s="37" t="inlineStr">
        <is>
          <t>Verify placement data — randomly call 3–4 alumni placed in the last 3 months to confirm veracity (random selection is essential).</t>
        </is>
      </c>
      <c r="G2212" s="37" t="inlineStr">
        <is>
          <t>All is Well</t>
        </is>
      </c>
    </row>
    <row r="2213">
      <c r="A2213" s="37" t="inlineStr">
        <is>
          <t>Barna</t>
        </is>
      </c>
      <c r="B2213" s="37" t="inlineStr">
        <is>
          <t>Shanti Nagar Raipur CITI</t>
        </is>
      </c>
      <c r="C2213" s="37" t="inlineStr">
        <is>
          <t>Youth</t>
        </is>
      </c>
      <c r="D2213" s="37" t="inlineStr">
        <is>
          <t>2026-07-17</t>
        </is>
      </c>
      <c r="E2213" s="37" t="inlineStr">
        <is>
          <t>Data Check</t>
        </is>
      </c>
      <c r="F2213" s="37" t="inlineStr">
        <is>
          <t>Verify retention — check the Alumni Hand-holding Format is being updated as designed.</t>
        </is>
      </c>
      <c r="G2213" s="37" t="inlineStr">
        <is>
          <t>Need Improvement</t>
        </is>
      </c>
    </row>
    <row r="2214">
      <c r="A2214" s="37" t="inlineStr">
        <is>
          <t>Barna</t>
        </is>
      </c>
      <c r="B2214" s="37" t="inlineStr">
        <is>
          <t>Shanti Nagar Raipur CITI</t>
        </is>
      </c>
      <c r="C2214" s="37" t="inlineStr">
        <is>
          <t>Youth</t>
        </is>
      </c>
      <c r="D2214" s="37" t="inlineStr">
        <is>
          <t>2026-07-17</t>
        </is>
      </c>
      <c r="E2214" s="37" t="inlineStr">
        <is>
          <t>Data Check</t>
        </is>
      </c>
      <c r="F2214" s="37" t="inlineStr">
        <is>
          <t>Check aspirant Hostel Forms are properly filled or not.</t>
        </is>
      </c>
      <c r="G2214" s="37" t="inlineStr">
        <is>
          <t>Not Applicable</t>
        </is>
      </c>
    </row>
    <row r="2215">
      <c r="A2215" s="37" t="inlineStr">
        <is>
          <t>Barna</t>
        </is>
      </c>
      <c r="B2215" s="37" t="inlineStr">
        <is>
          <t>Shanti Nagar Raipur CITI</t>
        </is>
      </c>
      <c r="C2215" s="37" t="inlineStr">
        <is>
          <t>Youth</t>
        </is>
      </c>
      <c r="D2215" s="37" t="inlineStr">
        <is>
          <t>2026-07-17</t>
        </is>
      </c>
      <c r="E2215" s="37" t="inlineStr">
        <is>
          <t>Infra Check</t>
        </is>
      </c>
      <c r="F2215" s="37" t="inlineStr">
        <is>
          <t>Check all CCTV cameras; if any are not working, ask the AH to troubleshoot or call the vendor.</t>
        </is>
      </c>
      <c r="G2215" s="37" t="inlineStr">
        <is>
          <t>All is Well</t>
        </is>
      </c>
    </row>
    <row r="2216">
      <c r="A2216" s="37" t="inlineStr">
        <is>
          <t>Barna</t>
        </is>
      </c>
      <c r="B2216" s="37" t="inlineStr">
        <is>
          <t>Shanti Nagar Raipur CITI</t>
        </is>
      </c>
      <c r="C2216" s="37" t="inlineStr">
        <is>
          <t>Youth</t>
        </is>
      </c>
      <c r="D2216" s="37" t="inlineStr">
        <is>
          <t>2026-07-17</t>
        </is>
      </c>
      <c r="E2216" s="37" t="inlineStr">
        <is>
          <t>Infra Check</t>
        </is>
      </c>
      <c r="F2216" s="37" t="inlineStr">
        <is>
          <t>Check for any scrap material and get it cleared, with support of Admin</t>
        </is>
      </c>
      <c r="G2216" s="37" t="inlineStr">
        <is>
          <t>All is Well</t>
        </is>
      </c>
    </row>
    <row r="2217">
      <c r="A2217" s="37" t="inlineStr">
        <is>
          <t>Barna</t>
        </is>
      </c>
      <c r="B2217" s="37" t="inlineStr">
        <is>
          <t>Shanti Nagar Raipur CITI</t>
        </is>
      </c>
      <c r="C2217" s="37" t="inlineStr">
        <is>
          <t>Youth</t>
        </is>
      </c>
      <c r="D2217" s="37" t="inlineStr">
        <is>
          <t>2026-07-17</t>
        </is>
      </c>
      <c r="E2217" s="37" t="inlineStr">
        <is>
          <t>Infra Check</t>
        </is>
      </c>
      <c r="F2217" s="37" t="inlineStr">
        <is>
          <t>Check for any pending infra repairs.</t>
        </is>
      </c>
      <c r="G2217" s="37" t="inlineStr">
        <is>
          <t>Need Improvement</t>
        </is>
      </c>
    </row>
    <row r="2218">
      <c r="A2218" s="37" t="inlineStr">
        <is>
          <t>Barna</t>
        </is>
      </c>
      <c r="B2218" s="37" t="inlineStr">
        <is>
          <t>Shanti Nagar Raipur CITI</t>
        </is>
      </c>
      <c r="C2218" s="37" t="inlineStr">
        <is>
          <t>Youth</t>
        </is>
      </c>
      <c r="D2218" s="37" t="inlineStr">
        <is>
          <t>2026-07-17</t>
        </is>
      </c>
      <c r="E2218" s="37" t="inlineStr">
        <is>
          <t>Infra Check</t>
        </is>
      </c>
      <c r="F2218" s="37" t="inlineStr">
        <is>
          <t>Check whether any fire extinguishers have expired (check the needle and expiry date both).</t>
        </is>
      </c>
      <c r="G2218" s="37" t="inlineStr">
        <is>
          <t>All is Well</t>
        </is>
      </c>
    </row>
    <row r="2219">
      <c r="A2219" s="37" t="inlineStr">
        <is>
          <t>Barna</t>
        </is>
      </c>
      <c r="B2219" s="37" t="inlineStr">
        <is>
          <t>Shanti Nagar Raipur CITI</t>
        </is>
      </c>
      <c r="C2219" s="37" t="inlineStr">
        <is>
          <t>Youth</t>
        </is>
      </c>
      <c r="D2219" s="37" t="inlineStr">
        <is>
          <t>2026-07-17</t>
        </is>
      </c>
      <c r="E2219" s="37" t="inlineStr">
        <is>
          <t>Infra Check</t>
        </is>
      </c>
      <c r="F2219" s="37" t="inlineStr">
        <is>
          <t>Check basic cleanliness of the washrooms and the centre.</t>
        </is>
      </c>
      <c r="G2219" s="37" t="inlineStr">
        <is>
          <t>All is Well</t>
        </is>
      </c>
    </row>
    <row r="2220">
      <c r="A2220" s="37" t="inlineStr">
        <is>
          <t>Barna</t>
        </is>
      </c>
      <c r="B2220" s="37" t="inlineStr">
        <is>
          <t>Shanti Nagar Raipur CITI</t>
        </is>
      </c>
      <c r="C2220" s="37" t="inlineStr">
        <is>
          <t>Youth</t>
        </is>
      </c>
      <c r="D2220" s="37" t="inlineStr">
        <is>
          <t>2026-07-17</t>
        </is>
      </c>
      <c r="E2220" s="37" t="inlineStr">
        <is>
          <t>Infra Check</t>
        </is>
      </c>
      <c r="F2220" s="37" t="inlineStr">
        <is>
          <t>Confirm the correct program and partner logos are displayed.</t>
        </is>
      </c>
      <c r="G2220" s="37" t="inlineStr">
        <is>
          <t>All is Well</t>
        </is>
      </c>
    </row>
    <row r="2221">
      <c r="A2221" s="37" t="inlineStr">
        <is>
          <t>Barna</t>
        </is>
      </c>
      <c r="B2221" s="37" t="inlineStr">
        <is>
          <t>Shanti Nagar Raipur CITI</t>
        </is>
      </c>
      <c r="C2221" s="37" t="inlineStr">
        <is>
          <t>Youth</t>
        </is>
      </c>
      <c r="D2221" s="37" t="inlineStr">
        <is>
          <t>2026-07-17</t>
        </is>
      </c>
      <c r="E2221" s="37" t="inlineStr">
        <is>
          <t>Infra Check</t>
        </is>
      </c>
      <c r="F2221" s="37" t="inlineStr">
        <is>
          <t>Check the status of digital infra — PCs, smartboards, tablets, laptops, etc.</t>
        </is>
      </c>
      <c r="G2221" s="37" t="inlineStr">
        <is>
          <t>All is Well</t>
        </is>
      </c>
    </row>
    <row r="2222">
      <c r="A2222" s="37" t="inlineStr">
        <is>
          <t>Barna</t>
        </is>
      </c>
      <c r="B2222" s="37" t="inlineStr">
        <is>
          <t>Shanti Nagar Raipur CITI</t>
        </is>
      </c>
      <c r="C2222" s="37" t="inlineStr">
        <is>
          <t>Youth</t>
        </is>
      </c>
      <c r="D2222" s="37" t="inlineStr">
        <is>
          <t>2026-07-17</t>
        </is>
      </c>
      <c r="E2222" s="37" t="inlineStr">
        <is>
          <t>Infra Check</t>
        </is>
      </c>
      <c r="F2222" s="37" t="inlineStr">
        <is>
          <t>Make a quick hostel visit; have lunch there if possible to test the food quality.</t>
        </is>
      </c>
      <c r="G2222" s="37" t="inlineStr">
        <is>
          <t>Not Applicable</t>
        </is>
      </c>
    </row>
    <row r="2223">
      <c r="A2223" s="37" t="inlineStr">
        <is>
          <t>Barna</t>
        </is>
      </c>
      <c r="B2223" s="37" t="inlineStr">
        <is>
          <t>Shanti Nagar Raipur CITI</t>
        </is>
      </c>
      <c r="C2223" s="37" t="inlineStr">
        <is>
          <t>Youth</t>
        </is>
      </c>
      <c r="D2223" s="37" t="inlineStr">
        <is>
          <t>2026-07-17</t>
        </is>
      </c>
      <c r="E2223" s="37" t="inlineStr">
        <is>
          <t>Process Check</t>
        </is>
      </c>
      <c r="F2223" s="37" t="inlineStr">
        <is>
          <t>Refer to the activity planner — check if any activities are delayed.</t>
        </is>
      </c>
      <c r="G2223" s="37" t="inlineStr">
        <is>
          <t>All is Well</t>
        </is>
      </c>
    </row>
    <row r="2224">
      <c r="A2224" s="37" t="inlineStr">
        <is>
          <t>Barna</t>
        </is>
      </c>
      <c r="B2224" s="37" t="inlineStr">
        <is>
          <t>Shanti Nagar Raipur CITI</t>
        </is>
      </c>
      <c r="C2224" s="37" t="inlineStr">
        <is>
          <t>Youth</t>
        </is>
      </c>
      <c r="D2224" s="37" t="inlineStr">
        <is>
          <t>2026-07-17</t>
        </is>
      </c>
      <c r="E2224" s="37" t="inlineStr">
        <is>
          <t>Process Check</t>
        </is>
      </c>
      <c r="F2224" s="37" t="inlineStr">
        <is>
          <t>Check planning for the next batch-start announcement.</t>
        </is>
      </c>
      <c r="G2224" s="37" t="inlineStr">
        <is>
          <t>All is Well</t>
        </is>
      </c>
    </row>
    <row r="2225">
      <c r="A2225" s="37" t="inlineStr">
        <is>
          <t>Barna</t>
        </is>
      </c>
      <c r="B2225" s="37" t="inlineStr">
        <is>
          <t>Shanti Nagar Raipur CITI</t>
        </is>
      </c>
      <c r="C2225" s="37" t="inlineStr">
        <is>
          <t>Youth</t>
        </is>
      </c>
      <c r="D2225" s="37" t="inlineStr">
        <is>
          <t>2026-07-17</t>
        </is>
      </c>
      <c r="E2225" s="37" t="inlineStr">
        <is>
          <t>Process Check</t>
        </is>
      </c>
      <c r="F2225" s="37" t="inlineStr">
        <is>
          <t>Check if any hiring is delayed and plan a resolution.</t>
        </is>
      </c>
      <c r="G2225" s="37" t="inlineStr">
        <is>
          <t>All is Well</t>
        </is>
      </c>
    </row>
    <row r="2226">
      <c r="A2226" s="37" t="inlineStr">
        <is>
          <t>Barna</t>
        </is>
      </c>
      <c r="B2226" s="37" t="inlineStr">
        <is>
          <t>Shanti Nagar Raipur CITI</t>
        </is>
      </c>
      <c r="C2226" s="37" t="inlineStr">
        <is>
          <t>Youth</t>
        </is>
      </c>
      <c r="D2226" s="37" t="inlineStr">
        <is>
          <t>2026-07-17</t>
        </is>
      </c>
      <c r="E2226" s="37" t="inlineStr">
        <is>
          <t>Process Check</t>
        </is>
      </c>
      <c r="F2226" s="37" t="inlineStr">
        <is>
          <t>Check the CA’s diary — is CA guided daily by the AH during planning days?</t>
        </is>
      </c>
      <c r="G2226" s="37" t="inlineStr">
        <is>
          <t>All is Well</t>
        </is>
      </c>
    </row>
    <row r="2227">
      <c r="A2227" s="37" t="inlineStr">
        <is>
          <t>Barna</t>
        </is>
      </c>
      <c r="B2227" s="37" t="inlineStr">
        <is>
          <t>Shanti Nagar Raipur CITI</t>
        </is>
      </c>
      <c r="C2227" s="37" t="inlineStr">
        <is>
          <t>Youth</t>
        </is>
      </c>
      <c r="D2227" s="37" t="inlineStr">
        <is>
          <t>2026-07-17</t>
        </is>
      </c>
      <c r="E2227" s="37" t="inlineStr">
        <is>
          <t>Process Check</t>
        </is>
      </c>
      <c r="F2227" s="37" t="inlineStr">
        <is>
          <t>Check the AH is regularly meeting employers (in person and online) and updating the centre’s Top 20 Employer format.</t>
        </is>
      </c>
      <c r="G2227" s="37" t="inlineStr">
        <is>
          <t>Need Improvement</t>
        </is>
      </c>
    </row>
    <row r="2228">
      <c r="A2228" s="37" t="inlineStr">
        <is>
          <t>Barna</t>
        </is>
      </c>
      <c r="B2228" s="37" t="inlineStr">
        <is>
          <t>Shanti Nagar Raipur CITI</t>
        </is>
      </c>
      <c r="C2228" s="37" t="inlineStr">
        <is>
          <t>Youth</t>
        </is>
      </c>
      <c r="D2228" s="37" t="inlineStr">
        <is>
          <t>2026-07-17</t>
        </is>
      </c>
      <c r="E2228" s="37" t="inlineStr">
        <is>
          <t>Process Check</t>
        </is>
      </c>
      <c r="F2228" s="37" t="inlineStr">
        <is>
          <t>Confirm all new employers are registered on portal as per new process.</t>
        </is>
      </c>
      <c r="G2228" s="37" t="inlineStr">
        <is>
          <t>All is Well</t>
        </is>
      </c>
    </row>
    <row r="2229">
      <c r="A2229" s="37" t="inlineStr">
        <is>
          <t>Barna</t>
        </is>
      </c>
      <c r="B2229" s="37" t="inlineStr">
        <is>
          <t>Shanti Nagar Raipur CITI</t>
        </is>
      </c>
      <c r="C2229" s="37" t="inlineStr">
        <is>
          <t>Youth</t>
        </is>
      </c>
      <c r="D2229" s="37" t="inlineStr">
        <is>
          <t>2026-07-17</t>
        </is>
      </c>
      <c r="E2229" s="37" t="inlineStr">
        <is>
          <t>Process Check</t>
        </is>
      </c>
      <c r="F2229" s="37" t="inlineStr">
        <is>
          <t>Confirm 100% of enrolled students undergone screening (for technical courses).</t>
        </is>
      </c>
      <c r="G2229" s="37" t="inlineStr">
        <is>
          <t>All is Well</t>
        </is>
      </c>
    </row>
    <row r="2230">
      <c r="A2230" s="37" t="inlineStr">
        <is>
          <t>Barna</t>
        </is>
      </c>
      <c r="B2230" s="37" t="inlineStr">
        <is>
          <t>Shanti Nagar Raipur CITI</t>
        </is>
      </c>
      <c r="C2230" s="37" t="inlineStr">
        <is>
          <t>Youth</t>
        </is>
      </c>
      <c r="D2230" s="37" t="inlineStr">
        <is>
          <t>2026-07-17</t>
        </is>
      </c>
      <c r="E2230" s="37" t="inlineStr">
        <is>
          <t>Process Check</t>
        </is>
      </c>
      <c r="F2230" s="37" t="inlineStr">
        <is>
          <t>Confirm ESA is done (in GROW full ESA and in Technical courses relevant sections of Core Employability Part).</t>
        </is>
      </c>
      <c r="G2230" s="37" t="inlineStr">
        <is>
          <t>All is Well</t>
        </is>
      </c>
    </row>
    <row r="2231">
      <c r="A2231" s="37" t="inlineStr">
        <is>
          <t>Barna</t>
        </is>
      </c>
      <c r="B2231" s="37" t="inlineStr">
        <is>
          <t>Shanti Nagar Raipur CITI</t>
        </is>
      </c>
      <c r="C2231" s="37" t="inlineStr">
        <is>
          <t>Youth</t>
        </is>
      </c>
      <c r="D2231" s="37" t="inlineStr">
        <is>
          <t>2026-07-17</t>
        </is>
      </c>
      <c r="E2231" s="37" t="inlineStr">
        <is>
          <t>Process Check</t>
        </is>
      </c>
      <c r="F2231" s="37" t="inlineStr">
        <is>
          <t>Check is AH giving capstone project in GROW Tech.</t>
        </is>
      </c>
      <c r="G2231" s="37" t="inlineStr">
        <is>
          <t>Not Applicable</t>
        </is>
      </c>
    </row>
    <row r="2232">
      <c r="A2232" s="37" t="inlineStr">
        <is>
          <t>Barna</t>
        </is>
      </c>
      <c r="B2232" s="37" t="inlineStr">
        <is>
          <t>Shanti Nagar Raipur CITI</t>
        </is>
      </c>
      <c r="C2232" s="37" t="inlineStr">
        <is>
          <t>Youth</t>
        </is>
      </c>
      <c r="D2232" s="37" t="inlineStr">
        <is>
          <t>2026-07-17</t>
        </is>
      </c>
      <c r="E2232" s="37" t="inlineStr">
        <is>
          <t>Process Check</t>
        </is>
      </c>
      <c r="F2232" s="37" t="inlineStr">
        <is>
          <t>Check is AH planning OJT as per guidelines and proofs are collected for technical courses.</t>
        </is>
      </c>
      <c r="G2232" s="37" t="inlineStr">
        <is>
          <t>Not Applicable</t>
        </is>
      </c>
    </row>
    <row r="2233">
      <c r="A2233" s="37" t="inlineStr">
        <is>
          <t>Barna</t>
        </is>
      </c>
      <c r="B2233" s="37" t="inlineStr">
        <is>
          <t>Shanti Nagar Raipur CITI</t>
        </is>
      </c>
      <c r="C2233" s="37" t="inlineStr">
        <is>
          <t>Youth</t>
        </is>
      </c>
      <c r="D2233" s="37" t="inlineStr">
        <is>
          <t>2026-07-17</t>
        </is>
      </c>
      <c r="E2233" s="37" t="inlineStr">
        <is>
          <t>Process Check</t>
        </is>
      </c>
      <c r="F2233" s="37" t="inlineStr">
        <is>
          <t>Check are trainers contacting aspirants to find reason for their absenteeism of more than 1 day.</t>
        </is>
      </c>
      <c r="G2233" s="37" t="inlineStr">
        <is>
          <t>All is Well</t>
        </is>
      </c>
    </row>
    <row r="2234">
      <c r="A2234" s="37" t="inlineStr">
        <is>
          <t>Barna</t>
        </is>
      </c>
      <c r="B2234" s="37" t="inlineStr">
        <is>
          <t>Shanti Nagar Raipur CITI</t>
        </is>
      </c>
      <c r="C2234" s="37" t="inlineStr">
        <is>
          <t>Youth</t>
        </is>
      </c>
      <c r="D2234" s="37" t="inlineStr">
        <is>
          <t>2026-07-17</t>
        </is>
      </c>
      <c r="E2234" s="37" t="inlineStr">
        <is>
          <t>Process Check</t>
        </is>
      </c>
      <c r="F2234" s="37" t="inlineStr">
        <is>
          <t>Check the AH plans monthly enrolment and placement numbers by the 3rd of each month and shares them with second level managers.</t>
        </is>
      </c>
      <c r="G2234" s="37" t="inlineStr">
        <is>
          <t>Need Improvement</t>
        </is>
      </c>
    </row>
    <row r="2235">
      <c r="A2235" s="37" t="inlineStr">
        <is>
          <t>Barna</t>
        </is>
      </c>
      <c r="B2235" s="37" t="inlineStr">
        <is>
          <t>Shanti Nagar Raipur CITI</t>
        </is>
      </c>
      <c r="C2235" s="37" t="inlineStr">
        <is>
          <t>Youth</t>
        </is>
      </c>
      <c r="D2235" s="37" t="inlineStr">
        <is>
          <t>2026-07-17</t>
        </is>
      </c>
      <c r="E2235" s="37" t="inlineStr">
        <is>
          <t>Process Check</t>
        </is>
      </c>
      <c r="F2235" s="37" t="inlineStr">
        <is>
          <t>Check trainers submit aspirants’ placement interest areas to the AH by the batch’s 25th day (in GROW).</t>
        </is>
      </c>
      <c r="G2235" s="37" t="inlineStr">
        <is>
          <t>All is Well</t>
        </is>
      </c>
    </row>
    <row r="2236">
      <c r="A2236" s="37" t="inlineStr">
        <is>
          <t>Barna</t>
        </is>
      </c>
      <c r="B2236" s="37" t="inlineStr">
        <is>
          <t>Shanti Nagar Raipur CITI</t>
        </is>
      </c>
      <c r="C2236" s="37" t="inlineStr">
        <is>
          <t>Youth</t>
        </is>
      </c>
      <c r="D2236" s="37" t="inlineStr">
        <is>
          <t>2026-07-17</t>
        </is>
      </c>
      <c r="E2236" s="37" t="inlineStr">
        <is>
          <t>Process Check</t>
        </is>
      </c>
      <c r="F2236" s="37" t="inlineStr">
        <is>
          <t>Ckeck For technical programs, placement is done only in technical jobs,on which aspirants are trained and relevant emplyers are identified by 45th day.</t>
        </is>
      </c>
      <c r="G2236" s="37" t="inlineStr">
        <is>
          <t>Not Applicable</t>
        </is>
      </c>
    </row>
    <row r="2237">
      <c r="A2237" s="37" t="inlineStr">
        <is>
          <t>Barna</t>
        </is>
      </c>
      <c r="B2237" s="37" t="inlineStr">
        <is>
          <t>Shanti Nagar Raipur CITI</t>
        </is>
      </c>
      <c r="C2237" s="37" t="inlineStr">
        <is>
          <t>Youth</t>
        </is>
      </c>
      <c r="D2237" s="37" t="inlineStr">
        <is>
          <t>2026-07-17</t>
        </is>
      </c>
      <c r="E2237" s="37" t="inlineStr">
        <is>
          <t>Process Check</t>
        </is>
      </c>
      <c r="F2237" s="37" t="inlineStr">
        <is>
          <t>Check the AH follows EP guidelines and minimum benchmark salary guidelines.</t>
        </is>
      </c>
      <c r="G2237" s="37" t="inlineStr">
        <is>
          <t>All is Well</t>
        </is>
      </c>
    </row>
    <row r="2238">
      <c r="A2238" s="37" t="inlineStr">
        <is>
          <t>Barna</t>
        </is>
      </c>
      <c r="B2238" s="37" t="inlineStr">
        <is>
          <t>Shanti Nagar Raipur CITI</t>
        </is>
      </c>
      <c r="C2238" s="37" t="inlineStr">
        <is>
          <t>Youth</t>
        </is>
      </c>
      <c r="D2238" s="37" t="inlineStr">
        <is>
          <t>2026-07-17</t>
        </is>
      </c>
      <c r="E2238" s="37" t="inlineStr">
        <is>
          <t>Process Check</t>
        </is>
      </c>
      <c r="F2238" s="37" t="inlineStr">
        <is>
          <t>Check that AH is enrolling only the right traget group in the program -as per the defined target.</t>
        </is>
      </c>
      <c r="G2238" s="37" t="inlineStr">
        <is>
          <t>All is Well</t>
        </is>
      </c>
    </row>
    <row r="2239">
      <c r="A2239" s="37" t="inlineStr">
        <is>
          <t>Barna</t>
        </is>
      </c>
      <c r="B2239" s="37" t="inlineStr">
        <is>
          <t>Shanti Nagar Raipur CITI</t>
        </is>
      </c>
      <c r="C2239" s="37" t="inlineStr">
        <is>
          <t>Youth</t>
        </is>
      </c>
      <c r="D2239" s="37" t="inlineStr">
        <is>
          <t>2026-07-17</t>
        </is>
      </c>
      <c r="E2239" s="37" t="inlineStr">
        <is>
          <t>Process Check</t>
        </is>
      </c>
      <c r="F2239" s="37" t="inlineStr">
        <is>
          <t>Check the AH announces the next batch-start date by the 3rd of the month on all notice boards — focus on Zero-Day start.</t>
        </is>
      </c>
      <c r="G2239" s="37" t="inlineStr">
        <is>
          <t>All is Well</t>
        </is>
      </c>
    </row>
    <row r="2240">
      <c r="A2240" s="37" t="inlineStr">
        <is>
          <t>Barna</t>
        </is>
      </c>
      <c r="B2240" s="37" t="inlineStr">
        <is>
          <t>Shanti Nagar Raipur CITI</t>
        </is>
      </c>
      <c r="C2240" s="37" t="inlineStr">
        <is>
          <t>Youth</t>
        </is>
      </c>
      <c r="D2240" s="37" t="inlineStr">
        <is>
          <t>2026-07-17</t>
        </is>
      </c>
      <c r="E2240" s="37" t="inlineStr">
        <is>
          <t>Process Check</t>
        </is>
      </c>
      <c r="F2240" s="37" t="inlineStr">
        <is>
          <t>Check the Aspirant Mock Interview Score Tracker is updated after every mock interview in the L&amp;D Google Sheet.</t>
        </is>
      </c>
      <c r="G2240" s="37" t="inlineStr">
        <is>
          <t>All is Well</t>
        </is>
      </c>
    </row>
    <row r="2241">
      <c r="A2241" s="37" t="inlineStr">
        <is>
          <t>Barna</t>
        </is>
      </c>
      <c r="B2241" s="37" t="inlineStr">
        <is>
          <t>Shanti Nagar Raipur CITI</t>
        </is>
      </c>
      <c r="C2241" s="37" t="inlineStr">
        <is>
          <t>Youth</t>
        </is>
      </c>
      <c r="D2241" s="37" t="inlineStr">
        <is>
          <t>2026-07-17</t>
        </is>
      </c>
      <c r="E2241" s="37" t="inlineStr">
        <is>
          <t>Process Check</t>
        </is>
      </c>
      <c r="F2241" s="37" t="inlineStr">
        <is>
          <t>Confirm NPS (Net Promoter Score) is collected at MSDF centres.</t>
        </is>
      </c>
      <c r="G2241" s="37" t="inlineStr">
        <is>
          <t>Not Applicable</t>
        </is>
      </c>
    </row>
    <row r="2242">
      <c r="A2242" s="37" t="inlineStr">
        <is>
          <t>Barna</t>
        </is>
      </c>
      <c r="B2242" s="37" t="inlineStr">
        <is>
          <t>Shanti Nagar Raipur CITI</t>
        </is>
      </c>
      <c r="C2242" s="37" t="inlineStr">
        <is>
          <t>Youth</t>
        </is>
      </c>
      <c r="D2242" s="37" t="inlineStr">
        <is>
          <t>2026-07-17</t>
        </is>
      </c>
      <c r="E2242" s="37" t="inlineStr">
        <is>
          <t>Process Check</t>
        </is>
      </c>
      <c r="F2242" s="37" t="inlineStr">
        <is>
          <t>Confirm that QAE is collecting student feedback for every batch.</t>
        </is>
      </c>
      <c r="G2242" s="37" t="inlineStr">
        <is>
          <t>All is Well</t>
        </is>
      </c>
    </row>
    <row r="2243">
      <c r="A2243" s="37" t="inlineStr">
        <is>
          <t>Barna</t>
        </is>
      </c>
      <c r="B2243" s="37" t="inlineStr">
        <is>
          <t>Shanti Nagar Raipur CITI</t>
        </is>
      </c>
      <c r="C2243" s="37" t="inlineStr">
        <is>
          <t>Youth</t>
        </is>
      </c>
      <c r="D2243" s="37" t="inlineStr">
        <is>
          <t>2026-07-17</t>
        </is>
      </c>
      <c r="E2243" s="37" t="inlineStr">
        <is>
          <t>Process Check</t>
        </is>
      </c>
      <c r="F2243" s="37" t="inlineStr">
        <is>
          <t>Confirm all centre teams have completed the GROW Manual Course on Skillfy — ask for achievement certificates.</t>
        </is>
      </c>
      <c r="G2243" s="37" t="inlineStr">
        <is>
          <t>All is Well</t>
        </is>
      </c>
    </row>
    <row r="2244">
      <c r="A2244" s="37" t="inlineStr">
        <is>
          <t>Barna</t>
        </is>
      </c>
      <c r="B2244" s="37" t="inlineStr">
        <is>
          <t>Shanti Nagar Raipur CITI</t>
        </is>
      </c>
      <c r="C2244" s="37" t="inlineStr">
        <is>
          <t>Youth</t>
        </is>
      </c>
      <c r="D2244" s="37" t="inlineStr">
        <is>
          <t>2026-07-17</t>
        </is>
      </c>
      <c r="E2244" s="37" t="inlineStr">
        <is>
          <t>Process Check</t>
        </is>
      </c>
      <c r="F2244" s="37" t="inlineStr">
        <is>
          <t>Check AH holds a quality weekly team meeting, documents action points in the weekly meeting format, and sends you a photo on WhatsApp.</t>
        </is>
      </c>
      <c r="G2244" s="37" t="inlineStr">
        <is>
          <t>Need Improvement</t>
        </is>
      </c>
    </row>
    <row r="2245">
      <c r="A2245" s="37" t="inlineStr">
        <is>
          <t>Barna</t>
        </is>
      </c>
      <c r="B2245" s="37" t="inlineStr">
        <is>
          <t>Shanti Nagar Raipur CITI</t>
        </is>
      </c>
      <c r="C2245" s="37" t="inlineStr">
        <is>
          <t>Youth</t>
        </is>
      </c>
      <c r="D2245" s="37" t="inlineStr">
        <is>
          <t>2026-07-17</t>
        </is>
      </c>
      <c r="E2245" s="37" t="inlineStr">
        <is>
          <t>Aspirant Interaction</t>
        </is>
      </c>
      <c r="F2245" s="37" t="inlineStr">
        <is>
          <t>Ask aspirants about the session plan — confirm training is happening as planned?</t>
        </is>
      </c>
      <c r="G2245" s="37" t="inlineStr">
        <is>
          <t>All is Well</t>
        </is>
      </c>
    </row>
    <row r="2246">
      <c r="A2246" s="37" t="inlineStr">
        <is>
          <t>Barna</t>
        </is>
      </c>
      <c r="B2246" s="37" t="inlineStr">
        <is>
          <t>Shanti Nagar Raipur CITI</t>
        </is>
      </c>
      <c r="C2246" s="37" t="inlineStr">
        <is>
          <t>Youth</t>
        </is>
      </c>
      <c r="D2246" s="37" t="inlineStr">
        <is>
          <t>2026-07-17</t>
        </is>
      </c>
      <c r="E2246" s="37" t="inlineStr">
        <is>
          <t>Aspirant Interaction</t>
        </is>
      </c>
      <c r="F2246" s="37" t="inlineStr">
        <is>
          <t>Ask about the quality of Core Employability component delivery (technical centres) and who delivers it.</t>
        </is>
      </c>
      <c r="G2246" s="37" t="inlineStr">
        <is>
          <t>Not Applicable</t>
        </is>
      </c>
    </row>
    <row r="2247">
      <c r="A2247" s="37" t="inlineStr">
        <is>
          <t>Barna</t>
        </is>
      </c>
      <c r="B2247" s="37" t="inlineStr">
        <is>
          <t>Shanti Nagar Raipur CITI</t>
        </is>
      </c>
      <c r="C2247" s="37" t="inlineStr">
        <is>
          <t>Youth</t>
        </is>
      </c>
      <c r="D2247" s="37" t="inlineStr">
        <is>
          <t>2026-07-17</t>
        </is>
      </c>
      <c r="E2247" s="37" t="inlineStr">
        <is>
          <t>Aspirant Interaction</t>
        </is>
      </c>
      <c r="F2247" s="37" t="inlineStr">
        <is>
          <t>Ask whether they are aware of the referral scheme?</t>
        </is>
      </c>
      <c r="G2247" s="37" t="inlineStr">
        <is>
          <t>All is Well</t>
        </is>
      </c>
    </row>
    <row r="2248">
      <c r="A2248" s="37" t="inlineStr">
        <is>
          <t>Barna</t>
        </is>
      </c>
      <c r="B2248" s="37" t="inlineStr">
        <is>
          <t>Shanti Nagar Raipur CITI</t>
        </is>
      </c>
      <c r="C2248" s="37" t="inlineStr">
        <is>
          <t>Youth</t>
        </is>
      </c>
      <c r="D2248" s="37" t="inlineStr">
        <is>
          <t>2026-07-17</t>
        </is>
      </c>
      <c r="E2248" s="37" t="inlineStr">
        <is>
          <t>Aspirant Interaction</t>
        </is>
      </c>
      <c r="F2248" s="37" t="inlineStr">
        <is>
          <t>Ask whether the AH explained the importance of the offer letter and sharing it with us once received for reporting purposes?</t>
        </is>
      </c>
      <c r="G2248" s="37" t="inlineStr">
        <is>
          <t>All is Well</t>
        </is>
      </c>
    </row>
    <row r="2249">
      <c r="A2249" s="37" t="inlineStr">
        <is>
          <t>Barna</t>
        </is>
      </c>
      <c r="B2249" s="37" t="inlineStr">
        <is>
          <t>Shanti Nagar Raipur CITI</t>
        </is>
      </c>
      <c r="C2249" s="37" t="inlineStr">
        <is>
          <t>Youth</t>
        </is>
      </c>
      <c r="D2249" s="37" t="inlineStr">
        <is>
          <t>2026-07-17</t>
        </is>
      </c>
      <c r="E2249" s="37" t="inlineStr">
        <is>
          <t>Aspirant Interaction</t>
        </is>
      </c>
      <c r="F2249" s="37" t="inlineStr">
        <is>
          <t>Ask how many are not interested in jobs — and if so, why they enrolled in the programme?</t>
        </is>
      </c>
      <c r="G2249" s="37" t="inlineStr">
        <is>
          <t>All is Well</t>
        </is>
      </c>
    </row>
    <row r="2250">
      <c r="A2250" s="37" t="inlineStr">
        <is>
          <t>Barna</t>
        </is>
      </c>
      <c r="B2250" s="37" t="inlineStr">
        <is>
          <t>Shanti Nagar Raipur CITI</t>
        </is>
      </c>
      <c r="C2250" s="37" t="inlineStr">
        <is>
          <t>Youth</t>
        </is>
      </c>
      <c r="D2250" s="37" t="inlineStr">
        <is>
          <t>2026-07-17</t>
        </is>
      </c>
      <c r="E2250" s="37" t="inlineStr">
        <is>
          <t>Aspirant Interaction</t>
        </is>
      </c>
      <c r="F2250" s="37" t="inlineStr">
        <is>
          <t>Ask whether they were told the kind of job they would get during counselling?</t>
        </is>
      </c>
      <c r="G2250" s="37" t="inlineStr">
        <is>
          <t>All is Well</t>
        </is>
      </c>
    </row>
    <row r="2251">
      <c r="A2251" s="37" t="inlineStr">
        <is>
          <t>Barna</t>
        </is>
      </c>
      <c r="B2251" s="37" t="inlineStr">
        <is>
          <t>Shanti Nagar Raipur CITI</t>
        </is>
      </c>
      <c r="C2251" s="37" t="inlineStr">
        <is>
          <t>Youth</t>
        </is>
      </c>
      <c r="D2251" s="37" t="inlineStr">
        <is>
          <t>2026-07-17</t>
        </is>
      </c>
      <c r="E2251" s="37" t="inlineStr">
        <is>
          <t>Aspirant Interaction</t>
        </is>
      </c>
      <c r="F2251" s="37" t="inlineStr">
        <is>
          <t>Ask whether they have been given LMS access?</t>
        </is>
      </c>
      <c r="G2251" s="37" t="inlineStr">
        <is>
          <t>All is Well</t>
        </is>
      </c>
    </row>
    <row r="2252">
      <c r="A2252" s="37" t="inlineStr">
        <is>
          <t>Barna</t>
        </is>
      </c>
      <c r="B2252" s="37" t="inlineStr">
        <is>
          <t>Shanti Nagar Raipur CITI</t>
        </is>
      </c>
      <c r="C2252" s="37" t="inlineStr">
        <is>
          <t>Youth</t>
        </is>
      </c>
      <c r="D2252" s="37" t="inlineStr">
        <is>
          <t>2026-07-17</t>
        </is>
      </c>
      <c r="E2252" s="37" t="inlineStr">
        <is>
          <t>Aspirant Interaction</t>
        </is>
      </c>
      <c r="F2252" s="37" t="inlineStr">
        <is>
          <t>Ask whether anyone asked them for money for training or placement?</t>
        </is>
      </c>
      <c r="G2252" s="37" t="inlineStr">
        <is>
          <t>All is Well</t>
        </is>
      </c>
    </row>
    <row r="2253">
      <c r="A2253" s="37" t="inlineStr">
        <is>
          <t>Barna</t>
        </is>
      </c>
      <c r="B2253" s="37" t="inlineStr">
        <is>
          <t>Shanti Nagar Raipur CITI</t>
        </is>
      </c>
      <c r="C2253" s="37" t="inlineStr">
        <is>
          <t>Youth</t>
        </is>
      </c>
      <c r="D2253" s="37" t="inlineStr">
        <is>
          <t>2026-07-17</t>
        </is>
      </c>
      <c r="E2253" s="37" t="inlineStr">
        <is>
          <t>Aspirant Interaction</t>
        </is>
      </c>
      <c r="F2253" s="37" t="inlineStr">
        <is>
          <t>Ask to show their mobile phones — are they enrolled on Skillfy? If not, get them enrolled and give written feedback to trainers and the AH in your presence.</t>
        </is>
      </c>
      <c r="G2253" s="37" t="inlineStr">
        <is>
          <t>All is Well</t>
        </is>
      </c>
    </row>
    <row r="2254">
      <c r="A2254" s="37" t="inlineStr">
        <is>
          <t>Barna</t>
        </is>
      </c>
      <c r="B2254" s="37" t="inlineStr">
        <is>
          <t>Shanti Nagar Raipur CITI</t>
        </is>
      </c>
      <c r="C2254" s="37" t="inlineStr">
        <is>
          <t>Youth</t>
        </is>
      </c>
      <c r="D2254" s="37" t="inlineStr">
        <is>
          <t>2026-07-17</t>
        </is>
      </c>
      <c r="E2254" s="37" t="inlineStr">
        <is>
          <t>Aspirant Interaction</t>
        </is>
      </c>
      <c r="F2254" s="37" t="inlineStr">
        <is>
          <t>Ask about the quality of the hostel and any issues they face.</t>
        </is>
      </c>
      <c r="G2254" s="37" t="inlineStr">
        <is>
          <t>Not Applicable</t>
        </is>
      </c>
    </row>
    <row r="2255">
      <c r="A2255" s="37" t="inlineStr">
        <is>
          <t>Barna</t>
        </is>
      </c>
      <c r="B2255" s="37" t="inlineStr">
        <is>
          <t>Shanti Nagar Raipur CITI</t>
        </is>
      </c>
      <c r="C2255" s="37" t="inlineStr">
        <is>
          <t>Youth</t>
        </is>
      </c>
      <c r="D2255" s="37" t="inlineStr">
        <is>
          <t>2026-07-17</t>
        </is>
      </c>
      <c r="E2255" s="37" t="inlineStr">
        <is>
          <t>Aspirant Interaction</t>
        </is>
      </c>
      <c r="F2255" s="37" t="inlineStr">
        <is>
          <t>Ask a few relevant screening questions to support the 10th-day report and remove non-serious candidates, explaining to them the reasons.</t>
        </is>
      </c>
      <c r="G2255" s="37" t="inlineStr">
        <is>
          <t>All is Well</t>
        </is>
      </c>
    </row>
    <row r="2256">
      <c r="A2256" s="37" t="inlineStr">
        <is>
          <t>Barna</t>
        </is>
      </c>
      <c r="B2256" s="37" t="inlineStr">
        <is>
          <t>Nanda Nagar center</t>
        </is>
      </c>
      <c r="C2256" s="37" t="inlineStr">
        <is>
          <t>Youth</t>
        </is>
      </c>
      <c r="D2256" s="37" t="inlineStr">
        <is>
          <t>2026-07-20</t>
        </is>
      </c>
      <c r="E2256" s="37" t="inlineStr">
        <is>
          <t>Data Check</t>
        </is>
      </c>
      <c r="F2256" s="37" t="inlineStr">
        <is>
          <t>Reach the centre on time (unannounced) — confirm the centre opened on time.</t>
        </is>
      </c>
      <c r="G2256" s="37" t="inlineStr">
        <is>
          <t>All is Well</t>
        </is>
      </c>
    </row>
    <row r="2257">
      <c r="A2257" s="37" t="inlineStr">
        <is>
          <t>Barna</t>
        </is>
      </c>
      <c r="B2257" s="37" t="inlineStr">
        <is>
          <t>Nanda Nagar center</t>
        </is>
      </c>
      <c r="C2257" s="37" t="inlineStr">
        <is>
          <t>Youth</t>
        </is>
      </c>
      <c r="D2257" s="37" t="inlineStr">
        <is>
          <t>2026-07-20</t>
        </is>
      </c>
      <c r="E2257" s="37" t="inlineStr">
        <is>
          <t>Data Check</t>
        </is>
      </c>
      <c r="F2257" s="37" t="inlineStr">
        <is>
          <t>Check the staff attendance register, the Google Sheet, and geo-tagged photos for aspirants.</t>
        </is>
      </c>
      <c r="G2257" s="37" t="inlineStr">
        <is>
          <t>All is Well</t>
        </is>
      </c>
    </row>
    <row r="2258">
      <c r="A2258" s="37" t="inlineStr">
        <is>
          <t>Barna</t>
        </is>
      </c>
      <c r="B2258" s="37" t="inlineStr">
        <is>
          <t>Nanda Nagar center</t>
        </is>
      </c>
      <c r="C2258" s="37" t="inlineStr">
        <is>
          <t>Youth</t>
        </is>
      </c>
      <c r="D2258" s="37" t="inlineStr">
        <is>
          <t>2026-07-20</t>
        </is>
      </c>
      <c r="E2258" s="37" t="inlineStr">
        <is>
          <t>Data Check</t>
        </is>
      </c>
      <c r="F2258" s="37" t="inlineStr">
        <is>
          <t>Check Counselling and Screening Forms of recently started batches.</t>
        </is>
      </c>
      <c r="G2258" s="37" t="inlineStr">
        <is>
          <t>All is Well</t>
        </is>
      </c>
    </row>
    <row r="2259">
      <c r="A2259" s="37" t="inlineStr">
        <is>
          <t>Barna</t>
        </is>
      </c>
      <c r="B2259" s="37" t="inlineStr">
        <is>
          <t>Nanda Nagar center</t>
        </is>
      </c>
      <c r="C2259" s="37" t="inlineStr">
        <is>
          <t>Youth</t>
        </is>
      </c>
      <c r="D2259" s="37" t="inlineStr">
        <is>
          <t>2026-07-20</t>
        </is>
      </c>
      <c r="E2259" s="37" t="inlineStr">
        <is>
          <t>Data Check</t>
        </is>
      </c>
      <c r="F2259" s="37" t="inlineStr">
        <is>
          <t>Check Aspirant Registration Forms and related documents.</t>
        </is>
      </c>
      <c r="G2259" s="37" t="inlineStr">
        <is>
          <t>All is Well</t>
        </is>
      </c>
    </row>
    <row r="2260">
      <c r="A2260" s="37" t="inlineStr">
        <is>
          <t>Barna</t>
        </is>
      </c>
      <c r="B2260" s="37" t="inlineStr">
        <is>
          <t>Nanda Nagar center</t>
        </is>
      </c>
      <c r="C2260" s="37" t="inlineStr">
        <is>
          <t>Youth</t>
        </is>
      </c>
      <c r="D2260" s="37" t="inlineStr">
        <is>
          <t>2026-07-20</t>
        </is>
      </c>
      <c r="E2260" s="37" t="inlineStr">
        <is>
          <t>Data Check</t>
        </is>
      </c>
      <c r="F2260" s="37" t="inlineStr">
        <is>
          <t>On the GROW portal, confirm all student profile details and batch updates are currect.</t>
        </is>
      </c>
      <c r="G2260" s="37" t="inlineStr">
        <is>
          <t>All is Well</t>
        </is>
      </c>
    </row>
    <row r="2261">
      <c r="A2261" s="37" t="inlineStr">
        <is>
          <t>Barna</t>
        </is>
      </c>
      <c r="B2261" s="37" t="inlineStr">
        <is>
          <t>Nanda Nagar center</t>
        </is>
      </c>
      <c r="C2261" s="37" t="inlineStr">
        <is>
          <t>Youth</t>
        </is>
      </c>
      <c r="D2261" s="37" t="inlineStr">
        <is>
          <t>2026-07-20</t>
        </is>
      </c>
      <c r="E2261" s="37" t="inlineStr">
        <is>
          <t>Data Check</t>
        </is>
      </c>
      <c r="F2261" s="37" t="inlineStr">
        <is>
          <t>Verify placement data — randomly call 3–4 alumni placed in the last 3 months to confirm veracity (random selection is essential).</t>
        </is>
      </c>
      <c r="G2261" s="37" t="inlineStr">
        <is>
          <t>All is Well</t>
        </is>
      </c>
    </row>
    <row r="2262">
      <c r="A2262" s="37" t="inlineStr">
        <is>
          <t>Barna</t>
        </is>
      </c>
      <c r="B2262" s="37" t="inlineStr">
        <is>
          <t>Nanda Nagar center</t>
        </is>
      </c>
      <c r="C2262" s="37" t="inlineStr">
        <is>
          <t>Youth</t>
        </is>
      </c>
      <c r="D2262" s="37" t="inlineStr">
        <is>
          <t>2026-07-20</t>
        </is>
      </c>
      <c r="E2262" s="37" t="inlineStr">
        <is>
          <t>Data Check</t>
        </is>
      </c>
      <c r="F2262" s="37" t="inlineStr">
        <is>
          <t>Verify retention — check the Alumni Hand-holding Format is being updated as designed.</t>
        </is>
      </c>
      <c r="G2262" s="37" t="inlineStr">
        <is>
          <t>All is Well</t>
        </is>
      </c>
    </row>
    <row r="2263">
      <c r="A2263" s="37" t="inlineStr">
        <is>
          <t>Barna</t>
        </is>
      </c>
      <c r="B2263" s="37" t="inlineStr">
        <is>
          <t>Nanda Nagar center</t>
        </is>
      </c>
      <c r="C2263" s="37" t="inlineStr">
        <is>
          <t>Youth</t>
        </is>
      </c>
      <c r="D2263" s="37" t="inlineStr">
        <is>
          <t>2026-07-20</t>
        </is>
      </c>
      <c r="E2263" s="37" t="inlineStr">
        <is>
          <t>Data Check</t>
        </is>
      </c>
      <c r="F2263" s="37" t="inlineStr">
        <is>
          <t>Check aspirant Hostel Forms are properly filled or not.</t>
        </is>
      </c>
      <c r="G2263" s="37" t="inlineStr">
        <is>
          <t>Not Applicable</t>
        </is>
      </c>
    </row>
    <row r="2264">
      <c r="A2264" s="37" t="inlineStr">
        <is>
          <t>Barna</t>
        </is>
      </c>
      <c r="B2264" s="37" t="inlineStr">
        <is>
          <t>Nanda Nagar center</t>
        </is>
      </c>
      <c r="C2264" s="37" t="inlineStr">
        <is>
          <t>Youth</t>
        </is>
      </c>
      <c r="D2264" s="37" t="inlineStr">
        <is>
          <t>2026-07-20</t>
        </is>
      </c>
      <c r="E2264" s="37" t="inlineStr">
        <is>
          <t>Infra Check</t>
        </is>
      </c>
      <c r="F2264" s="37" t="inlineStr">
        <is>
          <t>Check all CCTV cameras; if any are not working, ask the AH to troubleshoot or call the vendor.</t>
        </is>
      </c>
      <c r="G2264" s="37" t="inlineStr">
        <is>
          <t>All is Well</t>
        </is>
      </c>
    </row>
    <row r="2265">
      <c r="A2265" s="37" t="inlineStr">
        <is>
          <t>Barna</t>
        </is>
      </c>
      <c r="B2265" s="37" t="inlineStr">
        <is>
          <t>Nanda Nagar center</t>
        </is>
      </c>
      <c r="C2265" s="37" t="inlineStr">
        <is>
          <t>Youth</t>
        </is>
      </c>
      <c r="D2265" s="37" t="inlineStr">
        <is>
          <t>2026-07-20</t>
        </is>
      </c>
      <c r="E2265" s="37" t="inlineStr">
        <is>
          <t>Infra Check</t>
        </is>
      </c>
      <c r="F2265" s="37" t="inlineStr">
        <is>
          <t>Check for any scrap material and get it cleared, with support of Admin</t>
        </is>
      </c>
      <c r="G2265" s="37" t="inlineStr">
        <is>
          <t>All is Well</t>
        </is>
      </c>
    </row>
    <row r="2266">
      <c r="A2266" s="37" t="inlineStr">
        <is>
          <t>Barna</t>
        </is>
      </c>
      <c r="B2266" s="37" t="inlineStr">
        <is>
          <t>Nanda Nagar center</t>
        </is>
      </c>
      <c r="C2266" s="37" t="inlineStr">
        <is>
          <t>Youth</t>
        </is>
      </c>
      <c r="D2266" s="37" t="inlineStr">
        <is>
          <t>2026-07-20</t>
        </is>
      </c>
      <c r="E2266" s="37" t="inlineStr">
        <is>
          <t>Infra Check</t>
        </is>
      </c>
      <c r="F2266" s="37" t="inlineStr">
        <is>
          <t>Check for any pending infra repairs.</t>
        </is>
      </c>
      <c r="G2266" s="37" t="inlineStr">
        <is>
          <t>Need Improvement</t>
        </is>
      </c>
    </row>
    <row r="2267">
      <c r="A2267" s="37" t="inlineStr">
        <is>
          <t>Barna</t>
        </is>
      </c>
      <c r="B2267" s="37" t="inlineStr">
        <is>
          <t>Nanda Nagar center</t>
        </is>
      </c>
      <c r="C2267" s="37" t="inlineStr">
        <is>
          <t>Youth</t>
        </is>
      </c>
      <c r="D2267" s="37" t="inlineStr">
        <is>
          <t>2026-07-20</t>
        </is>
      </c>
      <c r="E2267" s="37" t="inlineStr">
        <is>
          <t>Infra Check</t>
        </is>
      </c>
      <c r="F2267" s="37" t="inlineStr">
        <is>
          <t>Check whether any fire extinguishers have expired (check the needle and expiry date both).</t>
        </is>
      </c>
      <c r="G2267" s="37" t="inlineStr">
        <is>
          <t>All is Well</t>
        </is>
      </c>
    </row>
    <row r="2268">
      <c r="A2268" s="37" t="inlineStr">
        <is>
          <t>Barna</t>
        </is>
      </c>
      <c r="B2268" s="37" t="inlineStr">
        <is>
          <t>Nanda Nagar center</t>
        </is>
      </c>
      <c r="C2268" s="37" t="inlineStr">
        <is>
          <t>Youth</t>
        </is>
      </c>
      <c r="D2268" s="37" t="inlineStr">
        <is>
          <t>2026-07-20</t>
        </is>
      </c>
      <c r="E2268" s="37" t="inlineStr">
        <is>
          <t>Infra Check</t>
        </is>
      </c>
      <c r="F2268" s="37" t="inlineStr">
        <is>
          <t>Check basic cleanliness of the washrooms and the centre.</t>
        </is>
      </c>
      <c r="G2268" s="37" t="inlineStr">
        <is>
          <t>All is Well</t>
        </is>
      </c>
    </row>
    <row r="2269">
      <c r="A2269" s="37" t="inlineStr">
        <is>
          <t>Barna</t>
        </is>
      </c>
      <c r="B2269" s="37" t="inlineStr">
        <is>
          <t>Nanda Nagar center</t>
        </is>
      </c>
      <c r="C2269" s="37" t="inlineStr">
        <is>
          <t>Youth</t>
        </is>
      </c>
      <c r="D2269" s="37" t="inlineStr">
        <is>
          <t>2026-07-20</t>
        </is>
      </c>
      <c r="E2269" s="37" t="inlineStr">
        <is>
          <t>Infra Check</t>
        </is>
      </c>
      <c r="F2269" s="37" t="inlineStr">
        <is>
          <t>Confirm the correct program and partner logos are displayed.</t>
        </is>
      </c>
      <c r="G2269" s="37" t="inlineStr">
        <is>
          <t>All is Well</t>
        </is>
      </c>
    </row>
    <row r="2270">
      <c r="A2270" s="37" t="inlineStr">
        <is>
          <t>Barna</t>
        </is>
      </c>
      <c r="B2270" s="37" t="inlineStr">
        <is>
          <t>Nanda Nagar center</t>
        </is>
      </c>
      <c r="C2270" s="37" t="inlineStr">
        <is>
          <t>Youth</t>
        </is>
      </c>
      <c r="D2270" s="37" t="inlineStr">
        <is>
          <t>2026-07-20</t>
        </is>
      </c>
      <c r="E2270" s="37" t="inlineStr">
        <is>
          <t>Infra Check</t>
        </is>
      </c>
      <c r="F2270" s="37" t="inlineStr">
        <is>
          <t>Check the status of digital infra — PCs, smartboards, tablets, laptops, etc.</t>
        </is>
      </c>
      <c r="G2270" s="37" t="inlineStr">
        <is>
          <t>All is Well</t>
        </is>
      </c>
    </row>
    <row r="2271">
      <c r="A2271" s="37" t="inlineStr">
        <is>
          <t>Barna</t>
        </is>
      </c>
      <c r="B2271" s="37" t="inlineStr">
        <is>
          <t>Nanda Nagar center</t>
        </is>
      </c>
      <c r="C2271" s="37" t="inlineStr">
        <is>
          <t>Youth</t>
        </is>
      </c>
      <c r="D2271" s="37" t="inlineStr">
        <is>
          <t>2026-07-20</t>
        </is>
      </c>
      <c r="E2271" s="37" t="inlineStr">
        <is>
          <t>Infra Check</t>
        </is>
      </c>
      <c r="F2271" s="37" t="inlineStr">
        <is>
          <t>Make a quick hostel visit; have lunch there if possible to test the food quality.</t>
        </is>
      </c>
      <c r="G2271" s="37" t="inlineStr">
        <is>
          <t>Not Applicable</t>
        </is>
      </c>
    </row>
    <row r="2272">
      <c r="A2272" s="37" t="inlineStr">
        <is>
          <t>Barna</t>
        </is>
      </c>
      <c r="B2272" s="37" t="inlineStr">
        <is>
          <t>Nanda Nagar center</t>
        </is>
      </c>
      <c r="C2272" s="37" t="inlineStr">
        <is>
          <t>Youth</t>
        </is>
      </c>
      <c r="D2272" s="37" t="inlineStr">
        <is>
          <t>2026-07-20</t>
        </is>
      </c>
      <c r="E2272" s="37" t="inlineStr">
        <is>
          <t>Process Check</t>
        </is>
      </c>
      <c r="F2272" s="37" t="inlineStr">
        <is>
          <t>Refer to the activity planner — check if any activities are delayed.</t>
        </is>
      </c>
      <c r="G2272" s="37" t="inlineStr">
        <is>
          <t>All is Well</t>
        </is>
      </c>
    </row>
    <row r="2273">
      <c r="A2273" s="37" t="inlineStr">
        <is>
          <t>Barna</t>
        </is>
      </c>
      <c r="B2273" s="37" t="inlineStr">
        <is>
          <t>Nanda Nagar center</t>
        </is>
      </c>
      <c r="C2273" s="37" t="inlineStr">
        <is>
          <t>Youth</t>
        </is>
      </c>
      <c r="D2273" s="37" t="inlineStr">
        <is>
          <t>2026-07-20</t>
        </is>
      </c>
      <c r="E2273" s="37" t="inlineStr">
        <is>
          <t>Process Check</t>
        </is>
      </c>
      <c r="F2273" s="37" t="inlineStr">
        <is>
          <t>Check planning for the next batch-start announcement.</t>
        </is>
      </c>
      <c r="G2273" s="37" t="inlineStr">
        <is>
          <t>Need Improvement</t>
        </is>
      </c>
    </row>
    <row r="2274">
      <c r="A2274" s="37" t="inlineStr">
        <is>
          <t>Barna</t>
        </is>
      </c>
      <c r="B2274" s="37" t="inlineStr">
        <is>
          <t>Nanda Nagar center</t>
        </is>
      </c>
      <c r="C2274" s="37" t="inlineStr">
        <is>
          <t>Youth</t>
        </is>
      </c>
      <c r="D2274" s="37" t="inlineStr">
        <is>
          <t>2026-07-20</t>
        </is>
      </c>
      <c r="E2274" s="37" t="inlineStr">
        <is>
          <t>Process Check</t>
        </is>
      </c>
      <c r="F2274" s="37" t="inlineStr">
        <is>
          <t>Check if any hiring is delayed and plan a resolution.</t>
        </is>
      </c>
      <c r="G2274" s="37" t="inlineStr">
        <is>
          <t>All is Well</t>
        </is>
      </c>
    </row>
    <row r="2275">
      <c r="A2275" s="37" t="inlineStr">
        <is>
          <t>Barna</t>
        </is>
      </c>
      <c r="B2275" s="37" t="inlineStr">
        <is>
          <t>Nanda Nagar center</t>
        </is>
      </c>
      <c r="C2275" s="37" t="inlineStr">
        <is>
          <t>Youth</t>
        </is>
      </c>
      <c r="D2275" s="37" t="inlineStr">
        <is>
          <t>2026-07-20</t>
        </is>
      </c>
      <c r="E2275" s="37" t="inlineStr">
        <is>
          <t>Process Check</t>
        </is>
      </c>
      <c r="F2275" s="37" t="inlineStr">
        <is>
          <t>Check the CA’s diary — is CA guided daily by the AH during planning days?</t>
        </is>
      </c>
      <c r="G2275" s="37" t="inlineStr">
        <is>
          <t>All is Well</t>
        </is>
      </c>
    </row>
    <row r="2276">
      <c r="A2276" s="37" t="inlineStr">
        <is>
          <t>Barna</t>
        </is>
      </c>
      <c r="B2276" s="37" t="inlineStr">
        <is>
          <t>Nanda Nagar center</t>
        </is>
      </c>
      <c r="C2276" s="37" t="inlineStr">
        <is>
          <t>Youth</t>
        </is>
      </c>
      <c r="D2276" s="37" t="inlineStr">
        <is>
          <t>2026-07-20</t>
        </is>
      </c>
      <c r="E2276" s="37" t="inlineStr">
        <is>
          <t>Process Check</t>
        </is>
      </c>
      <c r="F2276" s="37" t="inlineStr">
        <is>
          <t>Check the AH is regularly meeting employers (in person and online) and updating the centre’s Top 20 Employer format.</t>
        </is>
      </c>
      <c r="G2276" s="37" t="inlineStr">
        <is>
          <t>All is Well</t>
        </is>
      </c>
    </row>
    <row r="2277">
      <c r="A2277" s="37" t="inlineStr">
        <is>
          <t>Barna</t>
        </is>
      </c>
      <c r="B2277" s="37" t="inlineStr">
        <is>
          <t>Nanda Nagar center</t>
        </is>
      </c>
      <c r="C2277" s="37" t="inlineStr">
        <is>
          <t>Youth</t>
        </is>
      </c>
      <c r="D2277" s="37" t="inlineStr">
        <is>
          <t>2026-07-20</t>
        </is>
      </c>
      <c r="E2277" s="37" t="inlineStr">
        <is>
          <t>Process Check</t>
        </is>
      </c>
      <c r="F2277" s="37" t="inlineStr">
        <is>
          <t>Confirm all new employers are registered on portal as per new process.</t>
        </is>
      </c>
      <c r="G2277" s="37" t="inlineStr">
        <is>
          <t>All is Well</t>
        </is>
      </c>
    </row>
    <row r="2278">
      <c r="A2278" s="37" t="inlineStr">
        <is>
          <t>Barna</t>
        </is>
      </c>
      <c r="B2278" s="37" t="inlineStr">
        <is>
          <t>Nanda Nagar center</t>
        </is>
      </c>
      <c r="C2278" s="37" t="inlineStr">
        <is>
          <t>Youth</t>
        </is>
      </c>
      <c r="D2278" s="37" t="inlineStr">
        <is>
          <t>2026-07-20</t>
        </is>
      </c>
      <c r="E2278" s="37" t="inlineStr">
        <is>
          <t>Process Check</t>
        </is>
      </c>
      <c r="F2278" s="37" t="inlineStr">
        <is>
          <t>Confirm 100% of enrolled students undergone screening (for technical courses).</t>
        </is>
      </c>
      <c r="G2278" s="37" t="inlineStr">
        <is>
          <t>Not Applicable</t>
        </is>
      </c>
    </row>
    <row r="2279">
      <c r="A2279" s="37" t="inlineStr">
        <is>
          <t>Barna</t>
        </is>
      </c>
      <c r="B2279" s="37" t="inlineStr">
        <is>
          <t>Nanda Nagar center</t>
        </is>
      </c>
      <c r="C2279" s="37" t="inlineStr">
        <is>
          <t>Youth</t>
        </is>
      </c>
      <c r="D2279" s="37" t="inlineStr">
        <is>
          <t>2026-07-20</t>
        </is>
      </c>
      <c r="E2279" s="37" t="inlineStr">
        <is>
          <t>Process Check</t>
        </is>
      </c>
      <c r="F2279" s="37" t="inlineStr">
        <is>
          <t>Confirm ESA is done (in GROW full ESA and in Technical courses relevant sections of Core Employability Part).</t>
        </is>
      </c>
      <c r="G2279" s="37" t="inlineStr">
        <is>
          <t>Not Applicable</t>
        </is>
      </c>
    </row>
    <row r="2280">
      <c r="A2280" s="37" t="inlineStr">
        <is>
          <t>Barna</t>
        </is>
      </c>
      <c r="B2280" s="37" t="inlineStr">
        <is>
          <t>Nanda Nagar center</t>
        </is>
      </c>
      <c r="C2280" s="37" t="inlineStr">
        <is>
          <t>Youth</t>
        </is>
      </c>
      <c r="D2280" s="37" t="inlineStr">
        <is>
          <t>2026-07-20</t>
        </is>
      </c>
      <c r="E2280" s="37" t="inlineStr">
        <is>
          <t>Process Check</t>
        </is>
      </c>
      <c r="F2280" s="37" t="inlineStr">
        <is>
          <t>Check is AH giving capstone project in GROW Tech.</t>
        </is>
      </c>
      <c r="G2280" s="37" t="inlineStr">
        <is>
          <t>Not Applicable</t>
        </is>
      </c>
    </row>
    <row r="2281">
      <c r="A2281" s="37" t="inlineStr">
        <is>
          <t>Barna</t>
        </is>
      </c>
      <c r="B2281" s="37" t="inlineStr">
        <is>
          <t>Nanda Nagar center</t>
        </is>
      </c>
      <c r="C2281" s="37" t="inlineStr">
        <is>
          <t>Youth</t>
        </is>
      </c>
      <c r="D2281" s="37" t="inlineStr">
        <is>
          <t>2026-07-20</t>
        </is>
      </c>
      <c r="E2281" s="37" t="inlineStr">
        <is>
          <t>Process Check</t>
        </is>
      </c>
      <c r="F2281" s="37" t="inlineStr">
        <is>
          <t>Check is AH planning OJT as per guidelines and proofs are collected for technical courses.</t>
        </is>
      </c>
      <c r="G2281" s="37" t="inlineStr">
        <is>
          <t>Not Applicable</t>
        </is>
      </c>
    </row>
    <row r="2282">
      <c r="A2282" s="37" t="inlineStr">
        <is>
          <t>Barna</t>
        </is>
      </c>
      <c r="B2282" s="37" t="inlineStr">
        <is>
          <t>Nanda Nagar center</t>
        </is>
      </c>
      <c r="C2282" s="37" t="inlineStr">
        <is>
          <t>Youth</t>
        </is>
      </c>
      <c r="D2282" s="37" t="inlineStr">
        <is>
          <t>2026-07-20</t>
        </is>
      </c>
      <c r="E2282" s="37" t="inlineStr">
        <is>
          <t>Process Check</t>
        </is>
      </c>
      <c r="F2282" s="37" t="inlineStr">
        <is>
          <t>Check are trainers contacting aspirants to find reason for their absenteeism of more than 1 day.</t>
        </is>
      </c>
      <c r="G2282" s="37" t="inlineStr">
        <is>
          <t>All is Well</t>
        </is>
      </c>
    </row>
    <row r="2283">
      <c r="A2283" s="37" t="inlineStr">
        <is>
          <t>Barna</t>
        </is>
      </c>
      <c r="B2283" s="37" t="inlineStr">
        <is>
          <t>Nanda Nagar center</t>
        </is>
      </c>
      <c r="C2283" s="37" t="inlineStr">
        <is>
          <t>Youth</t>
        </is>
      </c>
      <c r="D2283" s="37" t="inlineStr">
        <is>
          <t>2026-07-20</t>
        </is>
      </c>
      <c r="E2283" s="37" t="inlineStr">
        <is>
          <t>Process Check</t>
        </is>
      </c>
      <c r="F2283" s="37" t="inlineStr">
        <is>
          <t>Check the AH plans monthly enrolment and placement numbers by the 3rd of each month and shares them with second level managers.</t>
        </is>
      </c>
      <c r="G2283" s="37" t="inlineStr">
        <is>
          <t>All is Well</t>
        </is>
      </c>
    </row>
    <row r="2284">
      <c r="A2284" s="37" t="inlineStr">
        <is>
          <t>Barna</t>
        </is>
      </c>
      <c r="B2284" s="37" t="inlineStr">
        <is>
          <t>Nanda Nagar center</t>
        </is>
      </c>
      <c r="C2284" s="37" t="inlineStr">
        <is>
          <t>Youth</t>
        </is>
      </c>
      <c r="D2284" s="37" t="inlineStr">
        <is>
          <t>2026-07-20</t>
        </is>
      </c>
      <c r="E2284" s="37" t="inlineStr">
        <is>
          <t>Process Check</t>
        </is>
      </c>
      <c r="F2284" s="37" t="inlineStr">
        <is>
          <t>Check trainers submit aspirants’ placement interest areas to the AH by the batch’s 25th day (in GROW).</t>
        </is>
      </c>
      <c r="G2284" s="37" t="inlineStr">
        <is>
          <t>All is Well</t>
        </is>
      </c>
    </row>
    <row r="2285">
      <c r="A2285" s="37" t="inlineStr">
        <is>
          <t>Barna</t>
        </is>
      </c>
      <c r="B2285" s="37" t="inlineStr">
        <is>
          <t>Nanda Nagar center</t>
        </is>
      </c>
      <c r="C2285" s="37" t="inlineStr">
        <is>
          <t>Youth</t>
        </is>
      </c>
      <c r="D2285" s="37" t="inlineStr">
        <is>
          <t>2026-07-20</t>
        </is>
      </c>
      <c r="E2285" s="37" t="inlineStr">
        <is>
          <t>Process Check</t>
        </is>
      </c>
      <c r="F2285" s="37" t="inlineStr">
        <is>
          <t>Ckeck For technical programs, placement is done only in technical jobs,on which aspirants are trained and relevant emplyers are identified by 45th day.</t>
        </is>
      </c>
      <c r="G2285" s="37" t="inlineStr">
        <is>
          <t>Not Applicable</t>
        </is>
      </c>
    </row>
    <row r="2286">
      <c r="A2286" s="37" t="inlineStr">
        <is>
          <t>Barna</t>
        </is>
      </c>
      <c r="B2286" s="37" t="inlineStr">
        <is>
          <t>Nanda Nagar center</t>
        </is>
      </c>
      <c r="C2286" s="37" t="inlineStr">
        <is>
          <t>Youth</t>
        </is>
      </c>
      <c r="D2286" s="37" t="inlineStr">
        <is>
          <t>2026-07-20</t>
        </is>
      </c>
      <c r="E2286" s="37" t="inlineStr">
        <is>
          <t>Process Check</t>
        </is>
      </c>
      <c r="F2286" s="37" t="inlineStr">
        <is>
          <t>Check the AH follows EP guidelines and minimum benchmark salary guidelines.</t>
        </is>
      </c>
      <c r="G2286" s="37" t="inlineStr">
        <is>
          <t>All is Well</t>
        </is>
      </c>
    </row>
    <row r="2287">
      <c r="A2287" s="37" t="inlineStr">
        <is>
          <t>Barna</t>
        </is>
      </c>
      <c r="B2287" s="37" t="inlineStr">
        <is>
          <t>Nanda Nagar center</t>
        </is>
      </c>
      <c r="C2287" s="37" t="inlineStr">
        <is>
          <t>Youth</t>
        </is>
      </c>
      <c r="D2287" s="37" t="inlineStr">
        <is>
          <t>2026-07-20</t>
        </is>
      </c>
      <c r="E2287" s="37" t="inlineStr">
        <is>
          <t>Process Check</t>
        </is>
      </c>
      <c r="F2287" s="37" t="inlineStr">
        <is>
          <t>Check that AH is enrolling only the right traget group in the program -as per the defined target.</t>
        </is>
      </c>
      <c r="G2287" s="37" t="inlineStr">
        <is>
          <t>All is Well</t>
        </is>
      </c>
    </row>
    <row r="2288">
      <c r="A2288" s="37" t="inlineStr">
        <is>
          <t>Barna</t>
        </is>
      </c>
      <c r="B2288" s="37" t="inlineStr">
        <is>
          <t>Nanda Nagar center</t>
        </is>
      </c>
      <c r="C2288" s="37" t="inlineStr">
        <is>
          <t>Youth</t>
        </is>
      </c>
      <c r="D2288" s="37" t="inlineStr">
        <is>
          <t>2026-07-20</t>
        </is>
      </c>
      <c r="E2288" s="37" t="inlineStr">
        <is>
          <t>Process Check</t>
        </is>
      </c>
      <c r="F2288" s="37" t="inlineStr">
        <is>
          <t>Check the AH announces the next batch-start date by the 3rd of the month on all notice boards — focus on Zero-Day start.</t>
        </is>
      </c>
      <c r="G2288" s="37" t="inlineStr">
        <is>
          <t>Need Improvement</t>
        </is>
      </c>
    </row>
    <row r="2289">
      <c r="A2289" s="37" t="inlineStr">
        <is>
          <t>Barna</t>
        </is>
      </c>
      <c r="B2289" s="37" t="inlineStr">
        <is>
          <t>Nanda Nagar center</t>
        </is>
      </c>
      <c r="C2289" s="37" t="inlineStr">
        <is>
          <t>Youth</t>
        </is>
      </c>
      <c r="D2289" s="37" t="inlineStr">
        <is>
          <t>2026-07-20</t>
        </is>
      </c>
      <c r="E2289" s="37" t="inlineStr">
        <is>
          <t>Process Check</t>
        </is>
      </c>
      <c r="F2289" s="37" t="inlineStr">
        <is>
          <t>Check the Aspirant Mock Interview Score Tracker is updated after every mock interview in the L&amp;D Google Sheet.</t>
        </is>
      </c>
      <c r="G2289" s="37" t="inlineStr">
        <is>
          <t>All is Well</t>
        </is>
      </c>
    </row>
    <row r="2290">
      <c r="A2290" s="37" t="inlineStr">
        <is>
          <t>Barna</t>
        </is>
      </c>
      <c r="B2290" s="37" t="inlineStr">
        <is>
          <t>Nanda Nagar center</t>
        </is>
      </c>
      <c r="C2290" s="37" t="inlineStr">
        <is>
          <t>Youth</t>
        </is>
      </c>
      <c r="D2290" s="37" t="inlineStr">
        <is>
          <t>2026-07-20</t>
        </is>
      </c>
      <c r="E2290" s="37" t="inlineStr">
        <is>
          <t>Process Check</t>
        </is>
      </c>
      <c r="F2290" s="37" t="inlineStr">
        <is>
          <t>Confirm NPS (Net Promoter Score) is collected at MSDF centres.</t>
        </is>
      </c>
      <c r="G2290" s="37" t="inlineStr">
        <is>
          <t>Not Applicable</t>
        </is>
      </c>
    </row>
    <row r="2291">
      <c r="A2291" s="37" t="inlineStr">
        <is>
          <t>Barna</t>
        </is>
      </c>
      <c r="B2291" s="37" t="inlineStr">
        <is>
          <t>Nanda Nagar center</t>
        </is>
      </c>
      <c r="C2291" s="37" t="inlineStr">
        <is>
          <t>Youth</t>
        </is>
      </c>
      <c r="D2291" s="37" t="inlineStr">
        <is>
          <t>2026-07-20</t>
        </is>
      </c>
      <c r="E2291" s="37" t="inlineStr">
        <is>
          <t>Process Check</t>
        </is>
      </c>
      <c r="F2291" s="37" t="inlineStr">
        <is>
          <t>Confirm that QAE is collecting student feedback for every batch.</t>
        </is>
      </c>
      <c r="G2291" s="37" t="inlineStr">
        <is>
          <t>All is Well</t>
        </is>
      </c>
    </row>
    <row r="2292">
      <c r="A2292" s="37" t="inlineStr">
        <is>
          <t>Barna</t>
        </is>
      </c>
      <c r="B2292" s="37" t="inlineStr">
        <is>
          <t>Nanda Nagar center</t>
        </is>
      </c>
      <c r="C2292" s="37" t="inlineStr">
        <is>
          <t>Youth</t>
        </is>
      </c>
      <c r="D2292" s="37" t="inlineStr">
        <is>
          <t>2026-07-20</t>
        </is>
      </c>
      <c r="E2292" s="37" t="inlineStr">
        <is>
          <t>Process Check</t>
        </is>
      </c>
      <c r="F2292" s="37" t="inlineStr">
        <is>
          <t>Confirm all centre teams have completed the GROW Manual Course on Skillfy — ask for achievement certificates.</t>
        </is>
      </c>
      <c r="G2292" s="37" t="inlineStr">
        <is>
          <t>All is Well</t>
        </is>
      </c>
    </row>
    <row r="2293">
      <c r="A2293" s="37" t="inlineStr">
        <is>
          <t>Barna</t>
        </is>
      </c>
      <c r="B2293" s="37" t="inlineStr">
        <is>
          <t>Nanda Nagar center</t>
        </is>
      </c>
      <c r="C2293" s="37" t="inlineStr">
        <is>
          <t>Youth</t>
        </is>
      </c>
      <c r="D2293" s="37" t="inlineStr">
        <is>
          <t>2026-07-20</t>
        </is>
      </c>
      <c r="E2293" s="37" t="inlineStr">
        <is>
          <t>Process Check</t>
        </is>
      </c>
      <c r="F2293" s="37" t="inlineStr">
        <is>
          <t>Check AH holds a quality weekly team meeting, documents action points in the weekly meeting format, and sends you a photo on WhatsApp.</t>
        </is>
      </c>
      <c r="G2293" s="37" t="inlineStr">
        <is>
          <t>All is Well</t>
        </is>
      </c>
    </row>
    <row r="2294">
      <c r="A2294" s="37" t="inlineStr">
        <is>
          <t>Barna</t>
        </is>
      </c>
      <c r="B2294" s="37" t="inlineStr">
        <is>
          <t>Nanda Nagar center</t>
        </is>
      </c>
      <c r="C2294" s="37" t="inlineStr">
        <is>
          <t>Youth</t>
        </is>
      </c>
      <c r="D2294" s="37" t="inlineStr">
        <is>
          <t>2026-07-20</t>
        </is>
      </c>
      <c r="E2294" s="37" t="inlineStr">
        <is>
          <t>Aspirant Interaction</t>
        </is>
      </c>
      <c r="F2294" s="37" t="inlineStr">
        <is>
          <t>Ask aspirants about the session plan — confirm training is happening as planned?</t>
        </is>
      </c>
      <c r="G2294" s="37" t="inlineStr">
        <is>
          <t>All is Well</t>
        </is>
      </c>
    </row>
    <row r="2295">
      <c r="A2295" s="37" t="inlineStr">
        <is>
          <t>Barna</t>
        </is>
      </c>
      <c r="B2295" s="37" t="inlineStr">
        <is>
          <t>Nanda Nagar center</t>
        </is>
      </c>
      <c r="C2295" s="37" t="inlineStr">
        <is>
          <t>Youth</t>
        </is>
      </c>
      <c r="D2295" s="37" t="inlineStr">
        <is>
          <t>2026-07-20</t>
        </is>
      </c>
      <c r="E2295" s="37" t="inlineStr">
        <is>
          <t>Aspirant Interaction</t>
        </is>
      </c>
      <c r="F2295" s="37" t="inlineStr">
        <is>
          <t>Ask about the quality of Core Employability component delivery (technical centres) and who delivers it.</t>
        </is>
      </c>
      <c r="G2295" s="37" t="inlineStr">
        <is>
          <t>Not Applicable</t>
        </is>
      </c>
    </row>
    <row r="2296">
      <c r="A2296" s="37" t="inlineStr">
        <is>
          <t>Barna</t>
        </is>
      </c>
      <c r="B2296" s="37" t="inlineStr">
        <is>
          <t>Nanda Nagar center</t>
        </is>
      </c>
      <c r="C2296" s="37" t="inlineStr">
        <is>
          <t>Youth</t>
        </is>
      </c>
      <c r="D2296" s="37" t="inlineStr">
        <is>
          <t>2026-07-20</t>
        </is>
      </c>
      <c r="E2296" s="37" t="inlineStr">
        <is>
          <t>Aspirant Interaction</t>
        </is>
      </c>
      <c r="F2296" s="37" t="inlineStr">
        <is>
          <t>Ask whether they are aware of the referral scheme?</t>
        </is>
      </c>
      <c r="G2296" s="37" t="inlineStr">
        <is>
          <t>All is Well</t>
        </is>
      </c>
    </row>
    <row r="2297">
      <c r="A2297" s="37" t="inlineStr">
        <is>
          <t>Barna</t>
        </is>
      </c>
      <c r="B2297" s="37" t="inlineStr">
        <is>
          <t>Nanda Nagar center</t>
        </is>
      </c>
      <c r="C2297" s="37" t="inlineStr">
        <is>
          <t>Youth</t>
        </is>
      </c>
      <c r="D2297" s="37" t="inlineStr">
        <is>
          <t>2026-07-20</t>
        </is>
      </c>
      <c r="E2297" s="37" t="inlineStr">
        <is>
          <t>Aspirant Interaction</t>
        </is>
      </c>
      <c r="F2297" s="37" t="inlineStr">
        <is>
          <t>Ask whether the AH explained the importance of the offer letter and sharing it with us once received for reporting purposes?</t>
        </is>
      </c>
      <c r="G2297" s="37" t="inlineStr">
        <is>
          <t>All is Well</t>
        </is>
      </c>
    </row>
    <row r="2298">
      <c r="A2298" s="37" t="inlineStr">
        <is>
          <t>Barna</t>
        </is>
      </c>
      <c r="B2298" s="37" t="inlineStr">
        <is>
          <t>Nanda Nagar center</t>
        </is>
      </c>
      <c r="C2298" s="37" t="inlineStr">
        <is>
          <t>Youth</t>
        </is>
      </c>
      <c r="D2298" s="37" t="inlineStr">
        <is>
          <t>2026-07-20</t>
        </is>
      </c>
      <c r="E2298" s="37" t="inlineStr">
        <is>
          <t>Aspirant Interaction</t>
        </is>
      </c>
      <c r="F2298" s="37" t="inlineStr">
        <is>
          <t>Ask how many are not interested in jobs — and if so, why they enrolled in the programme?</t>
        </is>
      </c>
      <c r="G2298" s="37" t="inlineStr">
        <is>
          <t>All is Well</t>
        </is>
      </c>
    </row>
    <row r="2299">
      <c r="A2299" s="37" t="inlineStr">
        <is>
          <t>Barna</t>
        </is>
      </c>
      <c r="B2299" s="37" t="inlineStr">
        <is>
          <t>Nanda Nagar center</t>
        </is>
      </c>
      <c r="C2299" s="37" t="inlineStr">
        <is>
          <t>Youth</t>
        </is>
      </c>
      <c r="D2299" s="37" t="inlineStr">
        <is>
          <t>2026-07-20</t>
        </is>
      </c>
      <c r="E2299" s="37" t="inlineStr">
        <is>
          <t>Aspirant Interaction</t>
        </is>
      </c>
      <c r="F2299" s="37" t="inlineStr">
        <is>
          <t>Ask whether they were told the kind of job they would get during counselling?</t>
        </is>
      </c>
      <c r="G2299" s="37" t="inlineStr">
        <is>
          <t>All is Well</t>
        </is>
      </c>
    </row>
    <row r="2300">
      <c r="A2300" s="37" t="inlineStr">
        <is>
          <t>Barna</t>
        </is>
      </c>
      <c r="B2300" s="37" t="inlineStr">
        <is>
          <t>Nanda Nagar center</t>
        </is>
      </c>
      <c r="C2300" s="37" t="inlineStr">
        <is>
          <t>Youth</t>
        </is>
      </c>
      <c r="D2300" s="37" t="inlineStr">
        <is>
          <t>2026-07-20</t>
        </is>
      </c>
      <c r="E2300" s="37" t="inlineStr">
        <is>
          <t>Aspirant Interaction</t>
        </is>
      </c>
      <c r="F2300" s="37" t="inlineStr">
        <is>
          <t>Ask whether they have been given LMS access?</t>
        </is>
      </c>
      <c r="G2300" s="37" t="inlineStr">
        <is>
          <t>All is Well</t>
        </is>
      </c>
    </row>
    <row r="2301">
      <c r="A2301" s="37" t="inlineStr">
        <is>
          <t>Barna</t>
        </is>
      </c>
      <c r="B2301" s="37" t="inlineStr">
        <is>
          <t>Nanda Nagar center</t>
        </is>
      </c>
      <c r="C2301" s="37" t="inlineStr">
        <is>
          <t>Youth</t>
        </is>
      </c>
      <c r="D2301" s="37" t="inlineStr">
        <is>
          <t>2026-07-20</t>
        </is>
      </c>
      <c r="E2301" s="37" t="inlineStr">
        <is>
          <t>Aspirant Interaction</t>
        </is>
      </c>
      <c r="F2301" s="37" t="inlineStr">
        <is>
          <t>Ask whether anyone asked them for money for training or placement?</t>
        </is>
      </c>
      <c r="G2301" s="37" t="inlineStr">
        <is>
          <t>All is Well</t>
        </is>
      </c>
    </row>
    <row r="2302">
      <c r="A2302" s="37" t="inlineStr">
        <is>
          <t>Barna</t>
        </is>
      </c>
      <c r="B2302" s="37" t="inlineStr">
        <is>
          <t>Nanda Nagar center</t>
        </is>
      </c>
      <c r="C2302" s="37" t="inlineStr">
        <is>
          <t>Youth</t>
        </is>
      </c>
      <c r="D2302" s="37" t="inlineStr">
        <is>
          <t>2026-07-20</t>
        </is>
      </c>
      <c r="E2302" s="37" t="inlineStr">
        <is>
          <t>Aspirant Interaction</t>
        </is>
      </c>
      <c r="F2302" s="37" t="inlineStr">
        <is>
          <t>Ask to show their mobile phones — are they enrolled on Skillfy? If not, get them enrolled and give written feedback to trainers and the AH in your presence.</t>
        </is>
      </c>
      <c r="G2302" s="37" t="inlineStr">
        <is>
          <t>All is Well</t>
        </is>
      </c>
    </row>
    <row r="2303">
      <c r="A2303" s="37" t="inlineStr">
        <is>
          <t>Barna</t>
        </is>
      </c>
      <c r="B2303" s="37" t="inlineStr">
        <is>
          <t>Nanda Nagar center</t>
        </is>
      </c>
      <c r="C2303" s="37" t="inlineStr">
        <is>
          <t>Youth</t>
        </is>
      </c>
      <c r="D2303" s="37" t="inlineStr">
        <is>
          <t>2026-07-20</t>
        </is>
      </c>
      <c r="E2303" s="37" t="inlineStr">
        <is>
          <t>Aspirant Interaction</t>
        </is>
      </c>
      <c r="F2303" s="37" t="inlineStr">
        <is>
          <t>Ask about the quality of the hostel and any issues they face.</t>
        </is>
      </c>
      <c r="G2303" s="37" t="inlineStr">
        <is>
          <t>Not Applicable</t>
        </is>
      </c>
    </row>
    <row r="2304">
      <c r="A2304" s="37" t="inlineStr">
        <is>
          <t>Barna</t>
        </is>
      </c>
      <c r="B2304" s="37" t="inlineStr">
        <is>
          <t>Nanda Nagar center</t>
        </is>
      </c>
      <c r="C2304" s="37" t="inlineStr">
        <is>
          <t>Youth</t>
        </is>
      </c>
      <c r="D2304" s="37" t="inlineStr">
        <is>
          <t>2026-07-20</t>
        </is>
      </c>
      <c r="E2304" s="37" t="inlineStr">
        <is>
          <t>Aspirant Interaction</t>
        </is>
      </c>
      <c r="F2304" s="37" t="inlineStr">
        <is>
          <t>Ask a few relevant screening questions to support the 10th-day report and remove non-serious candidates, explaining to them the reasons.</t>
        </is>
      </c>
      <c r="G2304" s="37" t="inlineStr">
        <is>
          <t>All is Well</t>
        </is>
      </c>
    </row>
    <row r="2305">
      <c r="A2305" s="37" t="inlineStr">
        <is>
          <t>Bhargav Challa</t>
        </is>
      </c>
      <c r="B2305" s="37" t="inlineStr">
        <is>
          <t>Uppal</t>
        </is>
      </c>
      <c r="C2305" s="37" t="inlineStr">
        <is>
          <t>Grow Youth</t>
        </is>
      </c>
      <c r="D2305" s="37" t="inlineStr">
        <is>
          <t>2026-07-23</t>
        </is>
      </c>
      <c r="E2305" s="37" t="inlineStr">
        <is>
          <t>Data Check</t>
        </is>
      </c>
      <c r="F2305" s="37" t="inlineStr">
        <is>
          <t>Reach the centre on time (unannounced) — confirm the centre opened on time.</t>
        </is>
      </c>
      <c r="G2305" s="37" t="inlineStr">
        <is>
          <t>All is Well</t>
        </is>
      </c>
    </row>
    <row r="2306">
      <c r="A2306" s="37" t="inlineStr">
        <is>
          <t>Bhargav Challa</t>
        </is>
      </c>
      <c r="B2306" s="37" t="inlineStr">
        <is>
          <t>Uppal</t>
        </is>
      </c>
      <c r="C2306" s="37" t="inlineStr">
        <is>
          <t>Grow Youth</t>
        </is>
      </c>
      <c r="D2306" s="37" t="inlineStr">
        <is>
          <t>2026-07-23</t>
        </is>
      </c>
      <c r="E2306" s="37" t="inlineStr">
        <is>
          <t>Data Check</t>
        </is>
      </c>
      <c r="F2306" s="37" t="inlineStr">
        <is>
          <t>Check the staff attendance register, the Google Sheet, and geo-tagged photos for aspirants.</t>
        </is>
      </c>
      <c r="G2306" s="37" t="inlineStr">
        <is>
          <t>All is Well</t>
        </is>
      </c>
    </row>
    <row r="2307">
      <c r="A2307" s="37" t="inlineStr">
        <is>
          <t>Bhargav Challa</t>
        </is>
      </c>
      <c r="B2307" s="37" t="inlineStr">
        <is>
          <t>Uppal</t>
        </is>
      </c>
      <c r="C2307" s="37" t="inlineStr">
        <is>
          <t>Grow Youth</t>
        </is>
      </c>
      <c r="D2307" s="37" t="inlineStr">
        <is>
          <t>2026-07-23</t>
        </is>
      </c>
      <c r="E2307" s="37" t="inlineStr">
        <is>
          <t>Data Check</t>
        </is>
      </c>
      <c r="F2307" s="37" t="inlineStr">
        <is>
          <t>Check Counselling and Screening Forms of recently started batches.</t>
        </is>
      </c>
      <c r="G2307" s="37" t="inlineStr">
        <is>
          <t>All is Well</t>
        </is>
      </c>
    </row>
    <row r="2308">
      <c r="A2308" s="37" t="inlineStr">
        <is>
          <t>Bhargav Challa</t>
        </is>
      </c>
      <c r="B2308" s="37" t="inlineStr">
        <is>
          <t>Uppal</t>
        </is>
      </c>
      <c r="C2308" s="37" t="inlineStr">
        <is>
          <t>Grow Youth</t>
        </is>
      </c>
      <c r="D2308" s="37" t="inlineStr">
        <is>
          <t>2026-07-23</t>
        </is>
      </c>
      <c r="E2308" s="37" t="inlineStr">
        <is>
          <t>Data Check</t>
        </is>
      </c>
      <c r="F2308" s="37" t="inlineStr">
        <is>
          <t>Check Aspirant Registration Forms and related documents.</t>
        </is>
      </c>
      <c r="G2308" s="37" t="inlineStr">
        <is>
          <t>All is Well</t>
        </is>
      </c>
    </row>
    <row r="2309">
      <c r="A2309" s="37" t="inlineStr">
        <is>
          <t>Bhargav Challa</t>
        </is>
      </c>
      <c r="B2309" s="37" t="inlineStr">
        <is>
          <t>Uppal</t>
        </is>
      </c>
      <c r="C2309" s="37" t="inlineStr">
        <is>
          <t>Grow Youth</t>
        </is>
      </c>
      <c r="D2309" s="37" t="inlineStr">
        <is>
          <t>2026-07-23</t>
        </is>
      </c>
      <c r="E2309" s="37" t="inlineStr">
        <is>
          <t>Data Check</t>
        </is>
      </c>
      <c r="F2309" s="37" t="inlineStr">
        <is>
          <t>On the GROW portal, confirm all student profile details and batch updates are currect.</t>
        </is>
      </c>
      <c r="G2309" s="37" t="inlineStr">
        <is>
          <t>All is Well</t>
        </is>
      </c>
    </row>
    <row r="2310">
      <c r="A2310" s="37" t="inlineStr">
        <is>
          <t>Bhargav Challa</t>
        </is>
      </c>
      <c r="B2310" s="37" t="inlineStr">
        <is>
          <t>Uppal</t>
        </is>
      </c>
      <c r="C2310" s="37" t="inlineStr">
        <is>
          <t>Grow Youth</t>
        </is>
      </c>
      <c r="D2310" s="37" t="inlineStr">
        <is>
          <t>2026-07-23</t>
        </is>
      </c>
      <c r="E2310" s="37" t="inlineStr">
        <is>
          <t>Data Check</t>
        </is>
      </c>
      <c r="F2310" s="37" t="inlineStr">
        <is>
          <t>Verify placement data — randomly call 3–4 alumni placed in the last 3 months to confirm veracity (random selection is essential).</t>
        </is>
      </c>
      <c r="G2310" s="37" t="inlineStr">
        <is>
          <t>All is Well</t>
        </is>
      </c>
    </row>
    <row r="2311">
      <c r="A2311" s="37" t="inlineStr">
        <is>
          <t>Bhargav Challa</t>
        </is>
      </c>
      <c r="B2311" s="37" t="inlineStr">
        <is>
          <t>Uppal</t>
        </is>
      </c>
      <c r="C2311" s="37" t="inlineStr">
        <is>
          <t>Grow Youth</t>
        </is>
      </c>
      <c r="D2311" s="37" t="inlineStr">
        <is>
          <t>2026-07-23</t>
        </is>
      </c>
      <c r="E2311" s="37" t="inlineStr">
        <is>
          <t>Data Check</t>
        </is>
      </c>
      <c r="F2311" s="37" t="inlineStr">
        <is>
          <t>Verify retention — check the Alumni Hand-holding Format is being updated as designed.</t>
        </is>
      </c>
      <c r="G2311" s="37" t="inlineStr">
        <is>
          <t>Need Improvement</t>
        </is>
      </c>
    </row>
    <row r="2312">
      <c r="A2312" s="37" t="inlineStr">
        <is>
          <t>Bhargav Challa</t>
        </is>
      </c>
      <c r="B2312" s="37" t="inlineStr">
        <is>
          <t>Uppal</t>
        </is>
      </c>
      <c r="C2312" s="37" t="inlineStr">
        <is>
          <t>Grow Youth</t>
        </is>
      </c>
      <c r="D2312" s="37" t="inlineStr">
        <is>
          <t>2026-07-23</t>
        </is>
      </c>
      <c r="E2312" s="37" t="inlineStr">
        <is>
          <t>Data Check</t>
        </is>
      </c>
      <c r="F2312" s="37" t="inlineStr">
        <is>
          <t>Check aspirant Hostel Forms are properly filled or not.</t>
        </is>
      </c>
      <c r="G2312" s="37" t="inlineStr">
        <is>
          <t>Not Applicable</t>
        </is>
      </c>
    </row>
    <row r="2313">
      <c r="A2313" s="37" t="inlineStr">
        <is>
          <t>Bhargav Challa</t>
        </is>
      </c>
      <c r="B2313" s="37" t="inlineStr">
        <is>
          <t>Uppal</t>
        </is>
      </c>
      <c r="C2313" s="37" t="inlineStr">
        <is>
          <t>Grow Youth</t>
        </is>
      </c>
      <c r="D2313" s="37" t="inlineStr">
        <is>
          <t>2026-07-23</t>
        </is>
      </c>
      <c r="E2313" s="37" t="inlineStr">
        <is>
          <t>Infra Check</t>
        </is>
      </c>
      <c r="F2313" s="37" t="inlineStr">
        <is>
          <t>Check all CCTV cameras; if any are not working, ask the AH to troubleshoot or call the vendor.</t>
        </is>
      </c>
      <c r="G2313" s="37" t="inlineStr">
        <is>
          <t>All is Well</t>
        </is>
      </c>
    </row>
    <row r="2314">
      <c r="A2314" s="37" t="inlineStr">
        <is>
          <t>Bhargav Challa</t>
        </is>
      </c>
      <c r="B2314" s="37" t="inlineStr">
        <is>
          <t>Uppal</t>
        </is>
      </c>
      <c r="C2314" s="37" t="inlineStr">
        <is>
          <t>Grow Youth</t>
        </is>
      </c>
      <c r="D2314" s="37" t="inlineStr">
        <is>
          <t>2026-07-23</t>
        </is>
      </c>
      <c r="E2314" s="37" t="inlineStr">
        <is>
          <t>Infra Check</t>
        </is>
      </c>
      <c r="F2314" s="37" t="inlineStr">
        <is>
          <t>Check for any scrap material and get it cleared, with support of Admin</t>
        </is>
      </c>
      <c r="G2314" s="37" t="inlineStr">
        <is>
          <t>Need Improvement</t>
        </is>
      </c>
    </row>
    <row r="2315">
      <c r="A2315" s="37" t="inlineStr">
        <is>
          <t>Bhargav Challa</t>
        </is>
      </c>
      <c r="B2315" s="37" t="inlineStr">
        <is>
          <t>Uppal</t>
        </is>
      </c>
      <c r="C2315" s="37" t="inlineStr">
        <is>
          <t>Grow Youth</t>
        </is>
      </c>
      <c r="D2315" s="37" t="inlineStr">
        <is>
          <t>2026-07-23</t>
        </is>
      </c>
      <c r="E2315" s="37" t="inlineStr">
        <is>
          <t>Infra Check</t>
        </is>
      </c>
      <c r="F2315" s="37" t="inlineStr">
        <is>
          <t>Check for any pending infra repairs.</t>
        </is>
      </c>
      <c r="G2315" s="37" t="inlineStr">
        <is>
          <t>Need Improvement</t>
        </is>
      </c>
    </row>
    <row r="2316">
      <c r="A2316" s="37" t="inlineStr">
        <is>
          <t>Bhargav Challa</t>
        </is>
      </c>
      <c r="B2316" s="37" t="inlineStr">
        <is>
          <t>Uppal</t>
        </is>
      </c>
      <c r="C2316" s="37" t="inlineStr">
        <is>
          <t>Grow Youth</t>
        </is>
      </c>
      <c r="D2316" s="37" t="inlineStr">
        <is>
          <t>2026-07-23</t>
        </is>
      </c>
      <c r="E2316" s="37" t="inlineStr">
        <is>
          <t>Infra Check</t>
        </is>
      </c>
      <c r="F2316" s="37" t="inlineStr">
        <is>
          <t>Check whether any fire extinguishers have expired (check the needle and expiry date both).</t>
        </is>
      </c>
      <c r="G2316" s="37" t="inlineStr">
        <is>
          <t>All is Well</t>
        </is>
      </c>
    </row>
    <row r="2317">
      <c r="A2317" s="37" t="inlineStr">
        <is>
          <t>Bhargav Challa</t>
        </is>
      </c>
      <c r="B2317" s="37" t="inlineStr">
        <is>
          <t>Uppal</t>
        </is>
      </c>
      <c r="C2317" s="37" t="inlineStr">
        <is>
          <t>Grow Youth</t>
        </is>
      </c>
      <c r="D2317" s="37" t="inlineStr">
        <is>
          <t>2026-07-23</t>
        </is>
      </c>
      <c r="E2317" s="37" t="inlineStr">
        <is>
          <t>Infra Check</t>
        </is>
      </c>
      <c r="F2317" s="37" t="inlineStr">
        <is>
          <t>Check basic cleanliness of the washrooms and the centre.</t>
        </is>
      </c>
      <c r="G2317" s="37" t="inlineStr">
        <is>
          <t>All is Well</t>
        </is>
      </c>
    </row>
    <row r="2318">
      <c r="A2318" s="37" t="inlineStr">
        <is>
          <t>Bhargav Challa</t>
        </is>
      </c>
      <c r="B2318" s="37" t="inlineStr">
        <is>
          <t>Uppal</t>
        </is>
      </c>
      <c r="C2318" s="37" t="inlineStr">
        <is>
          <t>Grow Youth</t>
        </is>
      </c>
      <c r="D2318" s="37" t="inlineStr">
        <is>
          <t>2026-07-23</t>
        </is>
      </c>
      <c r="E2318" s="37" t="inlineStr">
        <is>
          <t>Infra Check</t>
        </is>
      </c>
      <c r="F2318" s="37" t="inlineStr">
        <is>
          <t>Confirm the correct program and partner logos are displayed.</t>
        </is>
      </c>
      <c r="G2318" s="37" t="inlineStr">
        <is>
          <t>All is Well</t>
        </is>
      </c>
    </row>
    <row r="2319">
      <c r="A2319" s="37" t="inlineStr">
        <is>
          <t>Bhargav Challa</t>
        </is>
      </c>
      <c r="B2319" s="37" t="inlineStr">
        <is>
          <t>Uppal</t>
        </is>
      </c>
      <c r="C2319" s="37" t="inlineStr">
        <is>
          <t>Grow Youth</t>
        </is>
      </c>
      <c r="D2319" s="37" t="inlineStr">
        <is>
          <t>2026-07-23</t>
        </is>
      </c>
      <c r="E2319" s="37" t="inlineStr">
        <is>
          <t>Infra Check</t>
        </is>
      </c>
      <c r="F2319" s="37" t="inlineStr">
        <is>
          <t>Check the status of digital infra — PCs, smartboards, tablets, laptops, etc.</t>
        </is>
      </c>
      <c r="G2319" s="37" t="inlineStr">
        <is>
          <t>Need Improvement</t>
        </is>
      </c>
    </row>
    <row r="2320">
      <c r="A2320" s="37" t="inlineStr">
        <is>
          <t>Bhargav Challa</t>
        </is>
      </c>
      <c r="B2320" s="37" t="inlineStr">
        <is>
          <t>Uppal</t>
        </is>
      </c>
      <c r="C2320" s="37" t="inlineStr">
        <is>
          <t>Grow Youth</t>
        </is>
      </c>
      <c r="D2320" s="37" t="inlineStr">
        <is>
          <t>2026-07-23</t>
        </is>
      </c>
      <c r="E2320" s="37" t="inlineStr">
        <is>
          <t>Infra Check</t>
        </is>
      </c>
      <c r="F2320" s="37" t="inlineStr">
        <is>
          <t>Make a quick hostel visit; have lunch there if possible to test the food quality.</t>
        </is>
      </c>
      <c r="G2320" s="37" t="inlineStr">
        <is>
          <t>Not Applicable</t>
        </is>
      </c>
    </row>
    <row r="2321">
      <c r="A2321" s="37" t="inlineStr">
        <is>
          <t>Bhargav Challa</t>
        </is>
      </c>
      <c r="B2321" s="37" t="inlineStr">
        <is>
          <t>Uppal</t>
        </is>
      </c>
      <c r="C2321" s="37" t="inlineStr">
        <is>
          <t>Grow Youth</t>
        </is>
      </c>
      <c r="D2321" s="37" t="inlineStr">
        <is>
          <t>2026-07-23</t>
        </is>
      </c>
      <c r="E2321" s="37" t="inlineStr">
        <is>
          <t>Process Check</t>
        </is>
      </c>
      <c r="F2321" s="37" t="inlineStr">
        <is>
          <t>Refer to the activity planner — check if any activities are delayed.</t>
        </is>
      </c>
      <c r="G2321" s="37" t="inlineStr">
        <is>
          <t>All is Well</t>
        </is>
      </c>
    </row>
    <row r="2322">
      <c r="A2322" s="37" t="inlineStr">
        <is>
          <t>Bhargav Challa</t>
        </is>
      </c>
      <c r="B2322" s="37" t="inlineStr">
        <is>
          <t>Uppal</t>
        </is>
      </c>
      <c r="C2322" s="37" t="inlineStr">
        <is>
          <t>Grow Youth</t>
        </is>
      </c>
      <c r="D2322" s="37" t="inlineStr">
        <is>
          <t>2026-07-23</t>
        </is>
      </c>
      <c r="E2322" s="37" t="inlineStr">
        <is>
          <t>Process Check</t>
        </is>
      </c>
      <c r="F2322" s="37" t="inlineStr">
        <is>
          <t>Check planning for the next batch-start announcement.</t>
        </is>
      </c>
      <c r="G2322" s="37" t="inlineStr">
        <is>
          <t>All is Well</t>
        </is>
      </c>
    </row>
    <row r="2323">
      <c r="A2323" s="37" t="inlineStr">
        <is>
          <t>Bhargav Challa</t>
        </is>
      </c>
      <c r="B2323" s="37" t="inlineStr">
        <is>
          <t>Uppal</t>
        </is>
      </c>
      <c r="C2323" s="37" t="inlineStr">
        <is>
          <t>Grow Youth</t>
        </is>
      </c>
      <c r="D2323" s="37" t="inlineStr">
        <is>
          <t>2026-07-23</t>
        </is>
      </c>
      <c r="E2323" s="37" t="inlineStr">
        <is>
          <t>Process Check</t>
        </is>
      </c>
      <c r="F2323" s="37" t="inlineStr">
        <is>
          <t>Check if any hiring is delayed and plan a resolution.</t>
        </is>
      </c>
      <c r="G2323" s="37" t="inlineStr">
        <is>
          <t>Need Improvement</t>
        </is>
      </c>
    </row>
    <row r="2324">
      <c r="A2324" s="37" t="inlineStr">
        <is>
          <t>Bhargav Challa</t>
        </is>
      </c>
      <c r="B2324" s="37" t="inlineStr">
        <is>
          <t>Uppal</t>
        </is>
      </c>
      <c r="C2324" s="37" t="inlineStr">
        <is>
          <t>Grow Youth</t>
        </is>
      </c>
      <c r="D2324" s="37" t="inlineStr">
        <is>
          <t>2026-07-23</t>
        </is>
      </c>
      <c r="E2324" s="37" t="inlineStr">
        <is>
          <t>Process Check</t>
        </is>
      </c>
      <c r="F2324" s="37" t="inlineStr">
        <is>
          <t>Check the CA’s diary — is CA guided daily by the AH during planning days?</t>
        </is>
      </c>
      <c r="G2324" s="37" t="inlineStr">
        <is>
          <t>All is Well</t>
        </is>
      </c>
    </row>
    <row r="2325">
      <c r="A2325" s="37" t="inlineStr">
        <is>
          <t>Bhargav Challa</t>
        </is>
      </c>
      <c r="B2325" s="37" t="inlineStr">
        <is>
          <t>Uppal</t>
        </is>
      </c>
      <c r="C2325" s="37" t="inlineStr">
        <is>
          <t>Grow Youth</t>
        </is>
      </c>
      <c r="D2325" s="37" t="inlineStr">
        <is>
          <t>2026-07-23</t>
        </is>
      </c>
      <c r="E2325" s="37" t="inlineStr">
        <is>
          <t>Process Check</t>
        </is>
      </c>
      <c r="F2325" s="37" t="inlineStr">
        <is>
          <t>Check the AH is regularly meeting employers (in person and online) and updating the centre’s Top 20 Employer format.</t>
        </is>
      </c>
      <c r="G2325" s="37" t="inlineStr">
        <is>
          <t>All is Well</t>
        </is>
      </c>
    </row>
    <row r="2326">
      <c r="A2326" s="37" t="inlineStr">
        <is>
          <t>Bhargav Challa</t>
        </is>
      </c>
      <c r="B2326" s="37" t="inlineStr">
        <is>
          <t>Uppal</t>
        </is>
      </c>
      <c r="C2326" s="37" t="inlineStr">
        <is>
          <t>Grow Youth</t>
        </is>
      </c>
      <c r="D2326" s="37" t="inlineStr">
        <is>
          <t>2026-07-23</t>
        </is>
      </c>
      <c r="E2326" s="37" t="inlineStr">
        <is>
          <t>Process Check</t>
        </is>
      </c>
      <c r="F2326" s="37" t="inlineStr">
        <is>
          <t>Confirm all new employers are registered on portal as per new process.</t>
        </is>
      </c>
      <c r="G2326" s="37" t="inlineStr">
        <is>
          <t>All is Well</t>
        </is>
      </c>
    </row>
    <row r="2327">
      <c r="A2327" s="37" t="inlineStr">
        <is>
          <t>Bhargav Challa</t>
        </is>
      </c>
      <c r="B2327" s="37" t="inlineStr">
        <is>
          <t>Uppal</t>
        </is>
      </c>
      <c r="C2327" s="37" t="inlineStr">
        <is>
          <t>Grow Youth</t>
        </is>
      </c>
      <c r="D2327" s="37" t="inlineStr">
        <is>
          <t>2026-07-23</t>
        </is>
      </c>
      <c r="E2327" s="37" t="inlineStr">
        <is>
          <t>Process Check</t>
        </is>
      </c>
      <c r="F2327" s="37" t="inlineStr">
        <is>
          <t>Confirm 100% of enrolled students undergone screening (for technical courses).</t>
        </is>
      </c>
      <c r="G2327" s="37" t="inlineStr">
        <is>
          <t>Not Applicable</t>
        </is>
      </c>
    </row>
    <row r="2328">
      <c r="A2328" s="37" t="inlineStr">
        <is>
          <t>Bhargav Challa</t>
        </is>
      </c>
      <c r="B2328" s="37" t="inlineStr">
        <is>
          <t>Uppal</t>
        </is>
      </c>
      <c r="C2328" s="37" t="inlineStr">
        <is>
          <t>Grow Youth</t>
        </is>
      </c>
      <c r="D2328" s="37" t="inlineStr">
        <is>
          <t>2026-07-23</t>
        </is>
      </c>
      <c r="E2328" s="37" t="inlineStr">
        <is>
          <t>Process Check</t>
        </is>
      </c>
      <c r="F2328" s="37" t="inlineStr">
        <is>
          <t>Confirm ESA is done (in GROW full ESA and in Technical courses relevant sections of Core Employability Part).</t>
        </is>
      </c>
      <c r="G2328" s="37" t="inlineStr">
        <is>
          <t>All is Well</t>
        </is>
      </c>
    </row>
    <row r="2329">
      <c r="A2329" s="37" t="inlineStr">
        <is>
          <t>Bhargav Challa</t>
        </is>
      </c>
      <c r="B2329" s="37" t="inlineStr">
        <is>
          <t>Uppal</t>
        </is>
      </c>
      <c r="C2329" s="37" t="inlineStr">
        <is>
          <t>Grow Youth</t>
        </is>
      </c>
      <c r="D2329" s="37" t="inlineStr">
        <is>
          <t>2026-07-23</t>
        </is>
      </c>
      <c r="E2329" s="37" t="inlineStr">
        <is>
          <t>Process Check</t>
        </is>
      </c>
      <c r="F2329" s="37" t="inlineStr">
        <is>
          <t>Check is AH giving capstone project in GROW Tech.</t>
        </is>
      </c>
      <c r="G2329" s="37" t="inlineStr">
        <is>
          <t>Not Applicable</t>
        </is>
      </c>
    </row>
    <row r="2330">
      <c r="A2330" s="37" t="inlineStr">
        <is>
          <t>Bhargav Challa</t>
        </is>
      </c>
      <c r="B2330" s="37" t="inlineStr">
        <is>
          <t>Uppal</t>
        </is>
      </c>
      <c r="C2330" s="37" t="inlineStr">
        <is>
          <t>Grow Youth</t>
        </is>
      </c>
      <c r="D2330" s="37" t="inlineStr">
        <is>
          <t>2026-07-23</t>
        </is>
      </c>
      <c r="E2330" s="37" t="inlineStr">
        <is>
          <t>Process Check</t>
        </is>
      </c>
      <c r="F2330" s="37" t="inlineStr">
        <is>
          <t>Check is AH planning OJT as per guidelines and proofs are collected for technical courses.</t>
        </is>
      </c>
      <c r="G2330" s="37" t="inlineStr">
        <is>
          <t>Not Applicable</t>
        </is>
      </c>
    </row>
    <row r="2331">
      <c r="A2331" s="37" t="inlineStr">
        <is>
          <t>Bhargav Challa</t>
        </is>
      </c>
      <c r="B2331" s="37" t="inlineStr">
        <is>
          <t>Uppal</t>
        </is>
      </c>
      <c r="C2331" s="37" t="inlineStr">
        <is>
          <t>Grow Youth</t>
        </is>
      </c>
      <c r="D2331" s="37" t="inlineStr">
        <is>
          <t>2026-07-23</t>
        </is>
      </c>
      <c r="E2331" s="37" t="inlineStr">
        <is>
          <t>Process Check</t>
        </is>
      </c>
      <c r="F2331" s="37" t="inlineStr">
        <is>
          <t>Check are trainers contacting aspirants to find reason for their absenteeism of more than 1 day.</t>
        </is>
      </c>
      <c r="G2331" s="37" t="inlineStr">
        <is>
          <t>All is Well</t>
        </is>
      </c>
    </row>
    <row r="2332">
      <c r="A2332" s="37" t="inlineStr">
        <is>
          <t>Bhargav Challa</t>
        </is>
      </c>
      <c r="B2332" s="37" t="inlineStr">
        <is>
          <t>Uppal</t>
        </is>
      </c>
      <c r="C2332" s="37" t="inlineStr">
        <is>
          <t>Grow Youth</t>
        </is>
      </c>
      <c r="D2332" s="37" t="inlineStr">
        <is>
          <t>2026-07-23</t>
        </is>
      </c>
      <c r="E2332" s="37" t="inlineStr">
        <is>
          <t>Process Check</t>
        </is>
      </c>
      <c r="F2332" s="37" t="inlineStr">
        <is>
          <t>Check the AH plans monthly enrolment and placement numbers by the 3rd of each month and shares them with second level managers.</t>
        </is>
      </c>
      <c r="G2332" s="37" t="inlineStr">
        <is>
          <t>Need Improvement</t>
        </is>
      </c>
    </row>
    <row r="2333">
      <c r="A2333" s="37" t="inlineStr">
        <is>
          <t>Bhargav Challa</t>
        </is>
      </c>
      <c r="B2333" s="37" t="inlineStr">
        <is>
          <t>Uppal</t>
        </is>
      </c>
      <c r="C2333" s="37" t="inlineStr">
        <is>
          <t>Grow Youth</t>
        </is>
      </c>
      <c r="D2333" s="37" t="inlineStr">
        <is>
          <t>2026-07-23</t>
        </is>
      </c>
      <c r="E2333" s="37" t="inlineStr">
        <is>
          <t>Process Check</t>
        </is>
      </c>
      <c r="F2333" s="37" t="inlineStr">
        <is>
          <t>Check trainers submit aspirants’ placement interest areas to the AH by the batch’s 25th day (in GROW).</t>
        </is>
      </c>
      <c r="G2333" s="37" t="inlineStr">
        <is>
          <t>All is Well</t>
        </is>
      </c>
    </row>
    <row r="2334">
      <c r="A2334" s="37" t="inlineStr">
        <is>
          <t>Bhargav Challa</t>
        </is>
      </c>
      <c r="B2334" s="37" t="inlineStr">
        <is>
          <t>Uppal</t>
        </is>
      </c>
      <c r="C2334" s="37" t="inlineStr">
        <is>
          <t>Grow Youth</t>
        </is>
      </c>
      <c r="D2334" s="37" t="inlineStr">
        <is>
          <t>2026-07-23</t>
        </is>
      </c>
      <c r="E2334" s="37" t="inlineStr">
        <is>
          <t>Process Check</t>
        </is>
      </c>
      <c r="F2334" s="37" t="inlineStr">
        <is>
          <t>Ckeck For technical programs, placement is done only in technical jobs,on which aspirants are trained and relevant emplyers are identified by 45th day.</t>
        </is>
      </c>
      <c r="G2334" s="37" t="inlineStr">
        <is>
          <t>Not Applicable</t>
        </is>
      </c>
    </row>
    <row r="2335">
      <c r="A2335" s="37" t="inlineStr">
        <is>
          <t>Bhargav Challa</t>
        </is>
      </c>
      <c r="B2335" s="37" t="inlineStr">
        <is>
          <t>Uppal</t>
        </is>
      </c>
      <c r="C2335" s="37" t="inlineStr">
        <is>
          <t>Grow Youth</t>
        </is>
      </c>
      <c r="D2335" s="37" t="inlineStr">
        <is>
          <t>2026-07-23</t>
        </is>
      </c>
      <c r="E2335" s="37" t="inlineStr">
        <is>
          <t>Process Check</t>
        </is>
      </c>
      <c r="F2335" s="37" t="inlineStr">
        <is>
          <t>Check the AH follows EP guidelines and minimum benchmark salary guidelines.</t>
        </is>
      </c>
      <c r="G2335" s="37" t="inlineStr">
        <is>
          <t>All is Well</t>
        </is>
      </c>
    </row>
    <row r="2336">
      <c r="A2336" s="37" t="inlineStr">
        <is>
          <t>Bhargav Challa</t>
        </is>
      </c>
      <c r="B2336" s="37" t="inlineStr">
        <is>
          <t>Uppal</t>
        </is>
      </c>
      <c r="C2336" s="37" t="inlineStr">
        <is>
          <t>Grow Youth</t>
        </is>
      </c>
      <c r="D2336" s="37" t="inlineStr">
        <is>
          <t>2026-07-23</t>
        </is>
      </c>
      <c r="E2336" s="37" t="inlineStr">
        <is>
          <t>Process Check</t>
        </is>
      </c>
      <c r="F2336" s="37" t="inlineStr">
        <is>
          <t>Check that AH is enrolling only the right traget group in the program -as per the defined target.</t>
        </is>
      </c>
      <c r="G2336" s="37" t="inlineStr">
        <is>
          <t>All is Well</t>
        </is>
      </c>
    </row>
    <row r="2337">
      <c r="A2337" s="37" t="inlineStr">
        <is>
          <t>Bhargav Challa</t>
        </is>
      </c>
      <c r="B2337" s="37" t="inlineStr">
        <is>
          <t>Uppal</t>
        </is>
      </c>
      <c r="C2337" s="37" t="inlineStr">
        <is>
          <t>Grow Youth</t>
        </is>
      </c>
      <c r="D2337" s="37" t="inlineStr">
        <is>
          <t>2026-07-23</t>
        </is>
      </c>
      <c r="E2337" s="37" t="inlineStr">
        <is>
          <t>Process Check</t>
        </is>
      </c>
      <c r="F2337" s="37" t="inlineStr">
        <is>
          <t>Check the AH announces the next batch-start date by the 3rd of the month on all notice boards — focus on Zero-Day start.</t>
        </is>
      </c>
      <c r="G2337" s="37" t="inlineStr">
        <is>
          <t>All is Well</t>
        </is>
      </c>
    </row>
    <row r="2338">
      <c r="A2338" s="37" t="inlineStr">
        <is>
          <t>Bhargav Challa</t>
        </is>
      </c>
      <c r="B2338" s="37" t="inlineStr">
        <is>
          <t>Uppal</t>
        </is>
      </c>
      <c r="C2338" s="37" t="inlineStr">
        <is>
          <t>Grow Youth</t>
        </is>
      </c>
      <c r="D2338" s="37" t="inlineStr">
        <is>
          <t>2026-07-23</t>
        </is>
      </c>
      <c r="E2338" s="37" t="inlineStr">
        <is>
          <t>Process Check</t>
        </is>
      </c>
      <c r="F2338" s="37" t="inlineStr">
        <is>
          <t>Check the Aspirant Mock Interview Score Tracker is updated after every mock interview in the L&amp;D Google Sheet.</t>
        </is>
      </c>
      <c r="G2338" s="37" t="inlineStr">
        <is>
          <t>All is Well</t>
        </is>
      </c>
    </row>
    <row r="2339">
      <c r="A2339" s="37" t="inlineStr">
        <is>
          <t>Bhargav Challa</t>
        </is>
      </c>
      <c r="B2339" s="37" t="inlineStr">
        <is>
          <t>Uppal</t>
        </is>
      </c>
      <c r="C2339" s="37" t="inlineStr">
        <is>
          <t>Grow Youth</t>
        </is>
      </c>
      <c r="D2339" s="37" t="inlineStr">
        <is>
          <t>2026-07-23</t>
        </is>
      </c>
      <c r="E2339" s="37" t="inlineStr">
        <is>
          <t>Process Check</t>
        </is>
      </c>
      <c r="F2339" s="37" t="inlineStr">
        <is>
          <t>Confirm NPS (Net Promoter Score) is collected at MSDF centres.</t>
        </is>
      </c>
      <c r="G2339" s="37" t="inlineStr">
        <is>
          <t>Not Applicable</t>
        </is>
      </c>
    </row>
    <row r="2340">
      <c r="A2340" s="37" t="inlineStr">
        <is>
          <t>Bhargav Challa</t>
        </is>
      </c>
      <c r="B2340" s="37" t="inlineStr">
        <is>
          <t>Uppal</t>
        </is>
      </c>
      <c r="C2340" s="37" t="inlineStr">
        <is>
          <t>Grow Youth</t>
        </is>
      </c>
      <c r="D2340" s="37" t="inlineStr">
        <is>
          <t>2026-07-23</t>
        </is>
      </c>
      <c r="E2340" s="37" t="inlineStr">
        <is>
          <t>Process Check</t>
        </is>
      </c>
      <c r="F2340" s="37" t="inlineStr">
        <is>
          <t>Confirm that QAE is collecting student feedback for every batch.</t>
        </is>
      </c>
      <c r="G2340" s="37" t="inlineStr">
        <is>
          <t>All is Well</t>
        </is>
      </c>
    </row>
    <row r="2341">
      <c r="A2341" s="37" t="inlineStr">
        <is>
          <t>Bhargav Challa</t>
        </is>
      </c>
      <c r="B2341" s="37" t="inlineStr">
        <is>
          <t>Uppal</t>
        </is>
      </c>
      <c r="C2341" s="37" t="inlineStr">
        <is>
          <t>Grow Youth</t>
        </is>
      </c>
      <c r="D2341" s="37" t="inlineStr">
        <is>
          <t>2026-07-23</t>
        </is>
      </c>
      <c r="E2341" s="37" t="inlineStr">
        <is>
          <t>Process Check</t>
        </is>
      </c>
      <c r="F2341" s="37" t="inlineStr">
        <is>
          <t>Confirm all centre teams have completed the GROW Manual Course on Skillfy — ask for achievement certificates.</t>
        </is>
      </c>
      <c r="G2341" s="37" t="inlineStr">
        <is>
          <t>All is Well</t>
        </is>
      </c>
    </row>
    <row r="2342">
      <c r="A2342" s="37" t="inlineStr">
        <is>
          <t>Bhargav Challa</t>
        </is>
      </c>
      <c r="B2342" s="37" t="inlineStr">
        <is>
          <t>Uppal</t>
        </is>
      </c>
      <c r="C2342" s="37" t="inlineStr">
        <is>
          <t>Grow Youth</t>
        </is>
      </c>
      <c r="D2342" s="37" t="inlineStr">
        <is>
          <t>2026-07-23</t>
        </is>
      </c>
      <c r="E2342" s="37" t="inlineStr">
        <is>
          <t>Process Check</t>
        </is>
      </c>
      <c r="F2342" s="37" t="inlineStr">
        <is>
          <t>Check AH holds a quality weekly team meeting, documents action points in the weekly meeting format, and sends you a photo on WhatsApp.</t>
        </is>
      </c>
      <c r="G2342" s="37" t="inlineStr">
        <is>
          <t>All is Well</t>
        </is>
      </c>
    </row>
    <row r="2343">
      <c r="A2343" s="37" t="inlineStr">
        <is>
          <t>Bhargav Challa</t>
        </is>
      </c>
      <c r="B2343" s="37" t="inlineStr">
        <is>
          <t>Uppal</t>
        </is>
      </c>
      <c r="C2343" s="37" t="inlineStr">
        <is>
          <t>Grow Youth</t>
        </is>
      </c>
      <c r="D2343" s="37" t="inlineStr">
        <is>
          <t>2026-07-23</t>
        </is>
      </c>
      <c r="E2343" s="37" t="inlineStr">
        <is>
          <t>Aspirant Interaction</t>
        </is>
      </c>
      <c r="F2343" s="37" t="inlineStr">
        <is>
          <t>Ask aspirants about the session plan — confirm training is happening as planned?</t>
        </is>
      </c>
      <c r="G2343" s="37" t="inlineStr">
        <is>
          <t>All is Well</t>
        </is>
      </c>
    </row>
    <row r="2344">
      <c r="A2344" s="37" t="inlineStr">
        <is>
          <t>Bhargav Challa</t>
        </is>
      </c>
      <c r="B2344" s="37" t="inlineStr">
        <is>
          <t>Uppal</t>
        </is>
      </c>
      <c r="C2344" s="37" t="inlineStr">
        <is>
          <t>Grow Youth</t>
        </is>
      </c>
      <c r="D2344" s="37" t="inlineStr">
        <is>
          <t>2026-07-23</t>
        </is>
      </c>
      <c r="E2344" s="37" t="inlineStr">
        <is>
          <t>Aspirant Interaction</t>
        </is>
      </c>
      <c r="F2344" s="37" t="inlineStr">
        <is>
          <t>Ask about the quality of Core Employability component delivery (technical centres) and who delivers it.</t>
        </is>
      </c>
      <c r="G2344" s="37" t="inlineStr">
        <is>
          <t>Not Applicable</t>
        </is>
      </c>
    </row>
    <row r="2345">
      <c r="A2345" s="37" t="inlineStr">
        <is>
          <t>Bhargav Challa</t>
        </is>
      </c>
      <c r="B2345" s="37" t="inlineStr">
        <is>
          <t>Uppal</t>
        </is>
      </c>
      <c r="C2345" s="37" t="inlineStr">
        <is>
          <t>Grow Youth</t>
        </is>
      </c>
      <c r="D2345" s="37" t="inlineStr">
        <is>
          <t>2026-07-23</t>
        </is>
      </c>
      <c r="E2345" s="37" t="inlineStr">
        <is>
          <t>Aspirant Interaction</t>
        </is>
      </c>
      <c r="F2345" s="37" t="inlineStr">
        <is>
          <t>Ask whether they are aware of the referral scheme?</t>
        </is>
      </c>
      <c r="G2345" s="37" t="inlineStr">
        <is>
          <t>All is Well</t>
        </is>
      </c>
    </row>
    <row r="2346">
      <c r="A2346" s="37" t="inlineStr">
        <is>
          <t>Bhargav Challa</t>
        </is>
      </c>
      <c r="B2346" s="37" t="inlineStr">
        <is>
          <t>Uppal</t>
        </is>
      </c>
      <c r="C2346" s="37" t="inlineStr">
        <is>
          <t>Grow Youth</t>
        </is>
      </c>
      <c r="D2346" s="37" t="inlineStr">
        <is>
          <t>2026-07-23</t>
        </is>
      </c>
      <c r="E2346" s="37" t="inlineStr">
        <is>
          <t>Aspirant Interaction</t>
        </is>
      </c>
      <c r="F2346" s="37" t="inlineStr">
        <is>
          <t>Ask whether the AH explained the importance of the offer letter and sharing it with us once received for reporting purposes?</t>
        </is>
      </c>
      <c r="G2346" s="37" t="inlineStr">
        <is>
          <t>All is Well</t>
        </is>
      </c>
    </row>
    <row r="2347">
      <c r="A2347" s="37" t="inlineStr">
        <is>
          <t>Bhargav Challa</t>
        </is>
      </c>
      <c r="B2347" s="37" t="inlineStr">
        <is>
          <t>Uppal</t>
        </is>
      </c>
      <c r="C2347" s="37" t="inlineStr">
        <is>
          <t>Grow Youth</t>
        </is>
      </c>
      <c r="D2347" s="37" t="inlineStr">
        <is>
          <t>2026-07-23</t>
        </is>
      </c>
      <c r="E2347" s="37" t="inlineStr">
        <is>
          <t>Aspirant Interaction</t>
        </is>
      </c>
      <c r="F2347" s="37" t="inlineStr">
        <is>
          <t>Ask how many are not interested in jobs — and if so, why they enrolled in the programme?</t>
        </is>
      </c>
      <c r="G2347" s="37" t="inlineStr">
        <is>
          <t>All is Well</t>
        </is>
      </c>
    </row>
    <row r="2348">
      <c r="A2348" s="37" t="inlineStr">
        <is>
          <t>Bhargav Challa</t>
        </is>
      </c>
      <c r="B2348" s="37" t="inlineStr">
        <is>
          <t>Uppal</t>
        </is>
      </c>
      <c r="C2348" s="37" t="inlineStr">
        <is>
          <t>Grow Youth</t>
        </is>
      </c>
      <c r="D2348" s="37" t="inlineStr">
        <is>
          <t>2026-07-23</t>
        </is>
      </c>
      <c r="E2348" s="37" t="inlineStr">
        <is>
          <t>Aspirant Interaction</t>
        </is>
      </c>
      <c r="F2348" s="37" t="inlineStr">
        <is>
          <t>Ask whether they were told the kind of job they would get during counselling?</t>
        </is>
      </c>
      <c r="G2348" s="37" t="inlineStr">
        <is>
          <t>All is Well</t>
        </is>
      </c>
    </row>
    <row r="2349">
      <c r="A2349" s="37" t="inlineStr">
        <is>
          <t>Bhargav Challa</t>
        </is>
      </c>
      <c r="B2349" s="37" t="inlineStr">
        <is>
          <t>Uppal</t>
        </is>
      </c>
      <c r="C2349" s="37" t="inlineStr">
        <is>
          <t>Grow Youth</t>
        </is>
      </c>
      <c r="D2349" s="37" t="inlineStr">
        <is>
          <t>2026-07-23</t>
        </is>
      </c>
      <c r="E2349" s="37" t="inlineStr">
        <is>
          <t>Aspirant Interaction</t>
        </is>
      </c>
      <c r="F2349" s="37" t="inlineStr">
        <is>
          <t>Ask whether they have been given LMS access?</t>
        </is>
      </c>
      <c r="G2349" s="37" t="inlineStr">
        <is>
          <t>All is Well</t>
        </is>
      </c>
    </row>
    <row r="2350">
      <c r="A2350" s="37" t="inlineStr">
        <is>
          <t>Bhargav Challa</t>
        </is>
      </c>
      <c r="B2350" s="37" t="inlineStr">
        <is>
          <t>Uppal</t>
        </is>
      </c>
      <c r="C2350" s="37" t="inlineStr">
        <is>
          <t>Grow Youth</t>
        </is>
      </c>
      <c r="D2350" s="37" t="inlineStr">
        <is>
          <t>2026-07-23</t>
        </is>
      </c>
      <c r="E2350" s="37" t="inlineStr">
        <is>
          <t>Aspirant Interaction</t>
        </is>
      </c>
      <c r="F2350" s="37" t="inlineStr">
        <is>
          <t>Ask whether anyone asked them for money for training or placement?</t>
        </is>
      </c>
      <c r="G2350" s="37" t="inlineStr">
        <is>
          <t>All is Well</t>
        </is>
      </c>
    </row>
    <row r="2351">
      <c r="A2351" s="37" t="inlineStr">
        <is>
          <t>Bhargav Challa</t>
        </is>
      </c>
      <c r="B2351" s="37" t="inlineStr">
        <is>
          <t>Uppal</t>
        </is>
      </c>
      <c r="C2351" s="37" t="inlineStr">
        <is>
          <t>Grow Youth</t>
        </is>
      </c>
      <c r="D2351" s="37" t="inlineStr">
        <is>
          <t>2026-07-23</t>
        </is>
      </c>
      <c r="E2351" s="37" t="inlineStr">
        <is>
          <t>Aspirant Interaction</t>
        </is>
      </c>
      <c r="F2351" s="37" t="inlineStr">
        <is>
          <t>Ask to show their mobile phones — are they enrolled on Skillfy? If not, get them enrolled and give written feedback to trainers and the AH in your presence.</t>
        </is>
      </c>
      <c r="G2351" s="37" t="inlineStr">
        <is>
          <t>All is Well</t>
        </is>
      </c>
    </row>
    <row r="2352">
      <c r="A2352" s="37" t="inlineStr">
        <is>
          <t>Bhargav Challa</t>
        </is>
      </c>
      <c r="B2352" s="37" t="inlineStr">
        <is>
          <t>Uppal</t>
        </is>
      </c>
      <c r="C2352" s="37" t="inlineStr">
        <is>
          <t>Grow Youth</t>
        </is>
      </c>
      <c r="D2352" s="37" t="inlineStr">
        <is>
          <t>2026-07-23</t>
        </is>
      </c>
      <c r="E2352" s="37" t="inlineStr">
        <is>
          <t>Aspirant Interaction</t>
        </is>
      </c>
      <c r="F2352" s="37" t="inlineStr">
        <is>
          <t>Ask about the quality of the hostel and any issues they face.</t>
        </is>
      </c>
      <c r="G2352" s="37" t="inlineStr">
        <is>
          <t>Not Applicable</t>
        </is>
      </c>
    </row>
    <row r="2353">
      <c r="A2353" s="37" t="inlineStr">
        <is>
          <t>Bhargav Challa</t>
        </is>
      </c>
      <c r="B2353" s="37" t="inlineStr">
        <is>
          <t>Uppal</t>
        </is>
      </c>
      <c r="C2353" s="37" t="inlineStr">
        <is>
          <t>Grow Youth</t>
        </is>
      </c>
      <c r="D2353" s="37" t="inlineStr">
        <is>
          <t>2026-07-23</t>
        </is>
      </c>
      <c r="E2353" s="37" t="inlineStr">
        <is>
          <t>Aspirant Interaction</t>
        </is>
      </c>
      <c r="F2353" s="37" t="inlineStr">
        <is>
          <t>Ask a few relevant screening questions to support the 10th-day report and remove non-serious candidates, explaining to them the reasons.</t>
        </is>
      </c>
      <c r="G2353" s="37" t="inlineStr">
        <is>
          <t>All is Well</t>
        </is>
      </c>
    </row>
    <row r="2354">
      <c r="A2354" s="37" t="inlineStr">
        <is>
          <t>S Jakir</t>
        </is>
      </c>
      <c r="B2354" s="37" t="inlineStr">
        <is>
          <t>Nelamangala</t>
        </is>
      </c>
      <c r="C2354" s="37" t="inlineStr">
        <is>
          <t>GROW Green Jobs ( Solar )</t>
        </is>
      </c>
      <c r="D2354" s="37" t="inlineStr">
        <is>
          <t>2026-07-23</t>
        </is>
      </c>
      <c r="E2354" s="37" t="inlineStr">
        <is>
          <t>Data Check</t>
        </is>
      </c>
      <c r="F2354" s="37" t="inlineStr">
        <is>
          <t>Reach the centre on time (unannounced) — confirm the centre opened on time.</t>
        </is>
      </c>
      <c r="G2354" s="37" t="inlineStr">
        <is>
          <t>All is Well</t>
        </is>
      </c>
    </row>
    <row r="2355">
      <c r="A2355" s="37" t="inlineStr">
        <is>
          <t>S Jakir</t>
        </is>
      </c>
      <c r="B2355" s="37" t="inlineStr">
        <is>
          <t>Nelamangala</t>
        </is>
      </c>
      <c r="C2355" s="37" t="inlineStr">
        <is>
          <t>GROW Green Jobs ( Solar )</t>
        </is>
      </c>
      <c r="D2355" s="37" t="inlineStr">
        <is>
          <t>2026-07-23</t>
        </is>
      </c>
      <c r="E2355" s="37" t="inlineStr">
        <is>
          <t>Data Check</t>
        </is>
      </c>
      <c r="F2355" s="37" t="inlineStr">
        <is>
          <t>Check the staff attendance register, the Google Sheet, and geo-tagged photos for aspirants.</t>
        </is>
      </c>
      <c r="G2355" s="37" t="inlineStr">
        <is>
          <t>All is Well</t>
        </is>
      </c>
    </row>
    <row r="2356">
      <c r="A2356" s="37" t="inlineStr">
        <is>
          <t>S Jakir</t>
        </is>
      </c>
      <c r="B2356" s="37" t="inlineStr">
        <is>
          <t>Nelamangala</t>
        </is>
      </c>
      <c r="C2356" s="37" t="inlineStr">
        <is>
          <t>GROW Green Jobs ( Solar )</t>
        </is>
      </c>
      <c r="D2356" s="37" t="inlineStr">
        <is>
          <t>2026-07-23</t>
        </is>
      </c>
      <c r="E2356" s="37" t="inlineStr">
        <is>
          <t>Data Check</t>
        </is>
      </c>
      <c r="F2356" s="37" t="inlineStr">
        <is>
          <t>Check Counselling and Screening Forms of recently started batches.</t>
        </is>
      </c>
      <c r="G2356" s="37" t="inlineStr">
        <is>
          <t>All is Well</t>
        </is>
      </c>
    </row>
    <row r="2357">
      <c r="A2357" s="37" t="inlineStr">
        <is>
          <t>S Jakir</t>
        </is>
      </c>
      <c r="B2357" s="37" t="inlineStr">
        <is>
          <t>Nelamangala</t>
        </is>
      </c>
      <c r="C2357" s="37" t="inlineStr">
        <is>
          <t>GROW Green Jobs ( Solar )</t>
        </is>
      </c>
      <c r="D2357" s="37" t="inlineStr">
        <is>
          <t>2026-07-23</t>
        </is>
      </c>
      <c r="E2357" s="37" t="inlineStr">
        <is>
          <t>Data Check</t>
        </is>
      </c>
      <c r="F2357" s="37" t="inlineStr">
        <is>
          <t>Check Aspirant Registration Forms and related documents.</t>
        </is>
      </c>
      <c r="G2357" s="37" t="inlineStr">
        <is>
          <t>All is Well</t>
        </is>
      </c>
    </row>
    <row r="2358">
      <c r="A2358" s="37" t="inlineStr">
        <is>
          <t>S Jakir</t>
        </is>
      </c>
      <c r="B2358" s="37" t="inlineStr">
        <is>
          <t>Nelamangala</t>
        </is>
      </c>
      <c r="C2358" s="37" t="inlineStr">
        <is>
          <t>GROW Green Jobs ( Solar )</t>
        </is>
      </c>
      <c r="D2358" s="37" t="inlineStr">
        <is>
          <t>2026-07-23</t>
        </is>
      </c>
      <c r="E2358" s="37" t="inlineStr">
        <is>
          <t>Data Check</t>
        </is>
      </c>
      <c r="F2358" s="37" t="inlineStr">
        <is>
          <t>On the GROW portal, confirm all student profile details and batch updates are currect.</t>
        </is>
      </c>
      <c r="G2358" s="37" t="inlineStr">
        <is>
          <t>All is Well</t>
        </is>
      </c>
    </row>
    <row r="2359">
      <c r="A2359" s="37" t="inlineStr">
        <is>
          <t>S Jakir</t>
        </is>
      </c>
      <c r="B2359" s="37" t="inlineStr">
        <is>
          <t>Nelamangala</t>
        </is>
      </c>
      <c r="C2359" s="37" t="inlineStr">
        <is>
          <t>GROW Green Jobs ( Solar )</t>
        </is>
      </c>
      <c r="D2359" s="37" t="inlineStr">
        <is>
          <t>2026-07-23</t>
        </is>
      </c>
      <c r="E2359" s="37" t="inlineStr">
        <is>
          <t>Data Check</t>
        </is>
      </c>
      <c r="F2359" s="37" t="inlineStr">
        <is>
          <t>Verify placement data — randomly call 3–4 alumni placed in the last 3 months to confirm veracity (random selection is essential).</t>
        </is>
      </c>
      <c r="G2359" s="37" t="inlineStr">
        <is>
          <t>All is Well</t>
        </is>
      </c>
    </row>
    <row r="2360">
      <c r="A2360" s="37" t="inlineStr">
        <is>
          <t>S Jakir</t>
        </is>
      </c>
      <c r="B2360" s="37" t="inlineStr">
        <is>
          <t>Nelamangala</t>
        </is>
      </c>
      <c r="C2360" s="37" t="inlineStr">
        <is>
          <t>GROW Green Jobs ( Solar )</t>
        </is>
      </c>
      <c r="D2360" s="37" t="inlineStr">
        <is>
          <t>2026-07-23</t>
        </is>
      </c>
      <c r="E2360" s="37" t="inlineStr">
        <is>
          <t>Data Check</t>
        </is>
      </c>
      <c r="F2360" s="37" t="inlineStr">
        <is>
          <t>Verify retention — check the Alumni Hand-holding Format is being updated as designed.</t>
        </is>
      </c>
      <c r="G2360" s="37" t="inlineStr">
        <is>
          <t>Need Improvement</t>
        </is>
      </c>
    </row>
    <row r="2361">
      <c r="A2361" s="37" t="inlineStr">
        <is>
          <t>S Jakir</t>
        </is>
      </c>
      <c r="B2361" s="37" t="inlineStr">
        <is>
          <t>Nelamangala</t>
        </is>
      </c>
      <c r="C2361" s="37" t="inlineStr">
        <is>
          <t>GROW Green Jobs ( Solar )</t>
        </is>
      </c>
      <c r="D2361" s="37" t="inlineStr">
        <is>
          <t>2026-07-23</t>
        </is>
      </c>
      <c r="E2361" s="37" t="inlineStr">
        <is>
          <t>Data Check</t>
        </is>
      </c>
      <c r="F2361" s="37" t="inlineStr">
        <is>
          <t>Check aspirant Hostel Forms are properly filled or not.</t>
        </is>
      </c>
      <c r="G2361" s="37" t="inlineStr">
        <is>
          <t>All is Well</t>
        </is>
      </c>
    </row>
    <row r="2362">
      <c r="A2362" s="37" t="inlineStr">
        <is>
          <t>S Jakir</t>
        </is>
      </c>
      <c r="B2362" s="37" t="inlineStr">
        <is>
          <t>Nelamangala</t>
        </is>
      </c>
      <c r="C2362" s="37" t="inlineStr">
        <is>
          <t>GROW Green Jobs ( Solar )</t>
        </is>
      </c>
      <c r="D2362" s="37" t="inlineStr">
        <is>
          <t>2026-07-23</t>
        </is>
      </c>
      <c r="E2362" s="37" t="inlineStr">
        <is>
          <t>Infra Check</t>
        </is>
      </c>
      <c r="F2362" s="37" t="inlineStr">
        <is>
          <t>Check all CCTV cameras; if any are not working, ask the AH to troubleshoot or call the vendor.</t>
        </is>
      </c>
      <c r="G2362" s="37" t="inlineStr">
        <is>
          <t>All is Well</t>
        </is>
      </c>
    </row>
    <row r="2363">
      <c r="A2363" s="37" t="inlineStr">
        <is>
          <t>S Jakir</t>
        </is>
      </c>
      <c r="B2363" s="37" t="inlineStr">
        <is>
          <t>Nelamangala</t>
        </is>
      </c>
      <c r="C2363" s="37" t="inlineStr">
        <is>
          <t>GROW Green Jobs ( Solar )</t>
        </is>
      </c>
      <c r="D2363" s="37" t="inlineStr">
        <is>
          <t>2026-07-23</t>
        </is>
      </c>
      <c r="E2363" s="37" t="inlineStr">
        <is>
          <t>Infra Check</t>
        </is>
      </c>
      <c r="F2363" s="37" t="inlineStr">
        <is>
          <t>Check for any scrap material and get it cleared, with support of Admin</t>
        </is>
      </c>
      <c r="G2363" s="37" t="inlineStr">
        <is>
          <t>All is Well</t>
        </is>
      </c>
    </row>
    <row r="2364">
      <c r="A2364" s="37" t="inlineStr">
        <is>
          <t>S Jakir</t>
        </is>
      </c>
      <c r="B2364" s="37" t="inlineStr">
        <is>
          <t>Nelamangala</t>
        </is>
      </c>
      <c r="C2364" s="37" t="inlineStr">
        <is>
          <t>GROW Green Jobs ( Solar )</t>
        </is>
      </c>
      <c r="D2364" s="37" t="inlineStr">
        <is>
          <t>2026-07-23</t>
        </is>
      </c>
      <c r="E2364" s="37" t="inlineStr">
        <is>
          <t>Infra Check</t>
        </is>
      </c>
      <c r="F2364" s="37" t="inlineStr">
        <is>
          <t>Check for any pending infra repairs.</t>
        </is>
      </c>
      <c r="G2364" s="37" t="inlineStr">
        <is>
          <t>All is Well</t>
        </is>
      </c>
    </row>
    <row r="2365">
      <c r="A2365" s="37" t="inlineStr">
        <is>
          <t>S Jakir</t>
        </is>
      </c>
      <c r="B2365" s="37" t="inlineStr">
        <is>
          <t>Nelamangala</t>
        </is>
      </c>
      <c r="C2365" s="37" t="inlineStr">
        <is>
          <t>GROW Green Jobs ( Solar )</t>
        </is>
      </c>
      <c r="D2365" s="37" t="inlineStr">
        <is>
          <t>2026-07-23</t>
        </is>
      </c>
      <c r="E2365" s="37" t="inlineStr">
        <is>
          <t>Infra Check</t>
        </is>
      </c>
      <c r="F2365" s="37" t="inlineStr">
        <is>
          <t>Check whether any fire extinguishers have expired (check the needle and expiry date both).</t>
        </is>
      </c>
      <c r="G2365" s="37" t="inlineStr">
        <is>
          <t>All is Well</t>
        </is>
      </c>
    </row>
    <row r="2366">
      <c r="A2366" s="37" t="inlineStr">
        <is>
          <t>S Jakir</t>
        </is>
      </c>
      <c r="B2366" s="37" t="inlineStr">
        <is>
          <t>Nelamangala</t>
        </is>
      </c>
      <c r="C2366" s="37" t="inlineStr">
        <is>
          <t>GROW Green Jobs ( Solar )</t>
        </is>
      </c>
      <c r="D2366" s="37" t="inlineStr">
        <is>
          <t>2026-07-23</t>
        </is>
      </c>
      <c r="E2366" s="37" t="inlineStr">
        <is>
          <t>Infra Check</t>
        </is>
      </c>
      <c r="F2366" s="37" t="inlineStr">
        <is>
          <t>Check basic cleanliness of the washrooms and the centre.</t>
        </is>
      </c>
      <c r="G2366" s="37" t="inlineStr">
        <is>
          <t>All is Well</t>
        </is>
      </c>
    </row>
    <row r="2367">
      <c r="A2367" s="37" t="inlineStr">
        <is>
          <t>S Jakir</t>
        </is>
      </c>
      <c r="B2367" s="37" t="inlineStr">
        <is>
          <t>Nelamangala</t>
        </is>
      </c>
      <c r="C2367" s="37" t="inlineStr">
        <is>
          <t>GROW Green Jobs ( Solar )</t>
        </is>
      </c>
      <c r="D2367" s="37" t="inlineStr">
        <is>
          <t>2026-07-23</t>
        </is>
      </c>
      <c r="E2367" s="37" t="inlineStr">
        <is>
          <t>Infra Check</t>
        </is>
      </c>
      <c r="F2367" s="37" t="inlineStr">
        <is>
          <t>Confirm the correct program and partner logos are displayed.</t>
        </is>
      </c>
      <c r="G2367" s="37" t="inlineStr">
        <is>
          <t>All is Well</t>
        </is>
      </c>
    </row>
    <row r="2368">
      <c r="A2368" s="37" t="inlineStr">
        <is>
          <t>S Jakir</t>
        </is>
      </c>
      <c r="B2368" s="37" t="inlineStr">
        <is>
          <t>Nelamangala</t>
        </is>
      </c>
      <c r="C2368" s="37" t="inlineStr">
        <is>
          <t>GROW Green Jobs ( Solar )</t>
        </is>
      </c>
      <c r="D2368" s="37" t="inlineStr">
        <is>
          <t>2026-07-23</t>
        </is>
      </c>
      <c r="E2368" s="37" t="inlineStr">
        <is>
          <t>Infra Check</t>
        </is>
      </c>
      <c r="F2368" s="37" t="inlineStr">
        <is>
          <t>Check the status of digital infra — PCs, smartboards, tablets, laptops, etc.</t>
        </is>
      </c>
      <c r="G2368" s="37" t="inlineStr">
        <is>
          <t>All is Well</t>
        </is>
      </c>
    </row>
    <row r="2369">
      <c r="A2369" s="37" t="inlineStr">
        <is>
          <t>S Jakir</t>
        </is>
      </c>
      <c r="B2369" s="37" t="inlineStr">
        <is>
          <t>Nelamangala</t>
        </is>
      </c>
      <c r="C2369" s="37" t="inlineStr">
        <is>
          <t>GROW Green Jobs ( Solar )</t>
        </is>
      </c>
      <c r="D2369" s="37" t="inlineStr">
        <is>
          <t>2026-07-23</t>
        </is>
      </c>
      <c r="E2369" s="37" t="inlineStr">
        <is>
          <t>Infra Check</t>
        </is>
      </c>
      <c r="F2369" s="37" t="inlineStr">
        <is>
          <t>Make a quick hostel visit; have lunch there if possible to test the food quality.</t>
        </is>
      </c>
      <c r="G2369" s="37" t="inlineStr">
        <is>
          <t>Need Improvement</t>
        </is>
      </c>
    </row>
    <row r="2370">
      <c r="A2370" s="37" t="inlineStr">
        <is>
          <t>S Jakir</t>
        </is>
      </c>
      <c r="B2370" s="37" t="inlineStr">
        <is>
          <t>Nelamangala</t>
        </is>
      </c>
      <c r="C2370" s="37" t="inlineStr">
        <is>
          <t>GROW Green Jobs ( Solar )</t>
        </is>
      </c>
      <c r="D2370" s="37" t="inlineStr">
        <is>
          <t>2026-07-23</t>
        </is>
      </c>
      <c r="E2370" s="37" t="inlineStr">
        <is>
          <t>Process Check</t>
        </is>
      </c>
      <c r="F2370" s="37" t="inlineStr">
        <is>
          <t>Refer to the activity planner — check if any activities are delayed.</t>
        </is>
      </c>
      <c r="G2370" s="37" t="inlineStr">
        <is>
          <t>Need Improvement</t>
        </is>
      </c>
    </row>
    <row r="2371">
      <c r="A2371" s="37" t="inlineStr">
        <is>
          <t>S Jakir</t>
        </is>
      </c>
      <c r="B2371" s="37" t="inlineStr">
        <is>
          <t>Nelamangala</t>
        </is>
      </c>
      <c r="C2371" s="37" t="inlineStr">
        <is>
          <t>GROW Green Jobs ( Solar )</t>
        </is>
      </c>
      <c r="D2371" s="37" t="inlineStr">
        <is>
          <t>2026-07-23</t>
        </is>
      </c>
      <c r="E2371" s="37" t="inlineStr">
        <is>
          <t>Process Check</t>
        </is>
      </c>
      <c r="F2371" s="37" t="inlineStr">
        <is>
          <t>Check planning for the next batch-start announcement.</t>
        </is>
      </c>
      <c r="G2371" s="37" t="inlineStr">
        <is>
          <t>All is Well</t>
        </is>
      </c>
    </row>
    <row r="2372">
      <c r="A2372" s="37" t="inlineStr">
        <is>
          <t>S Jakir</t>
        </is>
      </c>
      <c r="B2372" s="37" t="inlineStr">
        <is>
          <t>Nelamangala</t>
        </is>
      </c>
      <c r="C2372" s="37" t="inlineStr">
        <is>
          <t>GROW Green Jobs ( Solar )</t>
        </is>
      </c>
      <c r="D2372" s="37" t="inlineStr">
        <is>
          <t>2026-07-23</t>
        </is>
      </c>
      <c r="E2372" s="37" t="inlineStr">
        <is>
          <t>Process Check</t>
        </is>
      </c>
      <c r="F2372" s="37" t="inlineStr">
        <is>
          <t>Check if any hiring is delayed and plan a resolution.</t>
        </is>
      </c>
      <c r="G2372" s="37" t="inlineStr">
        <is>
          <t>All is Well</t>
        </is>
      </c>
    </row>
    <row r="2373">
      <c r="A2373" s="37" t="inlineStr">
        <is>
          <t>S Jakir</t>
        </is>
      </c>
      <c r="B2373" s="37" t="inlineStr">
        <is>
          <t>Nelamangala</t>
        </is>
      </c>
      <c r="C2373" s="37" t="inlineStr">
        <is>
          <t>GROW Green Jobs ( Solar )</t>
        </is>
      </c>
      <c r="D2373" s="37" t="inlineStr">
        <is>
          <t>2026-07-23</t>
        </is>
      </c>
      <c r="E2373" s="37" t="inlineStr">
        <is>
          <t>Process Check</t>
        </is>
      </c>
      <c r="F2373" s="37" t="inlineStr">
        <is>
          <t>Check the CA’s diary — is CA guided daily by the AH during planning days?</t>
        </is>
      </c>
      <c r="G2373" s="37" t="inlineStr">
        <is>
          <t>All is Well</t>
        </is>
      </c>
    </row>
    <row r="2374">
      <c r="A2374" s="37" t="inlineStr">
        <is>
          <t>S Jakir</t>
        </is>
      </c>
      <c r="B2374" s="37" t="inlineStr">
        <is>
          <t>Nelamangala</t>
        </is>
      </c>
      <c r="C2374" s="37" t="inlineStr">
        <is>
          <t>GROW Green Jobs ( Solar )</t>
        </is>
      </c>
      <c r="D2374" s="37" t="inlineStr">
        <is>
          <t>2026-07-23</t>
        </is>
      </c>
      <c r="E2374" s="37" t="inlineStr">
        <is>
          <t>Process Check</t>
        </is>
      </c>
      <c r="F2374" s="37" t="inlineStr">
        <is>
          <t>Check the AH is regularly meeting employers (in person and online) and updating the centre’s Top 20 Employer format.</t>
        </is>
      </c>
      <c r="G2374" s="37" t="inlineStr">
        <is>
          <t>All is Well</t>
        </is>
      </c>
    </row>
    <row r="2375">
      <c r="A2375" s="37" t="inlineStr">
        <is>
          <t>S Jakir</t>
        </is>
      </c>
      <c r="B2375" s="37" t="inlineStr">
        <is>
          <t>Nelamangala</t>
        </is>
      </c>
      <c r="C2375" s="37" t="inlineStr">
        <is>
          <t>GROW Green Jobs ( Solar )</t>
        </is>
      </c>
      <c r="D2375" s="37" t="inlineStr">
        <is>
          <t>2026-07-23</t>
        </is>
      </c>
      <c r="E2375" s="37" t="inlineStr">
        <is>
          <t>Process Check</t>
        </is>
      </c>
      <c r="F2375" s="37" t="inlineStr">
        <is>
          <t>Confirm all new employers are registered on portal as per new process.</t>
        </is>
      </c>
      <c r="G2375" s="37" t="inlineStr">
        <is>
          <t>All is Well</t>
        </is>
      </c>
    </row>
    <row r="2376">
      <c r="A2376" s="37" t="inlineStr">
        <is>
          <t>S Jakir</t>
        </is>
      </c>
      <c r="B2376" s="37" t="inlineStr">
        <is>
          <t>Nelamangala</t>
        </is>
      </c>
      <c r="C2376" s="37" t="inlineStr">
        <is>
          <t>GROW Green Jobs ( Solar )</t>
        </is>
      </c>
      <c r="D2376" s="37" t="inlineStr">
        <is>
          <t>2026-07-23</t>
        </is>
      </c>
      <c r="E2376" s="37" t="inlineStr">
        <is>
          <t>Process Check</t>
        </is>
      </c>
      <c r="F2376" s="37" t="inlineStr">
        <is>
          <t>Confirm 100% of enrolled students undergone screening (for technical courses).</t>
        </is>
      </c>
      <c r="G2376" s="37" t="inlineStr">
        <is>
          <t>All is Well</t>
        </is>
      </c>
    </row>
    <row r="2377">
      <c r="A2377" s="37" t="inlineStr">
        <is>
          <t>S Jakir</t>
        </is>
      </c>
      <c r="B2377" s="37" t="inlineStr">
        <is>
          <t>Nelamangala</t>
        </is>
      </c>
      <c r="C2377" s="37" t="inlineStr">
        <is>
          <t>GROW Green Jobs ( Solar )</t>
        </is>
      </c>
      <c r="D2377" s="37" t="inlineStr">
        <is>
          <t>2026-07-23</t>
        </is>
      </c>
      <c r="E2377" s="37" t="inlineStr">
        <is>
          <t>Process Check</t>
        </is>
      </c>
      <c r="F2377" s="37" t="inlineStr">
        <is>
          <t>Confirm ESA is done (in GROW full ESA and in Technical courses relevant sections of Core Employability Part).</t>
        </is>
      </c>
      <c r="G2377" s="37" t="inlineStr">
        <is>
          <t>All is Well</t>
        </is>
      </c>
    </row>
    <row r="2378">
      <c r="A2378" s="37" t="inlineStr">
        <is>
          <t>S Jakir</t>
        </is>
      </c>
      <c r="B2378" s="37" t="inlineStr">
        <is>
          <t>Nelamangala</t>
        </is>
      </c>
      <c r="C2378" s="37" t="inlineStr">
        <is>
          <t>GROW Green Jobs ( Solar )</t>
        </is>
      </c>
      <c r="D2378" s="37" t="inlineStr">
        <is>
          <t>2026-07-23</t>
        </is>
      </c>
      <c r="E2378" s="37" t="inlineStr">
        <is>
          <t>Process Check</t>
        </is>
      </c>
      <c r="F2378" s="37" t="inlineStr">
        <is>
          <t>Check is AH giving capstone project in GROW Tech.</t>
        </is>
      </c>
      <c r="G2378" s="37" t="inlineStr">
        <is>
          <t>Not Applicable</t>
        </is>
      </c>
    </row>
    <row r="2379">
      <c r="A2379" s="37" t="inlineStr">
        <is>
          <t>S Jakir</t>
        </is>
      </c>
      <c r="B2379" s="37" t="inlineStr">
        <is>
          <t>Nelamangala</t>
        </is>
      </c>
      <c r="C2379" s="37" t="inlineStr">
        <is>
          <t>GROW Green Jobs ( Solar )</t>
        </is>
      </c>
      <c r="D2379" s="37" t="inlineStr">
        <is>
          <t>2026-07-23</t>
        </is>
      </c>
      <c r="E2379" s="37" t="inlineStr">
        <is>
          <t>Process Check</t>
        </is>
      </c>
      <c r="F2379" s="37" t="inlineStr">
        <is>
          <t>Check is AH planning OJT as per guidelines and proofs are collected for technical courses.</t>
        </is>
      </c>
      <c r="G2379" s="37" t="inlineStr">
        <is>
          <t>Need Improvement</t>
        </is>
      </c>
    </row>
    <row r="2380">
      <c r="A2380" s="37" t="inlineStr">
        <is>
          <t>S Jakir</t>
        </is>
      </c>
      <c r="B2380" s="37" t="inlineStr">
        <is>
          <t>Nelamangala</t>
        </is>
      </c>
      <c r="C2380" s="37" t="inlineStr">
        <is>
          <t>GROW Green Jobs ( Solar )</t>
        </is>
      </c>
      <c r="D2380" s="37" t="inlineStr">
        <is>
          <t>2026-07-23</t>
        </is>
      </c>
      <c r="E2380" s="37" t="inlineStr">
        <is>
          <t>Process Check</t>
        </is>
      </c>
      <c r="F2380" s="37" t="inlineStr">
        <is>
          <t>Check are trainers contacting aspirants to find reason for their absenteeism of more than 1 day.</t>
        </is>
      </c>
      <c r="G2380" s="37" t="inlineStr">
        <is>
          <t>All is Well</t>
        </is>
      </c>
    </row>
    <row r="2381">
      <c r="A2381" s="37" t="inlineStr">
        <is>
          <t>S Jakir</t>
        </is>
      </c>
      <c r="B2381" s="37" t="inlineStr">
        <is>
          <t>Nelamangala</t>
        </is>
      </c>
      <c r="C2381" s="37" t="inlineStr">
        <is>
          <t>GROW Green Jobs ( Solar )</t>
        </is>
      </c>
      <c r="D2381" s="37" t="inlineStr">
        <is>
          <t>2026-07-23</t>
        </is>
      </c>
      <c r="E2381" s="37" t="inlineStr">
        <is>
          <t>Process Check</t>
        </is>
      </c>
      <c r="F2381" s="37" t="inlineStr">
        <is>
          <t>Check the AH plans monthly enrolment and placement numbers by the 3rd of each month and shares them with second level managers.</t>
        </is>
      </c>
      <c r="G2381" s="37" t="inlineStr">
        <is>
          <t>All is Well</t>
        </is>
      </c>
    </row>
    <row r="2382">
      <c r="A2382" s="37" t="inlineStr">
        <is>
          <t>S Jakir</t>
        </is>
      </c>
      <c r="B2382" s="37" t="inlineStr">
        <is>
          <t>Nelamangala</t>
        </is>
      </c>
      <c r="C2382" s="37" t="inlineStr">
        <is>
          <t>GROW Green Jobs ( Solar )</t>
        </is>
      </c>
      <c r="D2382" s="37" t="inlineStr">
        <is>
          <t>2026-07-23</t>
        </is>
      </c>
      <c r="E2382" s="37" t="inlineStr">
        <is>
          <t>Process Check</t>
        </is>
      </c>
      <c r="F2382" s="37" t="inlineStr">
        <is>
          <t>Check trainers submit aspirants’ placement interest areas to the AH by the batch’s 25th day (in GROW).</t>
        </is>
      </c>
      <c r="G2382" s="37" t="inlineStr">
        <is>
          <t>Not Applicable</t>
        </is>
      </c>
    </row>
    <row r="2383">
      <c r="A2383" s="37" t="inlineStr">
        <is>
          <t>S Jakir</t>
        </is>
      </c>
      <c r="B2383" s="37" t="inlineStr">
        <is>
          <t>Nelamangala</t>
        </is>
      </c>
      <c r="C2383" s="37" t="inlineStr">
        <is>
          <t>GROW Green Jobs ( Solar )</t>
        </is>
      </c>
      <c r="D2383" s="37" t="inlineStr">
        <is>
          <t>2026-07-23</t>
        </is>
      </c>
      <c r="E2383" s="37" t="inlineStr">
        <is>
          <t>Process Check</t>
        </is>
      </c>
      <c r="F2383" s="37" t="inlineStr">
        <is>
          <t>Ckeck For technical programs, placement is done only in technical jobs,on which aspirants are trained and relevant emplyers are identified by 45th day.</t>
        </is>
      </c>
      <c r="G2383" s="37" t="inlineStr">
        <is>
          <t>All is Well</t>
        </is>
      </c>
    </row>
    <row r="2384">
      <c r="A2384" s="37" t="inlineStr">
        <is>
          <t>S Jakir</t>
        </is>
      </c>
      <c r="B2384" s="37" t="inlineStr">
        <is>
          <t>Nelamangala</t>
        </is>
      </c>
      <c r="C2384" s="37" t="inlineStr">
        <is>
          <t>GROW Green Jobs ( Solar )</t>
        </is>
      </c>
      <c r="D2384" s="37" t="inlineStr">
        <is>
          <t>2026-07-23</t>
        </is>
      </c>
      <c r="E2384" s="37" t="inlineStr">
        <is>
          <t>Process Check</t>
        </is>
      </c>
      <c r="F2384" s="37" t="inlineStr">
        <is>
          <t>Check the AH follows EP guidelines and minimum benchmark salary guidelines.</t>
        </is>
      </c>
      <c r="G2384" s="37" t="inlineStr">
        <is>
          <t>All is Well</t>
        </is>
      </c>
    </row>
    <row r="2385">
      <c r="A2385" s="37" t="inlineStr">
        <is>
          <t>S Jakir</t>
        </is>
      </c>
      <c r="B2385" s="37" t="inlineStr">
        <is>
          <t>Nelamangala</t>
        </is>
      </c>
      <c r="C2385" s="37" t="inlineStr">
        <is>
          <t>GROW Green Jobs ( Solar )</t>
        </is>
      </c>
      <c r="D2385" s="37" t="inlineStr">
        <is>
          <t>2026-07-23</t>
        </is>
      </c>
      <c r="E2385" s="37" t="inlineStr">
        <is>
          <t>Process Check</t>
        </is>
      </c>
      <c r="F2385" s="37" t="inlineStr">
        <is>
          <t>Check that AH is enrolling only the right traget group in the program -as per the defined target.</t>
        </is>
      </c>
      <c r="G2385" s="37" t="inlineStr">
        <is>
          <t>All is Well</t>
        </is>
      </c>
    </row>
    <row r="2386">
      <c r="A2386" s="37" t="inlineStr">
        <is>
          <t>S Jakir</t>
        </is>
      </c>
      <c r="B2386" s="37" t="inlineStr">
        <is>
          <t>Nelamangala</t>
        </is>
      </c>
      <c r="C2386" s="37" t="inlineStr">
        <is>
          <t>GROW Green Jobs ( Solar )</t>
        </is>
      </c>
      <c r="D2386" s="37" t="inlineStr">
        <is>
          <t>2026-07-23</t>
        </is>
      </c>
      <c r="E2386" s="37" t="inlineStr">
        <is>
          <t>Process Check</t>
        </is>
      </c>
      <c r="F2386" s="37" t="inlineStr">
        <is>
          <t>Check the AH announces the next batch-start date by the 3rd of the month on all notice boards — focus on Zero-Day start.</t>
        </is>
      </c>
      <c r="G2386" s="37" t="inlineStr">
        <is>
          <t>All is Well</t>
        </is>
      </c>
    </row>
    <row r="2387">
      <c r="A2387" s="37" t="inlineStr">
        <is>
          <t>S Jakir</t>
        </is>
      </c>
      <c r="B2387" s="37" t="inlineStr">
        <is>
          <t>Nelamangala</t>
        </is>
      </c>
      <c r="C2387" s="37" t="inlineStr">
        <is>
          <t>GROW Green Jobs ( Solar )</t>
        </is>
      </c>
      <c r="D2387" s="37" t="inlineStr">
        <is>
          <t>2026-07-23</t>
        </is>
      </c>
      <c r="E2387" s="37" t="inlineStr">
        <is>
          <t>Process Check</t>
        </is>
      </c>
      <c r="F2387" s="37" t="inlineStr">
        <is>
          <t>Check the Aspirant Mock Interview Score Tracker is updated after every mock interview in the L&amp;D Google Sheet.</t>
        </is>
      </c>
      <c r="G2387" s="37" t="inlineStr">
        <is>
          <t>All is Well</t>
        </is>
      </c>
    </row>
    <row r="2388">
      <c r="A2388" s="37" t="inlineStr">
        <is>
          <t>S Jakir</t>
        </is>
      </c>
      <c r="B2388" s="37" t="inlineStr">
        <is>
          <t>Nelamangala</t>
        </is>
      </c>
      <c r="C2388" s="37" t="inlineStr">
        <is>
          <t>GROW Green Jobs ( Solar )</t>
        </is>
      </c>
      <c r="D2388" s="37" t="inlineStr">
        <is>
          <t>2026-07-23</t>
        </is>
      </c>
      <c r="E2388" s="37" t="inlineStr">
        <is>
          <t>Process Check</t>
        </is>
      </c>
      <c r="F2388" s="37" t="inlineStr">
        <is>
          <t>Confirm NPS (Net Promoter Score) is collected at MSDF centres.</t>
        </is>
      </c>
      <c r="G2388" s="37" t="inlineStr">
        <is>
          <t>Not Applicable</t>
        </is>
      </c>
    </row>
    <row r="2389">
      <c r="A2389" s="37" t="inlineStr">
        <is>
          <t>S Jakir</t>
        </is>
      </c>
      <c r="B2389" s="37" t="inlineStr">
        <is>
          <t>Nelamangala</t>
        </is>
      </c>
      <c r="C2389" s="37" t="inlineStr">
        <is>
          <t>GROW Green Jobs ( Solar )</t>
        </is>
      </c>
      <c r="D2389" s="37" t="inlineStr">
        <is>
          <t>2026-07-23</t>
        </is>
      </c>
      <c r="E2389" s="37" t="inlineStr">
        <is>
          <t>Process Check</t>
        </is>
      </c>
      <c r="F2389" s="37" t="inlineStr">
        <is>
          <t>Confirm that QAE is collecting student feedback for every batch.</t>
        </is>
      </c>
      <c r="G2389" s="37" t="inlineStr">
        <is>
          <t>All is Well</t>
        </is>
      </c>
    </row>
    <row r="2390">
      <c r="A2390" s="37" t="inlineStr">
        <is>
          <t>S Jakir</t>
        </is>
      </c>
      <c r="B2390" s="37" t="inlineStr">
        <is>
          <t>Nelamangala</t>
        </is>
      </c>
      <c r="C2390" s="37" t="inlineStr">
        <is>
          <t>GROW Green Jobs ( Solar )</t>
        </is>
      </c>
      <c r="D2390" s="37" t="inlineStr">
        <is>
          <t>2026-07-23</t>
        </is>
      </c>
      <c r="E2390" s="37" t="inlineStr">
        <is>
          <t>Process Check</t>
        </is>
      </c>
      <c r="F2390" s="37" t="inlineStr">
        <is>
          <t>Confirm all centre teams have completed the GROW Manual Course on Skillfy — ask for achievement certificates.</t>
        </is>
      </c>
      <c r="G2390" s="37" t="inlineStr">
        <is>
          <t>All is Well</t>
        </is>
      </c>
    </row>
    <row r="2391">
      <c r="A2391" s="37" t="inlineStr">
        <is>
          <t>S Jakir</t>
        </is>
      </c>
      <c r="B2391" s="37" t="inlineStr">
        <is>
          <t>Nelamangala</t>
        </is>
      </c>
      <c r="C2391" s="37" t="inlineStr">
        <is>
          <t>GROW Green Jobs ( Solar )</t>
        </is>
      </c>
      <c r="D2391" s="37" t="inlineStr">
        <is>
          <t>2026-07-23</t>
        </is>
      </c>
      <c r="E2391" s="37" t="inlineStr">
        <is>
          <t>Process Check</t>
        </is>
      </c>
      <c r="F2391" s="37" t="inlineStr">
        <is>
          <t>Check AH holds a quality weekly team meeting, documents action points in the weekly meeting format, and sends you a photo on WhatsApp.</t>
        </is>
      </c>
      <c r="G2391" s="37" t="inlineStr">
        <is>
          <t>All is Well</t>
        </is>
      </c>
    </row>
    <row r="2392">
      <c r="A2392" s="37" t="inlineStr">
        <is>
          <t>S Jakir</t>
        </is>
      </c>
      <c r="B2392" s="37" t="inlineStr">
        <is>
          <t>Nelamangala</t>
        </is>
      </c>
      <c r="C2392" s="37" t="inlineStr">
        <is>
          <t>GROW Green Jobs ( Solar )</t>
        </is>
      </c>
      <c r="D2392" s="37" t="inlineStr">
        <is>
          <t>2026-07-23</t>
        </is>
      </c>
      <c r="E2392" s="37" t="inlineStr">
        <is>
          <t>Aspirant Interaction</t>
        </is>
      </c>
      <c r="F2392" s="37" t="inlineStr">
        <is>
          <t>Ask aspirants about the session plan — confirm training is happening as planned?</t>
        </is>
      </c>
      <c r="G2392" s="37" t="inlineStr">
        <is>
          <t>All is Well</t>
        </is>
      </c>
    </row>
    <row r="2393">
      <c r="A2393" s="37" t="inlineStr">
        <is>
          <t>S Jakir</t>
        </is>
      </c>
      <c r="B2393" s="37" t="inlineStr">
        <is>
          <t>Nelamangala</t>
        </is>
      </c>
      <c r="C2393" s="37" t="inlineStr">
        <is>
          <t>GROW Green Jobs ( Solar )</t>
        </is>
      </c>
      <c r="D2393" s="37" t="inlineStr">
        <is>
          <t>2026-07-23</t>
        </is>
      </c>
      <c r="E2393" s="37" t="inlineStr">
        <is>
          <t>Aspirant Interaction</t>
        </is>
      </c>
      <c r="F2393" s="37" t="inlineStr">
        <is>
          <t>Ask about the quality of Core Employability component delivery (technical centres) and who delivers it.</t>
        </is>
      </c>
      <c r="G2393" s="37" t="inlineStr">
        <is>
          <t>All is Well</t>
        </is>
      </c>
    </row>
    <row r="2394">
      <c r="A2394" s="37" t="inlineStr">
        <is>
          <t>S Jakir</t>
        </is>
      </c>
      <c r="B2394" s="37" t="inlineStr">
        <is>
          <t>Nelamangala</t>
        </is>
      </c>
      <c r="C2394" s="37" t="inlineStr">
        <is>
          <t>GROW Green Jobs ( Solar )</t>
        </is>
      </c>
      <c r="D2394" s="37" t="inlineStr">
        <is>
          <t>2026-07-23</t>
        </is>
      </c>
      <c r="E2394" s="37" t="inlineStr">
        <is>
          <t>Aspirant Interaction</t>
        </is>
      </c>
      <c r="F2394" s="37" t="inlineStr">
        <is>
          <t>Ask whether they are aware of the referral scheme?</t>
        </is>
      </c>
      <c r="G2394" s="37" t="inlineStr">
        <is>
          <t>All is Well</t>
        </is>
      </c>
    </row>
    <row r="2395">
      <c r="A2395" s="37" t="inlineStr">
        <is>
          <t>S Jakir</t>
        </is>
      </c>
      <c r="B2395" s="37" t="inlineStr">
        <is>
          <t>Nelamangala</t>
        </is>
      </c>
      <c r="C2395" s="37" t="inlineStr">
        <is>
          <t>GROW Green Jobs ( Solar )</t>
        </is>
      </c>
      <c r="D2395" s="37" t="inlineStr">
        <is>
          <t>2026-07-23</t>
        </is>
      </c>
      <c r="E2395" s="37" t="inlineStr">
        <is>
          <t>Aspirant Interaction</t>
        </is>
      </c>
      <c r="F2395" s="37" t="inlineStr">
        <is>
          <t>Ask whether the AH explained the importance of the offer letter and sharing it with us once received for reporting purposes?</t>
        </is>
      </c>
      <c r="G2395" s="37" t="inlineStr">
        <is>
          <t>All is Well</t>
        </is>
      </c>
    </row>
    <row r="2396">
      <c r="A2396" s="37" t="inlineStr">
        <is>
          <t>S Jakir</t>
        </is>
      </c>
      <c r="B2396" s="37" t="inlineStr">
        <is>
          <t>Nelamangala</t>
        </is>
      </c>
      <c r="C2396" s="37" t="inlineStr">
        <is>
          <t>GROW Green Jobs ( Solar )</t>
        </is>
      </c>
      <c r="D2396" s="37" t="inlineStr">
        <is>
          <t>2026-07-23</t>
        </is>
      </c>
      <c r="E2396" s="37" t="inlineStr">
        <is>
          <t>Aspirant Interaction</t>
        </is>
      </c>
      <c r="F2396" s="37" t="inlineStr">
        <is>
          <t>Ask how many are not interested in jobs — and if so, why they enrolled in the programme?</t>
        </is>
      </c>
      <c r="G2396" s="37" t="inlineStr">
        <is>
          <t>All is Well</t>
        </is>
      </c>
    </row>
    <row r="2397">
      <c r="A2397" s="37" t="inlineStr">
        <is>
          <t>S Jakir</t>
        </is>
      </c>
      <c r="B2397" s="37" t="inlineStr">
        <is>
          <t>Nelamangala</t>
        </is>
      </c>
      <c r="C2397" s="37" t="inlineStr">
        <is>
          <t>GROW Green Jobs ( Solar )</t>
        </is>
      </c>
      <c r="D2397" s="37" t="inlineStr">
        <is>
          <t>2026-07-23</t>
        </is>
      </c>
      <c r="E2397" s="37" t="inlineStr">
        <is>
          <t>Aspirant Interaction</t>
        </is>
      </c>
      <c r="F2397" s="37" t="inlineStr">
        <is>
          <t>Ask whether they were told the kind of job they would get during counselling?</t>
        </is>
      </c>
      <c r="G2397" s="37" t="inlineStr">
        <is>
          <t>All is Well</t>
        </is>
      </c>
    </row>
    <row r="2398">
      <c r="A2398" s="37" t="inlineStr">
        <is>
          <t>S Jakir</t>
        </is>
      </c>
      <c r="B2398" s="37" t="inlineStr">
        <is>
          <t>Nelamangala</t>
        </is>
      </c>
      <c r="C2398" s="37" t="inlineStr">
        <is>
          <t>GROW Green Jobs ( Solar )</t>
        </is>
      </c>
      <c r="D2398" s="37" t="inlineStr">
        <is>
          <t>2026-07-23</t>
        </is>
      </c>
      <c r="E2398" s="37" t="inlineStr">
        <is>
          <t>Aspirant Interaction</t>
        </is>
      </c>
      <c r="F2398" s="37" t="inlineStr">
        <is>
          <t>Ask whether they have been given LMS access?</t>
        </is>
      </c>
      <c r="G2398" s="37" t="inlineStr">
        <is>
          <t>All is Well</t>
        </is>
      </c>
    </row>
    <row r="2399">
      <c r="A2399" s="37" t="inlineStr">
        <is>
          <t>S Jakir</t>
        </is>
      </c>
      <c r="B2399" s="37" t="inlineStr">
        <is>
          <t>Nelamangala</t>
        </is>
      </c>
      <c r="C2399" s="37" t="inlineStr">
        <is>
          <t>GROW Green Jobs ( Solar )</t>
        </is>
      </c>
      <c r="D2399" s="37" t="inlineStr">
        <is>
          <t>2026-07-23</t>
        </is>
      </c>
      <c r="E2399" s="37" t="inlineStr">
        <is>
          <t>Aspirant Interaction</t>
        </is>
      </c>
      <c r="F2399" s="37" t="inlineStr">
        <is>
          <t>Ask whether anyone asked them for money for training or placement?</t>
        </is>
      </c>
      <c r="G2399" s="37" t="inlineStr">
        <is>
          <t>All is Well</t>
        </is>
      </c>
    </row>
    <row r="2400">
      <c r="A2400" s="37" t="inlineStr">
        <is>
          <t>S Jakir</t>
        </is>
      </c>
      <c r="B2400" s="37" t="inlineStr">
        <is>
          <t>Nelamangala</t>
        </is>
      </c>
      <c r="C2400" s="37" t="inlineStr">
        <is>
          <t>GROW Green Jobs ( Solar )</t>
        </is>
      </c>
      <c r="D2400" s="37" t="inlineStr">
        <is>
          <t>2026-07-23</t>
        </is>
      </c>
      <c r="E2400" s="37" t="inlineStr">
        <is>
          <t>Aspirant Interaction</t>
        </is>
      </c>
      <c r="F2400" s="37" t="inlineStr">
        <is>
          <t>Ask to show their mobile phones — are they enrolled on Skillfy? If not, get them enrolled and give written feedback to trainers and the AH in your presence.</t>
        </is>
      </c>
      <c r="G2400" s="37" t="inlineStr">
        <is>
          <t>All is Well</t>
        </is>
      </c>
    </row>
    <row r="2401">
      <c r="A2401" s="37" t="inlineStr">
        <is>
          <t>S Jakir</t>
        </is>
      </c>
      <c r="B2401" s="37" t="inlineStr">
        <is>
          <t>Nelamangala</t>
        </is>
      </c>
      <c r="C2401" s="37" t="inlineStr">
        <is>
          <t>GROW Green Jobs ( Solar )</t>
        </is>
      </c>
      <c r="D2401" s="37" t="inlineStr">
        <is>
          <t>2026-07-23</t>
        </is>
      </c>
      <c r="E2401" s="37" t="inlineStr">
        <is>
          <t>Aspirant Interaction</t>
        </is>
      </c>
      <c r="F2401" s="37" t="inlineStr">
        <is>
          <t>Ask about the quality of the hostel and any issues they face.</t>
        </is>
      </c>
      <c r="G2401" s="37" t="inlineStr">
        <is>
          <t>Need Improvement</t>
        </is>
      </c>
    </row>
    <row r="2402">
      <c r="A2402" s="37" t="inlineStr">
        <is>
          <t>S Jakir</t>
        </is>
      </c>
      <c r="B2402" s="37" t="inlineStr">
        <is>
          <t>Nelamangala</t>
        </is>
      </c>
      <c r="C2402" s="37" t="inlineStr">
        <is>
          <t>GROW Green Jobs ( Solar )</t>
        </is>
      </c>
      <c r="D2402" s="37" t="inlineStr">
        <is>
          <t>2026-07-23</t>
        </is>
      </c>
      <c r="E2402" s="37" t="inlineStr">
        <is>
          <t>Aspirant Interaction</t>
        </is>
      </c>
      <c r="F2402" s="37" t="inlineStr">
        <is>
          <t>Ask a few relevant screening questions to support the 10th-day report and remove non-serious candidates, explaining to them the reasons.</t>
        </is>
      </c>
      <c r="G2402" s="37" t="inlineStr">
        <is>
          <t>All is Well</t>
        </is>
      </c>
    </row>
    <row r="2403">
      <c r="A2403" s="37" t="inlineStr">
        <is>
          <t>S Jakir</t>
        </is>
      </c>
      <c r="B2403" s="37" t="inlineStr">
        <is>
          <t>Electronic City</t>
        </is>
      </c>
      <c r="C2403" s="37" t="inlineStr">
        <is>
          <t>GROW Green Jobs ( EV )</t>
        </is>
      </c>
      <c r="D2403" s="37" t="inlineStr">
        <is>
          <t>2026-07-22</t>
        </is>
      </c>
      <c r="E2403" s="37" t="inlineStr">
        <is>
          <t>Data Check</t>
        </is>
      </c>
      <c r="F2403" s="37" t="inlineStr">
        <is>
          <t>Reach the centre on time (unannounced) — confirm the centre opened on time.</t>
        </is>
      </c>
      <c r="G2403" s="37" t="inlineStr">
        <is>
          <t>All is Well</t>
        </is>
      </c>
    </row>
    <row r="2404">
      <c r="A2404" s="37" t="inlineStr">
        <is>
          <t>S Jakir</t>
        </is>
      </c>
      <c r="B2404" s="37" t="inlineStr">
        <is>
          <t>Electronic City</t>
        </is>
      </c>
      <c r="C2404" s="37" t="inlineStr">
        <is>
          <t>GROW Green Jobs ( EV )</t>
        </is>
      </c>
      <c r="D2404" s="37" t="inlineStr">
        <is>
          <t>2026-07-22</t>
        </is>
      </c>
      <c r="E2404" s="37" t="inlineStr">
        <is>
          <t>Data Check</t>
        </is>
      </c>
      <c r="F2404" s="37" t="inlineStr">
        <is>
          <t>Check the staff attendance register, the Google Sheet, and geo-tagged photos for aspirants.</t>
        </is>
      </c>
      <c r="G2404" s="37" t="inlineStr">
        <is>
          <t>All is Well</t>
        </is>
      </c>
    </row>
    <row r="2405">
      <c r="A2405" s="37" t="inlineStr">
        <is>
          <t>S Jakir</t>
        </is>
      </c>
      <c r="B2405" s="37" t="inlineStr">
        <is>
          <t>Electronic City</t>
        </is>
      </c>
      <c r="C2405" s="37" t="inlineStr">
        <is>
          <t>GROW Green Jobs ( EV )</t>
        </is>
      </c>
      <c r="D2405" s="37" t="inlineStr">
        <is>
          <t>2026-07-22</t>
        </is>
      </c>
      <c r="E2405" s="37" t="inlineStr">
        <is>
          <t>Data Check</t>
        </is>
      </c>
      <c r="F2405" s="37" t="inlineStr">
        <is>
          <t>Check Counselling and Screening Forms of recently started batches.</t>
        </is>
      </c>
      <c r="G2405" s="37" t="inlineStr">
        <is>
          <t>All is Well</t>
        </is>
      </c>
    </row>
    <row r="2406">
      <c r="A2406" s="37" t="inlineStr">
        <is>
          <t>S Jakir</t>
        </is>
      </c>
      <c r="B2406" s="37" t="inlineStr">
        <is>
          <t>Electronic City</t>
        </is>
      </c>
      <c r="C2406" s="37" t="inlineStr">
        <is>
          <t>GROW Green Jobs ( EV )</t>
        </is>
      </c>
      <c r="D2406" s="37" t="inlineStr">
        <is>
          <t>2026-07-22</t>
        </is>
      </c>
      <c r="E2406" s="37" t="inlineStr">
        <is>
          <t>Data Check</t>
        </is>
      </c>
      <c r="F2406" s="37" t="inlineStr">
        <is>
          <t>Check Aspirant Registration Forms and related documents.</t>
        </is>
      </c>
      <c r="G2406" s="37" t="inlineStr">
        <is>
          <t>All is Well</t>
        </is>
      </c>
    </row>
    <row r="2407">
      <c r="A2407" s="37" t="inlineStr">
        <is>
          <t>S Jakir</t>
        </is>
      </c>
      <c r="B2407" s="37" t="inlineStr">
        <is>
          <t>Electronic City</t>
        </is>
      </c>
      <c r="C2407" s="37" t="inlineStr">
        <is>
          <t>GROW Green Jobs ( EV )</t>
        </is>
      </c>
      <c r="D2407" s="37" t="inlineStr">
        <is>
          <t>2026-07-22</t>
        </is>
      </c>
      <c r="E2407" s="37" t="inlineStr">
        <is>
          <t>Data Check</t>
        </is>
      </c>
      <c r="F2407" s="37" t="inlineStr">
        <is>
          <t>On the GROW portal, confirm all student profile details and batch updates are currect.</t>
        </is>
      </c>
      <c r="G2407" s="37" t="inlineStr">
        <is>
          <t>All is Well</t>
        </is>
      </c>
    </row>
    <row r="2408">
      <c r="A2408" s="37" t="inlineStr">
        <is>
          <t>S Jakir</t>
        </is>
      </c>
      <c r="B2408" s="37" t="inlineStr">
        <is>
          <t>Electronic City</t>
        </is>
      </c>
      <c r="C2408" s="37" t="inlineStr">
        <is>
          <t>GROW Green Jobs ( EV )</t>
        </is>
      </c>
      <c r="D2408" s="37" t="inlineStr">
        <is>
          <t>2026-07-22</t>
        </is>
      </c>
      <c r="E2408" s="37" t="inlineStr">
        <is>
          <t>Data Check</t>
        </is>
      </c>
      <c r="F2408" s="37" t="inlineStr">
        <is>
          <t>Verify placement data — randomly call 3–4 alumni placed in the last 3 months to confirm veracity (random selection is essential).</t>
        </is>
      </c>
      <c r="G2408" s="37" t="inlineStr">
        <is>
          <t>All is Well</t>
        </is>
      </c>
    </row>
    <row r="2409">
      <c r="A2409" s="37" t="inlineStr">
        <is>
          <t>S Jakir</t>
        </is>
      </c>
      <c r="B2409" s="37" t="inlineStr">
        <is>
          <t>Electronic City</t>
        </is>
      </c>
      <c r="C2409" s="37" t="inlineStr">
        <is>
          <t>GROW Green Jobs ( EV )</t>
        </is>
      </c>
      <c r="D2409" s="37" t="inlineStr">
        <is>
          <t>2026-07-22</t>
        </is>
      </c>
      <c r="E2409" s="37" t="inlineStr">
        <is>
          <t>Data Check</t>
        </is>
      </c>
      <c r="F2409" s="37" t="inlineStr">
        <is>
          <t>Verify retention — check the Alumni Hand-holding Format is being updated as designed.</t>
        </is>
      </c>
      <c r="G2409" s="37" t="inlineStr">
        <is>
          <t>Need Improvement</t>
        </is>
      </c>
    </row>
    <row r="2410">
      <c r="A2410" s="37" t="inlineStr">
        <is>
          <t>S Jakir</t>
        </is>
      </c>
      <c r="B2410" s="37" t="inlineStr">
        <is>
          <t>Electronic City</t>
        </is>
      </c>
      <c r="C2410" s="37" t="inlineStr">
        <is>
          <t>GROW Green Jobs ( EV )</t>
        </is>
      </c>
      <c r="D2410" s="37" t="inlineStr">
        <is>
          <t>2026-07-22</t>
        </is>
      </c>
      <c r="E2410" s="37" t="inlineStr">
        <is>
          <t>Data Check</t>
        </is>
      </c>
      <c r="F2410" s="37" t="inlineStr">
        <is>
          <t>Check aspirant Hostel Forms are properly filled or not.</t>
        </is>
      </c>
      <c r="G2410" s="37" t="inlineStr">
        <is>
          <t>All is Well</t>
        </is>
      </c>
    </row>
    <row r="2411">
      <c r="A2411" s="37" t="inlineStr">
        <is>
          <t>S Jakir</t>
        </is>
      </c>
      <c r="B2411" s="37" t="inlineStr">
        <is>
          <t>Electronic City</t>
        </is>
      </c>
      <c r="C2411" s="37" t="inlineStr">
        <is>
          <t>GROW Green Jobs ( EV )</t>
        </is>
      </c>
      <c r="D2411" s="37" t="inlineStr">
        <is>
          <t>2026-07-22</t>
        </is>
      </c>
      <c r="E2411" s="37" t="inlineStr">
        <is>
          <t>Infra Check</t>
        </is>
      </c>
      <c r="F2411" s="37" t="inlineStr">
        <is>
          <t>Check all CCTV cameras; if any are not working, ask the AH to troubleshoot or call the vendor.</t>
        </is>
      </c>
      <c r="G2411" s="37" t="inlineStr">
        <is>
          <t>All is Well</t>
        </is>
      </c>
    </row>
    <row r="2412">
      <c r="A2412" s="37" t="inlineStr">
        <is>
          <t>S Jakir</t>
        </is>
      </c>
      <c r="B2412" s="37" t="inlineStr">
        <is>
          <t>Electronic City</t>
        </is>
      </c>
      <c r="C2412" s="37" t="inlineStr">
        <is>
          <t>GROW Green Jobs ( EV )</t>
        </is>
      </c>
      <c r="D2412" s="37" t="inlineStr">
        <is>
          <t>2026-07-22</t>
        </is>
      </c>
      <c r="E2412" s="37" t="inlineStr">
        <is>
          <t>Infra Check</t>
        </is>
      </c>
      <c r="F2412" s="37" t="inlineStr">
        <is>
          <t>Check for any scrap material and get it cleared, with support of Admin</t>
        </is>
      </c>
      <c r="G2412" s="37" t="inlineStr">
        <is>
          <t>All is Well</t>
        </is>
      </c>
    </row>
    <row r="2413">
      <c r="A2413" s="37" t="inlineStr">
        <is>
          <t>S Jakir</t>
        </is>
      </c>
      <c r="B2413" s="37" t="inlineStr">
        <is>
          <t>Electronic City</t>
        </is>
      </c>
      <c r="C2413" s="37" t="inlineStr">
        <is>
          <t>GROW Green Jobs ( EV )</t>
        </is>
      </c>
      <c r="D2413" s="37" t="inlineStr">
        <is>
          <t>2026-07-22</t>
        </is>
      </c>
      <c r="E2413" s="37" t="inlineStr">
        <is>
          <t>Infra Check</t>
        </is>
      </c>
      <c r="F2413" s="37" t="inlineStr">
        <is>
          <t>Check for any pending infra repairs.</t>
        </is>
      </c>
      <c r="G2413" s="37" t="inlineStr">
        <is>
          <t>All is Well</t>
        </is>
      </c>
    </row>
    <row r="2414">
      <c r="A2414" s="37" t="inlineStr">
        <is>
          <t>S Jakir</t>
        </is>
      </c>
      <c r="B2414" s="37" t="inlineStr">
        <is>
          <t>Electronic City</t>
        </is>
      </c>
      <c r="C2414" s="37" t="inlineStr">
        <is>
          <t>GROW Green Jobs ( EV )</t>
        </is>
      </c>
      <c r="D2414" s="37" t="inlineStr">
        <is>
          <t>2026-07-22</t>
        </is>
      </c>
      <c r="E2414" s="37" t="inlineStr">
        <is>
          <t>Infra Check</t>
        </is>
      </c>
      <c r="F2414" s="37" t="inlineStr">
        <is>
          <t>Check whether any fire extinguishers have expired (check the needle and expiry date both).</t>
        </is>
      </c>
      <c r="G2414" s="37" t="inlineStr">
        <is>
          <t>All is Well</t>
        </is>
      </c>
    </row>
    <row r="2415">
      <c r="A2415" s="37" t="inlineStr">
        <is>
          <t>S Jakir</t>
        </is>
      </c>
      <c r="B2415" s="37" t="inlineStr">
        <is>
          <t>Electronic City</t>
        </is>
      </c>
      <c r="C2415" s="37" t="inlineStr">
        <is>
          <t>GROW Green Jobs ( EV )</t>
        </is>
      </c>
      <c r="D2415" s="37" t="inlineStr">
        <is>
          <t>2026-07-22</t>
        </is>
      </c>
      <c r="E2415" s="37" t="inlineStr">
        <is>
          <t>Infra Check</t>
        </is>
      </c>
      <c r="F2415" s="37" t="inlineStr">
        <is>
          <t>Check basic cleanliness of the washrooms and the centre.</t>
        </is>
      </c>
      <c r="G2415" s="37" t="inlineStr">
        <is>
          <t>All is Well</t>
        </is>
      </c>
    </row>
    <row r="2416">
      <c r="A2416" s="37" t="inlineStr">
        <is>
          <t>S Jakir</t>
        </is>
      </c>
      <c r="B2416" s="37" t="inlineStr">
        <is>
          <t>Electronic City</t>
        </is>
      </c>
      <c r="C2416" s="37" t="inlineStr">
        <is>
          <t>GROW Green Jobs ( EV )</t>
        </is>
      </c>
      <c r="D2416" s="37" t="inlineStr">
        <is>
          <t>2026-07-22</t>
        </is>
      </c>
      <c r="E2416" s="37" t="inlineStr">
        <is>
          <t>Infra Check</t>
        </is>
      </c>
      <c r="F2416" s="37" t="inlineStr">
        <is>
          <t>Confirm the correct program and partner logos are displayed.</t>
        </is>
      </c>
      <c r="G2416" s="37" t="inlineStr">
        <is>
          <t>All is Well</t>
        </is>
      </c>
    </row>
    <row r="2417">
      <c r="A2417" s="37" t="inlineStr">
        <is>
          <t>S Jakir</t>
        </is>
      </c>
      <c r="B2417" s="37" t="inlineStr">
        <is>
          <t>Electronic City</t>
        </is>
      </c>
      <c r="C2417" s="37" t="inlineStr">
        <is>
          <t>GROW Green Jobs ( EV )</t>
        </is>
      </c>
      <c r="D2417" s="37" t="inlineStr">
        <is>
          <t>2026-07-22</t>
        </is>
      </c>
      <c r="E2417" s="37" t="inlineStr">
        <is>
          <t>Infra Check</t>
        </is>
      </c>
      <c r="F2417" s="37" t="inlineStr">
        <is>
          <t>Check the status of digital infra — PCs, smartboards, tablets, laptops, etc.</t>
        </is>
      </c>
      <c r="G2417" s="37" t="inlineStr">
        <is>
          <t>All is Well</t>
        </is>
      </c>
    </row>
    <row r="2418">
      <c r="A2418" s="37" t="inlineStr">
        <is>
          <t>S Jakir</t>
        </is>
      </c>
      <c r="B2418" s="37" t="inlineStr">
        <is>
          <t>Electronic City</t>
        </is>
      </c>
      <c r="C2418" s="37" t="inlineStr">
        <is>
          <t>GROW Green Jobs ( EV )</t>
        </is>
      </c>
      <c r="D2418" s="37" t="inlineStr">
        <is>
          <t>2026-07-22</t>
        </is>
      </c>
      <c r="E2418" s="37" t="inlineStr">
        <is>
          <t>Infra Check</t>
        </is>
      </c>
      <c r="F2418" s="37" t="inlineStr">
        <is>
          <t>Make a quick hostel visit; have lunch there if possible to test the food quality.</t>
        </is>
      </c>
      <c r="G2418" s="37" t="inlineStr">
        <is>
          <t>All is Well</t>
        </is>
      </c>
    </row>
    <row r="2419">
      <c r="A2419" s="37" t="inlineStr">
        <is>
          <t>S Jakir</t>
        </is>
      </c>
      <c r="B2419" s="37" t="inlineStr">
        <is>
          <t>Electronic City</t>
        </is>
      </c>
      <c r="C2419" s="37" t="inlineStr">
        <is>
          <t>GROW Green Jobs ( EV )</t>
        </is>
      </c>
      <c r="D2419" s="37" t="inlineStr">
        <is>
          <t>2026-07-22</t>
        </is>
      </c>
      <c r="E2419" s="37" t="inlineStr">
        <is>
          <t>Process Check</t>
        </is>
      </c>
      <c r="F2419" s="37" t="inlineStr">
        <is>
          <t>Refer to the activity planner — check if any activities are delayed.</t>
        </is>
      </c>
      <c r="G2419" s="37" t="inlineStr">
        <is>
          <t>Need Improvement</t>
        </is>
      </c>
    </row>
    <row r="2420">
      <c r="A2420" s="37" t="inlineStr">
        <is>
          <t>S Jakir</t>
        </is>
      </c>
      <c r="B2420" s="37" t="inlineStr">
        <is>
          <t>Electronic City</t>
        </is>
      </c>
      <c r="C2420" s="37" t="inlineStr">
        <is>
          <t>GROW Green Jobs ( EV )</t>
        </is>
      </c>
      <c r="D2420" s="37" t="inlineStr">
        <is>
          <t>2026-07-22</t>
        </is>
      </c>
      <c r="E2420" s="37" t="inlineStr">
        <is>
          <t>Process Check</t>
        </is>
      </c>
      <c r="F2420" s="37" t="inlineStr">
        <is>
          <t>Check planning for the next batch-start announcement.</t>
        </is>
      </c>
      <c r="G2420" s="37" t="inlineStr">
        <is>
          <t>All is Well</t>
        </is>
      </c>
    </row>
    <row r="2421">
      <c r="A2421" s="37" t="inlineStr">
        <is>
          <t>S Jakir</t>
        </is>
      </c>
      <c r="B2421" s="37" t="inlineStr">
        <is>
          <t>Electronic City</t>
        </is>
      </c>
      <c r="C2421" s="37" t="inlineStr">
        <is>
          <t>GROW Green Jobs ( EV )</t>
        </is>
      </c>
      <c r="D2421" s="37" t="inlineStr">
        <is>
          <t>2026-07-22</t>
        </is>
      </c>
      <c r="E2421" s="37" t="inlineStr">
        <is>
          <t>Process Check</t>
        </is>
      </c>
      <c r="F2421" s="37" t="inlineStr">
        <is>
          <t>Check if any hiring is delayed and plan a resolution.</t>
        </is>
      </c>
      <c r="G2421" s="37" t="inlineStr">
        <is>
          <t>Need Improvement</t>
        </is>
      </c>
    </row>
    <row r="2422">
      <c r="A2422" s="37" t="inlineStr">
        <is>
          <t>S Jakir</t>
        </is>
      </c>
      <c r="B2422" s="37" t="inlineStr">
        <is>
          <t>Electronic City</t>
        </is>
      </c>
      <c r="C2422" s="37" t="inlineStr">
        <is>
          <t>GROW Green Jobs ( EV )</t>
        </is>
      </c>
      <c r="D2422" s="37" t="inlineStr">
        <is>
          <t>2026-07-22</t>
        </is>
      </c>
      <c r="E2422" s="37" t="inlineStr">
        <is>
          <t>Process Check</t>
        </is>
      </c>
      <c r="F2422" s="37" t="inlineStr">
        <is>
          <t>Check the CA’s diary — is CA guided daily by the AH during planning days?</t>
        </is>
      </c>
      <c r="G2422" s="37" t="inlineStr">
        <is>
          <t>All is Well</t>
        </is>
      </c>
    </row>
    <row r="2423">
      <c r="A2423" s="37" t="inlineStr">
        <is>
          <t>S Jakir</t>
        </is>
      </c>
      <c r="B2423" s="37" t="inlineStr">
        <is>
          <t>Electronic City</t>
        </is>
      </c>
      <c r="C2423" s="37" t="inlineStr">
        <is>
          <t>GROW Green Jobs ( EV )</t>
        </is>
      </c>
      <c r="D2423" s="37" t="inlineStr">
        <is>
          <t>2026-07-22</t>
        </is>
      </c>
      <c r="E2423" s="37" t="inlineStr">
        <is>
          <t>Process Check</t>
        </is>
      </c>
      <c r="F2423" s="37" t="inlineStr">
        <is>
          <t>Check the AH is regularly meeting employers (in person and online) and updating the centre’s Top 20 Employer format.</t>
        </is>
      </c>
      <c r="G2423" s="37" t="inlineStr">
        <is>
          <t>All is Well</t>
        </is>
      </c>
    </row>
    <row r="2424">
      <c r="A2424" s="37" t="inlineStr">
        <is>
          <t>S Jakir</t>
        </is>
      </c>
      <c r="B2424" s="37" t="inlineStr">
        <is>
          <t>Electronic City</t>
        </is>
      </c>
      <c r="C2424" s="37" t="inlineStr">
        <is>
          <t>GROW Green Jobs ( EV )</t>
        </is>
      </c>
      <c r="D2424" s="37" t="inlineStr">
        <is>
          <t>2026-07-22</t>
        </is>
      </c>
      <c r="E2424" s="37" t="inlineStr">
        <is>
          <t>Process Check</t>
        </is>
      </c>
      <c r="F2424" s="37" t="inlineStr">
        <is>
          <t>Confirm all new employers are registered on portal as per new process.</t>
        </is>
      </c>
      <c r="G2424" s="37" t="inlineStr">
        <is>
          <t>All is Well</t>
        </is>
      </c>
    </row>
    <row r="2425">
      <c r="A2425" s="37" t="inlineStr">
        <is>
          <t>S Jakir</t>
        </is>
      </c>
      <c r="B2425" s="37" t="inlineStr">
        <is>
          <t>Electronic City</t>
        </is>
      </c>
      <c r="C2425" s="37" t="inlineStr">
        <is>
          <t>GROW Green Jobs ( EV )</t>
        </is>
      </c>
      <c r="D2425" s="37" t="inlineStr">
        <is>
          <t>2026-07-22</t>
        </is>
      </c>
      <c r="E2425" s="37" t="inlineStr">
        <is>
          <t>Process Check</t>
        </is>
      </c>
      <c r="F2425" s="37" t="inlineStr">
        <is>
          <t>Confirm 100% of enrolled students undergone screening (for technical courses).</t>
        </is>
      </c>
      <c r="G2425" s="37" t="inlineStr">
        <is>
          <t>All is Well</t>
        </is>
      </c>
    </row>
    <row r="2426">
      <c r="A2426" s="37" t="inlineStr">
        <is>
          <t>S Jakir</t>
        </is>
      </c>
      <c r="B2426" s="37" t="inlineStr">
        <is>
          <t>Electronic City</t>
        </is>
      </c>
      <c r="C2426" s="37" t="inlineStr">
        <is>
          <t>GROW Green Jobs ( EV )</t>
        </is>
      </c>
      <c r="D2426" s="37" t="inlineStr">
        <is>
          <t>2026-07-22</t>
        </is>
      </c>
      <c r="E2426" s="37" t="inlineStr">
        <is>
          <t>Process Check</t>
        </is>
      </c>
      <c r="F2426" s="37" t="inlineStr">
        <is>
          <t>Confirm ESA is done (in GROW full ESA and in Technical courses relevant sections of Core Employability Part).</t>
        </is>
      </c>
      <c r="G2426" s="37" t="inlineStr">
        <is>
          <t>All is Well</t>
        </is>
      </c>
    </row>
    <row r="2427">
      <c r="A2427" s="37" t="inlineStr">
        <is>
          <t>S Jakir</t>
        </is>
      </c>
      <c r="B2427" s="37" t="inlineStr">
        <is>
          <t>Electronic City</t>
        </is>
      </c>
      <c r="C2427" s="37" t="inlineStr">
        <is>
          <t>GROW Green Jobs ( EV )</t>
        </is>
      </c>
      <c r="D2427" s="37" t="inlineStr">
        <is>
          <t>2026-07-22</t>
        </is>
      </c>
      <c r="E2427" s="37" t="inlineStr">
        <is>
          <t>Process Check</t>
        </is>
      </c>
      <c r="F2427" s="37" t="inlineStr">
        <is>
          <t>Check is AH giving capstone project in GROW Tech.</t>
        </is>
      </c>
      <c r="G2427" s="37" t="inlineStr">
        <is>
          <t>Not Applicable</t>
        </is>
      </c>
    </row>
    <row r="2428">
      <c r="A2428" s="37" t="inlineStr">
        <is>
          <t>S Jakir</t>
        </is>
      </c>
      <c r="B2428" s="37" t="inlineStr">
        <is>
          <t>Electronic City</t>
        </is>
      </c>
      <c r="C2428" s="37" t="inlineStr">
        <is>
          <t>GROW Green Jobs ( EV )</t>
        </is>
      </c>
      <c r="D2428" s="37" t="inlineStr">
        <is>
          <t>2026-07-22</t>
        </is>
      </c>
      <c r="E2428" s="37" t="inlineStr">
        <is>
          <t>Process Check</t>
        </is>
      </c>
      <c r="F2428" s="37" t="inlineStr">
        <is>
          <t>Check is AH planning OJT as per guidelines and proofs are collected for technical courses.</t>
        </is>
      </c>
      <c r="G2428" s="37" t="inlineStr">
        <is>
          <t>Need Improvement</t>
        </is>
      </c>
    </row>
    <row r="2429">
      <c r="A2429" s="37" t="inlineStr">
        <is>
          <t>S Jakir</t>
        </is>
      </c>
      <c r="B2429" s="37" t="inlineStr">
        <is>
          <t>Electronic City</t>
        </is>
      </c>
      <c r="C2429" s="37" t="inlineStr">
        <is>
          <t>GROW Green Jobs ( EV )</t>
        </is>
      </c>
      <c r="D2429" s="37" t="inlineStr">
        <is>
          <t>2026-07-22</t>
        </is>
      </c>
      <c r="E2429" s="37" t="inlineStr">
        <is>
          <t>Process Check</t>
        </is>
      </c>
      <c r="F2429" s="37" t="inlineStr">
        <is>
          <t>Check are trainers contacting aspirants to find reason for their absenteeism of more than 1 day.</t>
        </is>
      </c>
      <c r="G2429" s="37" t="inlineStr">
        <is>
          <t>All is Well</t>
        </is>
      </c>
    </row>
    <row r="2430">
      <c r="A2430" s="37" t="inlineStr">
        <is>
          <t>S Jakir</t>
        </is>
      </c>
      <c r="B2430" s="37" t="inlineStr">
        <is>
          <t>Electronic City</t>
        </is>
      </c>
      <c r="C2430" s="37" t="inlineStr">
        <is>
          <t>GROW Green Jobs ( EV )</t>
        </is>
      </c>
      <c r="D2430" s="37" t="inlineStr">
        <is>
          <t>2026-07-22</t>
        </is>
      </c>
      <c r="E2430" s="37" t="inlineStr">
        <is>
          <t>Process Check</t>
        </is>
      </c>
      <c r="F2430" s="37" t="inlineStr">
        <is>
          <t>Check the AH plans monthly enrolment and placement numbers by the 3rd of each month and shares them with second level managers.</t>
        </is>
      </c>
      <c r="G2430" s="37" t="inlineStr">
        <is>
          <t>All is Well</t>
        </is>
      </c>
    </row>
    <row r="2431">
      <c r="A2431" s="37" t="inlineStr">
        <is>
          <t>S Jakir</t>
        </is>
      </c>
      <c r="B2431" s="37" t="inlineStr">
        <is>
          <t>Electronic City</t>
        </is>
      </c>
      <c r="C2431" s="37" t="inlineStr">
        <is>
          <t>GROW Green Jobs ( EV )</t>
        </is>
      </c>
      <c r="D2431" s="37" t="inlineStr">
        <is>
          <t>2026-07-22</t>
        </is>
      </c>
      <c r="E2431" s="37" t="inlineStr">
        <is>
          <t>Process Check</t>
        </is>
      </c>
      <c r="F2431" s="37" t="inlineStr">
        <is>
          <t>Check trainers submit aspirants’ placement interest areas to the AH by the batch’s 25th day (in GROW).</t>
        </is>
      </c>
      <c r="G2431" s="37" t="inlineStr">
        <is>
          <t>Not Applicable</t>
        </is>
      </c>
    </row>
    <row r="2432">
      <c r="A2432" s="37" t="inlineStr">
        <is>
          <t>S Jakir</t>
        </is>
      </c>
      <c r="B2432" s="37" t="inlineStr">
        <is>
          <t>Electronic City</t>
        </is>
      </c>
      <c r="C2432" s="37" t="inlineStr">
        <is>
          <t>GROW Green Jobs ( EV )</t>
        </is>
      </c>
      <c r="D2432" s="37" t="inlineStr">
        <is>
          <t>2026-07-22</t>
        </is>
      </c>
      <c r="E2432" s="37" t="inlineStr">
        <is>
          <t>Process Check</t>
        </is>
      </c>
      <c r="F2432" s="37" t="inlineStr">
        <is>
          <t>Ckeck For technical programs, placement is done only in technical jobs,on which aspirants are trained and relevant emplyers are identified by 45th day.</t>
        </is>
      </c>
      <c r="G2432" s="37" t="inlineStr">
        <is>
          <t>All is Well</t>
        </is>
      </c>
    </row>
    <row r="2433">
      <c r="A2433" s="37" t="inlineStr">
        <is>
          <t>S Jakir</t>
        </is>
      </c>
      <c r="B2433" s="37" t="inlineStr">
        <is>
          <t>Electronic City</t>
        </is>
      </c>
      <c r="C2433" s="37" t="inlineStr">
        <is>
          <t>GROW Green Jobs ( EV )</t>
        </is>
      </c>
      <c r="D2433" s="37" t="inlineStr">
        <is>
          <t>2026-07-22</t>
        </is>
      </c>
      <c r="E2433" s="37" t="inlineStr">
        <is>
          <t>Process Check</t>
        </is>
      </c>
      <c r="F2433" s="37" t="inlineStr">
        <is>
          <t>Check the AH follows EP guidelines and minimum benchmark salary guidelines.</t>
        </is>
      </c>
      <c r="G2433" s="37" t="inlineStr">
        <is>
          <t>All is Well</t>
        </is>
      </c>
    </row>
    <row r="2434">
      <c r="A2434" s="37" t="inlineStr">
        <is>
          <t>S Jakir</t>
        </is>
      </c>
      <c r="B2434" s="37" t="inlineStr">
        <is>
          <t>Electronic City</t>
        </is>
      </c>
      <c r="C2434" s="37" t="inlineStr">
        <is>
          <t>GROW Green Jobs ( EV )</t>
        </is>
      </c>
      <c r="D2434" s="37" t="inlineStr">
        <is>
          <t>2026-07-22</t>
        </is>
      </c>
      <c r="E2434" s="37" t="inlineStr">
        <is>
          <t>Process Check</t>
        </is>
      </c>
      <c r="F2434" s="37" t="inlineStr">
        <is>
          <t>Check that AH is enrolling only the right traget group in the program -as per the defined target.</t>
        </is>
      </c>
      <c r="G2434" s="37" t="inlineStr">
        <is>
          <t>All is Well</t>
        </is>
      </c>
    </row>
    <row r="2435">
      <c r="A2435" s="37" t="inlineStr">
        <is>
          <t>S Jakir</t>
        </is>
      </c>
      <c r="B2435" s="37" t="inlineStr">
        <is>
          <t>Electronic City</t>
        </is>
      </c>
      <c r="C2435" s="37" t="inlineStr">
        <is>
          <t>GROW Green Jobs ( EV )</t>
        </is>
      </c>
      <c r="D2435" s="37" t="inlineStr">
        <is>
          <t>2026-07-22</t>
        </is>
      </c>
      <c r="E2435" s="37" t="inlineStr">
        <is>
          <t>Process Check</t>
        </is>
      </c>
      <c r="F2435" s="37" t="inlineStr">
        <is>
          <t>Check the AH announces the next batch-start date by the 3rd of the month on all notice boards — focus on Zero-Day start.</t>
        </is>
      </c>
      <c r="G2435" s="37" t="inlineStr">
        <is>
          <t>All is Well</t>
        </is>
      </c>
    </row>
    <row r="2436">
      <c r="A2436" s="37" t="inlineStr">
        <is>
          <t>S Jakir</t>
        </is>
      </c>
      <c r="B2436" s="37" t="inlineStr">
        <is>
          <t>Electronic City</t>
        </is>
      </c>
      <c r="C2436" s="37" t="inlineStr">
        <is>
          <t>GROW Green Jobs ( EV )</t>
        </is>
      </c>
      <c r="D2436" s="37" t="inlineStr">
        <is>
          <t>2026-07-22</t>
        </is>
      </c>
      <c r="E2436" s="37" t="inlineStr">
        <is>
          <t>Process Check</t>
        </is>
      </c>
      <c r="F2436" s="37" t="inlineStr">
        <is>
          <t>Check the Aspirant Mock Interview Score Tracker is updated after every mock interview in the L&amp;D Google Sheet.</t>
        </is>
      </c>
      <c r="G2436" s="37" t="inlineStr">
        <is>
          <t>All is Well</t>
        </is>
      </c>
    </row>
    <row r="2437">
      <c r="A2437" s="37" t="inlineStr">
        <is>
          <t>S Jakir</t>
        </is>
      </c>
      <c r="B2437" s="37" t="inlineStr">
        <is>
          <t>Electronic City</t>
        </is>
      </c>
      <c r="C2437" s="37" t="inlineStr">
        <is>
          <t>GROW Green Jobs ( EV )</t>
        </is>
      </c>
      <c r="D2437" s="37" t="inlineStr">
        <is>
          <t>2026-07-22</t>
        </is>
      </c>
      <c r="E2437" s="37" t="inlineStr">
        <is>
          <t>Process Check</t>
        </is>
      </c>
      <c r="F2437" s="37" t="inlineStr">
        <is>
          <t>Confirm NPS (Net Promoter Score) is collected at MSDF centres.</t>
        </is>
      </c>
      <c r="G2437" s="37" t="inlineStr">
        <is>
          <t>Not Applicable</t>
        </is>
      </c>
    </row>
    <row r="2438">
      <c r="A2438" s="37" t="inlineStr">
        <is>
          <t>S Jakir</t>
        </is>
      </c>
      <c r="B2438" s="37" t="inlineStr">
        <is>
          <t>Electronic City</t>
        </is>
      </c>
      <c r="C2438" s="37" t="inlineStr">
        <is>
          <t>GROW Green Jobs ( EV )</t>
        </is>
      </c>
      <c r="D2438" s="37" t="inlineStr">
        <is>
          <t>2026-07-22</t>
        </is>
      </c>
      <c r="E2438" s="37" t="inlineStr">
        <is>
          <t>Process Check</t>
        </is>
      </c>
      <c r="F2438" s="37" t="inlineStr">
        <is>
          <t>Confirm that QAE is collecting student feedback for every batch.</t>
        </is>
      </c>
      <c r="G2438" s="37" t="inlineStr">
        <is>
          <t>All is Well</t>
        </is>
      </c>
    </row>
    <row r="2439">
      <c r="A2439" s="37" t="inlineStr">
        <is>
          <t>S Jakir</t>
        </is>
      </c>
      <c r="B2439" s="37" t="inlineStr">
        <is>
          <t>Electronic City</t>
        </is>
      </c>
      <c r="C2439" s="37" t="inlineStr">
        <is>
          <t>GROW Green Jobs ( EV )</t>
        </is>
      </c>
      <c r="D2439" s="37" t="inlineStr">
        <is>
          <t>2026-07-22</t>
        </is>
      </c>
      <c r="E2439" s="37" t="inlineStr">
        <is>
          <t>Process Check</t>
        </is>
      </c>
      <c r="F2439" s="37" t="inlineStr">
        <is>
          <t>Confirm all centre teams have completed the GROW Manual Course on Skillfy — ask for achievement certificates.</t>
        </is>
      </c>
      <c r="G2439" s="37" t="inlineStr">
        <is>
          <t>All is Well</t>
        </is>
      </c>
    </row>
    <row r="2440">
      <c r="A2440" s="37" t="inlineStr">
        <is>
          <t>S Jakir</t>
        </is>
      </c>
      <c r="B2440" s="37" t="inlineStr">
        <is>
          <t>Electronic City</t>
        </is>
      </c>
      <c r="C2440" s="37" t="inlineStr">
        <is>
          <t>GROW Green Jobs ( EV )</t>
        </is>
      </c>
      <c r="D2440" s="37" t="inlineStr">
        <is>
          <t>2026-07-22</t>
        </is>
      </c>
      <c r="E2440" s="37" t="inlineStr">
        <is>
          <t>Process Check</t>
        </is>
      </c>
      <c r="F2440" s="37" t="inlineStr">
        <is>
          <t>Check AH holds a quality weekly team meeting, documents action points in the weekly meeting format, and sends you a photo on WhatsApp.</t>
        </is>
      </c>
      <c r="G2440" s="37" t="inlineStr">
        <is>
          <t>All is Well</t>
        </is>
      </c>
    </row>
    <row r="2441">
      <c r="A2441" s="37" t="inlineStr">
        <is>
          <t>S Jakir</t>
        </is>
      </c>
      <c r="B2441" s="37" t="inlineStr">
        <is>
          <t>Electronic City</t>
        </is>
      </c>
      <c r="C2441" s="37" t="inlineStr">
        <is>
          <t>GROW Green Jobs ( EV )</t>
        </is>
      </c>
      <c r="D2441" s="37" t="inlineStr">
        <is>
          <t>2026-07-22</t>
        </is>
      </c>
      <c r="E2441" s="37" t="inlineStr">
        <is>
          <t>Aspirant Interaction</t>
        </is>
      </c>
      <c r="F2441" s="37" t="inlineStr">
        <is>
          <t>Ask aspirants about the session plan — confirm training is happening as planned?</t>
        </is>
      </c>
      <c r="G2441" s="37" t="inlineStr">
        <is>
          <t>All is Well</t>
        </is>
      </c>
    </row>
    <row r="2442">
      <c r="A2442" s="37" t="inlineStr">
        <is>
          <t>S Jakir</t>
        </is>
      </c>
      <c r="B2442" s="37" t="inlineStr">
        <is>
          <t>Electronic City</t>
        </is>
      </c>
      <c r="C2442" s="37" t="inlineStr">
        <is>
          <t>GROW Green Jobs ( EV )</t>
        </is>
      </c>
      <c r="D2442" s="37" t="inlineStr">
        <is>
          <t>2026-07-22</t>
        </is>
      </c>
      <c r="E2442" s="37" t="inlineStr">
        <is>
          <t>Aspirant Interaction</t>
        </is>
      </c>
      <c r="F2442" s="37" t="inlineStr">
        <is>
          <t>Ask about the quality of Core Employability component delivery (technical centres) and who delivers it.</t>
        </is>
      </c>
      <c r="G2442" s="37" t="inlineStr">
        <is>
          <t>All is Well</t>
        </is>
      </c>
    </row>
    <row r="2443">
      <c r="A2443" s="37" t="inlineStr">
        <is>
          <t>S Jakir</t>
        </is>
      </c>
      <c r="B2443" s="37" t="inlineStr">
        <is>
          <t>Electronic City</t>
        </is>
      </c>
      <c r="C2443" s="37" t="inlineStr">
        <is>
          <t>GROW Green Jobs ( EV )</t>
        </is>
      </c>
      <c r="D2443" s="37" t="inlineStr">
        <is>
          <t>2026-07-22</t>
        </is>
      </c>
      <c r="E2443" s="37" t="inlineStr">
        <is>
          <t>Aspirant Interaction</t>
        </is>
      </c>
      <c r="F2443" s="37" t="inlineStr">
        <is>
          <t>Ask whether they are aware of the referral scheme?</t>
        </is>
      </c>
      <c r="G2443" s="37" t="inlineStr">
        <is>
          <t>All is Well</t>
        </is>
      </c>
    </row>
    <row r="2444">
      <c r="A2444" s="37" t="inlineStr">
        <is>
          <t>S Jakir</t>
        </is>
      </c>
      <c r="B2444" s="37" t="inlineStr">
        <is>
          <t>Electronic City</t>
        </is>
      </c>
      <c r="C2444" s="37" t="inlineStr">
        <is>
          <t>GROW Green Jobs ( EV )</t>
        </is>
      </c>
      <c r="D2444" s="37" t="inlineStr">
        <is>
          <t>2026-07-22</t>
        </is>
      </c>
      <c r="E2444" s="37" t="inlineStr">
        <is>
          <t>Aspirant Interaction</t>
        </is>
      </c>
      <c r="F2444" s="37" t="inlineStr">
        <is>
          <t>Ask whether the AH explained the importance of the offer letter and sharing it with us once received for reporting purposes?</t>
        </is>
      </c>
      <c r="G2444" s="37" t="inlineStr">
        <is>
          <t>All is Well</t>
        </is>
      </c>
    </row>
    <row r="2445">
      <c r="A2445" s="37" t="inlineStr">
        <is>
          <t>S Jakir</t>
        </is>
      </c>
      <c r="B2445" s="37" t="inlineStr">
        <is>
          <t>Electronic City</t>
        </is>
      </c>
      <c r="C2445" s="37" t="inlineStr">
        <is>
          <t>GROW Green Jobs ( EV )</t>
        </is>
      </c>
      <c r="D2445" s="37" t="inlineStr">
        <is>
          <t>2026-07-22</t>
        </is>
      </c>
      <c r="E2445" s="37" t="inlineStr">
        <is>
          <t>Aspirant Interaction</t>
        </is>
      </c>
      <c r="F2445" s="37" t="inlineStr">
        <is>
          <t>Ask how many are not interested in jobs — and if so, why they enrolled in the programme?</t>
        </is>
      </c>
      <c r="G2445" s="37" t="inlineStr">
        <is>
          <t>All is Well</t>
        </is>
      </c>
    </row>
    <row r="2446">
      <c r="A2446" s="37" t="inlineStr">
        <is>
          <t>S Jakir</t>
        </is>
      </c>
      <c r="B2446" s="37" t="inlineStr">
        <is>
          <t>Electronic City</t>
        </is>
      </c>
      <c r="C2446" s="37" t="inlineStr">
        <is>
          <t>GROW Green Jobs ( EV )</t>
        </is>
      </c>
      <c r="D2446" s="37" t="inlineStr">
        <is>
          <t>2026-07-22</t>
        </is>
      </c>
      <c r="E2446" s="37" t="inlineStr">
        <is>
          <t>Aspirant Interaction</t>
        </is>
      </c>
      <c r="F2446" s="37" t="inlineStr">
        <is>
          <t>Ask whether they were told the kind of job they would get during counselling?</t>
        </is>
      </c>
      <c r="G2446" s="37" t="inlineStr">
        <is>
          <t>All is Well</t>
        </is>
      </c>
    </row>
    <row r="2447">
      <c r="A2447" s="37" t="inlineStr">
        <is>
          <t>S Jakir</t>
        </is>
      </c>
      <c r="B2447" s="37" t="inlineStr">
        <is>
          <t>Electronic City</t>
        </is>
      </c>
      <c r="C2447" s="37" t="inlineStr">
        <is>
          <t>GROW Green Jobs ( EV )</t>
        </is>
      </c>
      <c r="D2447" s="37" t="inlineStr">
        <is>
          <t>2026-07-22</t>
        </is>
      </c>
      <c r="E2447" s="37" t="inlineStr">
        <is>
          <t>Aspirant Interaction</t>
        </is>
      </c>
      <c r="F2447" s="37" t="inlineStr">
        <is>
          <t>Ask whether they have been given LMS access?</t>
        </is>
      </c>
      <c r="G2447" s="37" t="inlineStr">
        <is>
          <t>All is Well</t>
        </is>
      </c>
    </row>
    <row r="2448">
      <c r="A2448" s="37" t="inlineStr">
        <is>
          <t>S Jakir</t>
        </is>
      </c>
      <c r="B2448" s="37" t="inlineStr">
        <is>
          <t>Electronic City</t>
        </is>
      </c>
      <c r="C2448" s="37" t="inlineStr">
        <is>
          <t>GROW Green Jobs ( EV )</t>
        </is>
      </c>
      <c r="D2448" s="37" t="inlineStr">
        <is>
          <t>2026-07-22</t>
        </is>
      </c>
      <c r="E2448" s="37" t="inlineStr">
        <is>
          <t>Aspirant Interaction</t>
        </is>
      </c>
      <c r="F2448" s="37" t="inlineStr">
        <is>
          <t>Ask whether anyone asked them for money for training or placement?</t>
        </is>
      </c>
      <c r="G2448" s="37" t="inlineStr">
        <is>
          <t>All is Well</t>
        </is>
      </c>
    </row>
    <row r="2449">
      <c r="A2449" s="37" t="inlineStr">
        <is>
          <t>S Jakir</t>
        </is>
      </c>
      <c r="B2449" s="37" t="inlineStr">
        <is>
          <t>Electronic City</t>
        </is>
      </c>
      <c r="C2449" s="37" t="inlineStr">
        <is>
          <t>GROW Green Jobs ( EV )</t>
        </is>
      </c>
      <c r="D2449" s="37" t="inlineStr">
        <is>
          <t>2026-07-22</t>
        </is>
      </c>
      <c r="E2449" s="37" t="inlineStr">
        <is>
          <t>Aspirant Interaction</t>
        </is>
      </c>
      <c r="F2449" s="37" t="inlineStr">
        <is>
          <t>Ask to show their mobile phones — are they enrolled on Skillfy? If not, get them enrolled and give written feedback to trainers and the AH in your presence.</t>
        </is>
      </c>
      <c r="G2449" s="37" t="inlineStr">
        <is>
          <t>All is Well</t>
        </is>
      </c>
    </row>
    <row r="2450">
      <c r="A2450" s="37" t="inlineStr">
        <is>
          <t>S Jakir</t>
        </is>
      </c>
      <c r="B2450" s="37" t="inlineStr">
        <is>
          <t>Electronic City</t>
        </is>
      </c>
      <c r="C2450" s="37" t="inlineStr">
        <is>
          <t>GROW Green Jobs ( EV )</t>
        </is>
      </c>
      <c r="D2450" s="37" t="inlineStr">
        <is>
          <t>2026-07-22</t>
        </is>
      </c>
      <c r="E2450" s="37" t="inlineStr">
        <is>
          <t>Aspirant Interaction</t>
        </is>
      </c>
      <c r="F2450" s="37" t="inlineStr">
        <is>
          <t>Ask about the quality of the hostel and any issues they face.</t>
        </is>
      </c>
      <c r="G2450" s="37" t="inlineStr">
        <is>
          <t>All is Well</t>
        </is>
      </c>
    </row>
    <row r="2451">
      <c r="A2451" s="37" t="inlineStr">
        <is>
          <t>S Jakir</t>
        </is>
      </c>
      <c r="B2451" s="37" t="inlineStr">
        <is>
          <t>Electronic City</t>
        </is>
      </c>
      <c r="C2451" s="37" t="inlineStr">
        <is>
          <t>GROW Green Jobs ( EV )</t>
        </is>
      </c>
      <c r="D2451" s="37" t="inlineStr">
        <is>
          <t>2026-07-22</t>
        </is>
      </c>
      <c r="E2451" s="37" t="inlineStr">
        <is>
          <t>Aspirant Interaction</t>
        </is>
      </c>
      <c r="F2451" s="37" t="inlineStr">
        <is>
          <t>Ask a few relevant screening questions to support the 10th-day report and remove non-serious candidates, explaining to them the reasons.</t>
        </is>
      </c>
      <c r="G2451" s="37" t="inlineStr">
        <is>
          <t>All is Well</t>
        </is>
      </c>
    </row>
    <row r="2452">
      <c r="A2452" s="37" t="inlineStr">
        <is>
          <t>S Jakir</t>
        </is>
      </c>
      <c r="B2452" s="37" t="inlineStr">
        <is>
          <t xml:space="preserve">Bommanahalli </t>
        </is>
      </c>
      <c r="C2452" s="37" t="inlineStr">
        <is>
          <t>GROW Youth</t>
        </is>
      </c>
      <c r="D2452" s="37" t="inlineStr">
        <is>
          <t>2026-07-22</t>
        </is>
      </c>
      <c r="E2452" s="37" t="inlineStr">
        <is>
          <t>Data Check</t>
        </is>
      </c>
      <c r="F2452" s="37" t="inlineStr">
        <is>
          <t>Reach the centre on time (unannounced) — confirm the centre opened on time.</t>
        </is>
      </c>
      <c r="G2452" s="37" t="inlineStr">
        <is>
          <t>Need Improvement</t>
        </is>
      </c>
    </row>
    <row r="2453">
      <c r="A2453" s="37" t="inlineStr">
        <is>
          <t>S Jakir</t>
        </is>
      </c>
      <c r="B2453" s="37" t="inlineStr">
        <is>
          <t xml:space="preserve">Bommanahalli </t>
        </is>
      </c>
      <c r="C2453" s="37" t="inlineStr">
        <is>
          <t>GROW Youth</t>
        </is>
      </c>
      <c r="D2453" s="37" t="inlineStr">
        <is>
          <t>2026-07-22</t>
        </is>
      </c>
      <c r="E2453" s="37" t="inlineStr">
        <is>
          <t>Data Check</t>
        </is>
      </c>
      <c r="F2453" s="37" t="inlineStr">
        <is>
          <t>Check the staff attendance register, the Google Sheet, and geo-tagged photos for aspirants.</t>
        </is>
      </c>
      <c r="G2453" s="37" t="inlineStr">
        <is>
          <t>Need Improvement</t>
        </is>
      </c>
    </row>
    <row r="2454">
      <c r="A2454" s="37" t="inlineStr">
        <is>
          <t>S Jakir</t>
        </is>
      </c>
      <c r="B2454" s="37" t="inlineStr">
        <is>
          <t xml:space="preserve">Bommanahalli </t>
        </is>
      </c>
      <c r="C2454" s="37" t="inlineStr">
        <is>
          <t>GROW Youth</t>
        </is>
      </c>
      <c r="D2454" s="37" t="inlineStr">
        <is>
          <t>2026-07-22</t>
        </is>
      </c>
      <c r="E2454" s="37" t="inlineStr">
        <is>
          <t>Data Check</t>
        </is>
      </c>
      <c r="F2454" s="37" t="inlineStr">
        <is>
          <t>Check Counselling and Screening Forms of recently started batches.</t>
        </is>
      </c>
      <c r="G2454" s="37" t="inlineStr">
        <is>
          <t>All is Well</t>
        </is>
      </c>
    </row>
    <row r="2455">
      <c r="A2455" s="37" t="inlineStr">
        <is>
          <t>S Jakir</t>
        </is>
      </c>
      <c r="B2455" s="37" t="inlineStr">
        <is>
          <t xml:space="preserve">Bommanahalli </t>
        </is>
      </c>
      <c r="C2455" s="37" t="inlineStr">
        <is>
          <t>GROW Youth</t>
        </is>
      </c>
      <c r="D2455" s="37" t="inlineStr">
        <is>
          <t>2026-07-22</t>
        </is>
      </c>
      <c r="E2455" s="37" t="inlineStr">
        <is>
          <t>Data Check</t>
        </is>
      </c>
      <c r="F2455" s="37" t="inlineStr">
        <is>
          <t>Check Aspirant Registration Forms and related documents.</t>
        </is>
      </c>
      <c r="G2455" s="37" t="inlineStr">
        <is>
          <t>All is Well</t>
        </is>
      </c>
    </row>
    <row r="2456">
      <c r="A2456" s="37" t="inlineStr">
        <is>
          <t>S Jakir</t>
        </is>
      </c>
      <c r="B2456" s="37" t="inlineStr">
        <is>
          <t xml:space="preserve">Bommanahalli </t>
        </is>
      </c>
      <c r="C2456" s="37" t="inlineStr">
        <is>
          <t>GROW Youth</t>
        </is>
      </c>
      <c r="D2456" s="37" t="inlineStr">
        <is>
          <t>2026-07-22</t>
        </is>
      </c>
      <c r="E2456" s="37" t="inlineStr">
        <is>
          <t>Data Check</t>
        </is>
      </c>
      <c r="F2456" s="37" t="inlineStr">
        <is>
          <t>On the GROW portal, confirm all student profile details and batch updates are currect.</t>
        </is>
      </c>
      <c r="G2456" s="37" t="inlineStr">
        <is>
          <t>All is Well</t>
        </is>
      </c>
    </row>
    <row r="2457">
      <c r="A2457" s="37" t="inlineStr">
        <is>
          <t>S Jakir</t>
        </is>
      </c>
      <c r="B2457" s="37" t="inlineStr">
        <is>
          <t xml:space="preserve">Bommanahalli </t>
        </is>
      </c>
      <c r="C2457" s="37" t="inlineStr">
        <is>
          <t>GROW Youth</t>
        </is>
      </c>
      <c r="D2457" s="37" t="inlineStr">
        <is>
          <t>2026-07-22</t>
        </is>
      </c>
      <c r="E2457" s="37" t="inlineStr">
        <is>
          <t>Data Check</t>
        </is>
      </c>
      <c r="F2457" s="37" t="inlineStr">
        <is>
          <t>Verify placement data — randomly call 3–4 alumni placed in the last 3 months to confirm veracity (random selection is essential).</t>
        </is>
      </c>
      <c r="G2457" s="37" t="inlineStr">
        <is>
          <t>All is Well</t>
        </is>
      </c>
    </row>
    <row r="2458">
      <c r="A2458" s="37" t="inlineStr">
        <is>
          <t>S Jakir</t>
        </is>
      </c>
      <c r="B2458" s="37" t="inlineStr">
        <is>
          <t xml:space="preserve">Bommanahalli </t>
        </is>
      </c>
      <c r="C2458" s="37" t="inlineStr">
        <is>
          <t>GROW Youth</t>
        </is>
      </c>
      <c r="D2458" s="37" t="inlineStr">
        <is>
          <t>2026-07-22</t>
        </is>
      </c>
      <c r="E2458" s="37" t="inlineStr">
        <is>
          <t>Data Check</t>
        </is>
      </c>
      <c r="F2458" s="37" t="inlineStr">
        <is>
          <t>Verify retention — check the Alumni Hand-holding Format is being updated as designed.</t>
        </is>
      </c>
      <c r="G2458" s="37" t="inlineStr">
        <is>
          <t>Need Improvement</t>
        </is>
      </c>
    </row>
    <row r="2459">
      <c r="A2459" s="37" t="inlineStr">
        <is>
          <t>S Jakir</t>
        </is>
      </c>
      <c r="B2459" s="37" t="inlineStr">
        <is>
          <t xml:space="preserve">Bommanahalli </t>
        </is>
      </c>
      <c r="C2459" s="37" t="inlineStr">
        <is>
          <t>GROW Youth</t>
        </is>
      </c>
      <c r="D2459" s="37" t="inlineStr">
        <is>
          <t>2026-07-22</t>
        </is>
      </c>
      <c r="E2459" s="37" t="inlineStr">
        <is>
          <t>Data Check</t>
        </is>
      </c>
      <c r="F2459" s="37" t="inlineStr">
        <is>
          <t>Check aspirant Hostel Forms are properly filled or not.</t>
        </is>
      </c>
      <c r="G2459" s="37" t="inlineStr">
        <is>
          <t>Not Applicable</t>
        </is>
      </c>
    </row>
    <row r="2460">
      <c r="A2460" s="37" t="inlineStr">
        <is>
          <t>S Jakir</t>
        </is>
      </c>
      <c r="B2460" s="37" t="inlineStr">
        <is>
          <t xml:space="preserve">Bommanahalli </t>
        </is>
      </c>
      <c r="C2460" s="37" t="inlineStr">
        <is>
          <t>GROW Youth</t>
        </is>
      </c>
      <c r="D2460" s="37" t="inlineStr">
        <is>
          <t>2026-07-22</t>
        </is>
      </c>
      <c r="E2460" s="37" t="inlineStr">
        <is>
          <t>Infra Check</t>
        </is>
      </c>
      <c r="F2460" s="37" t="inlineStr">
        <is>
          <t>Check all CCTV cameras; if any are not working, ask the AH to troubleshoot or call the vendor.</t>
        </is>
      </c>
      <c r="G2460" s="37" t="inlineStr">
        <is>
          <t>Need Improvement</t>
        </is>
      </c>
    </row>
    <row r="2461">
      <c r="A2461" s="37" t="inlineStr">
        <is>
          <t>S Jakir</t>
        </is>
      </c>
      <c r="B2461" s="37" t="inlineStr">
        <is>
          <t xml:space="preserve">Bommanahalli </t>
        </is>
      </c>
      <c r="C2461" s="37" t="inlineStr">
        <is>
          <t>GROW Youth</t>
        </is>
      </c>
      <c r="D2461" s="37" t="inlineStr">
        <is>
          <t>2026-07-22</t>
        </is>
      </c>
      <c r="E2461" s="37" t="inlineStr">
        <is>
          <t>Infra Check</t>
        </is>
      </c>
      <c r="F2461" s="37" t="inlineStr">
        <is>
          <t>Check for any scrap material and get it cleared, with support of Admin</t>
        </is>
      </c>
      <c r="G2461" s="37" t="inlineStr">
        <is>
          <t>Need Improvement</t>
        </is>
      </c>
    </row>
    <row r="2462">
      <c r="A2462" s="37" t="inlineStr">
        <is>
          <t>S Jakir</t>
        </is>
      </c>
      <c r="B2462" s="37" t="inlineStr">
        <is>
          <t xml:space="preserve">Bommanahalli </t>
        </is>
      </c>
      <c r="C2462" s="37" t="inlineStr">
        <is>
          <t>GROW Youth</t>
        </is>
      </c>
      <c r="D2462" s="37" t="inlineStr">
        <is>
          <t>2026-07-22</t>
        </is>
      </c>
      <c r="E2462" s="37" t="inlineStr">
        <is>
          <t>Infra Check</t>
        </is>
      </c>
      <c r="F2462" s="37" t="inlineStr">
        <is>
          <t>Check for any pending infra repairs.</t>
        </is>
      </c>
      <c r="G2462" s="37" t="inlineStr">
        <is>
          <t>Need Improvement</t>
        </is>
      </c>
    </row>
    <row r="2463">
      <c r="A2463" s="37" t="inlineStr">
        <is>
          <t>S Jakir</t>
        </is>
      </c>
      <c r="B2463" s="37" t="inlineStr">
        <is>
          <t xml:space="preserve">Bommanahalli </t>
        </is>
      </c>
      <c r="C2463" s="37" t="inlineStr">
        <is>
          <t>GROW Youth</t>
        </is>
      </c>
      <c r="D2463" s="37" t="inlineStr">
        <is>
          <t>2026-07-22</t>
        </is>
      </c>
      <c r="E2463" s="37" t="inlineStr">
        <is>
          <t>Infra Check</t>
        </is>
      </c>
      <c r="F2463" s="37" t="inlineStr">
        <is>
          <t>Check whether any fire extinguishers have expired (check the needle and expiry date both).</t>
        </is>
      </c>
      <c r="G2463" s="37" t="inlineStr">
        <is>
          <t>All is Well</t>
        </is>
      </c>
    </row>
    <row r="2464">
      <c r="A2464" s="37" t="inlineStr">
        <is>
          <t>S Jakir</t>
        </is>
      </c>
      <c r="B2464" s="37" t="inlineStr">
        <is>
          <t xml:space="preserve">Bommanahalli </t>
        </is>
      </c>
      <c r="C2464" s="37" t="inlineStr">
        <is>
          <t>GROW Youth</t>
        </is>
      </c>
      <c r="D2464" s="37" t="inlineStr">
        <is>
          <t>2026-07-22</t>
        </is>
      </c>
      <c r="E2464" s="37" t="inlineStr">
        <is>
          <t>Infra Check</t>
        </is>
      </c>
      <c r="F2464" s="37" t="inlineStr">
        <is>
          <t>Check basic cleanliness of the washrooms and the centre.</t>
        </is>
      </c>
      <c r="G2464" s="37" t="inlineStr">
        <is>
          <t>All is Well</t>
        </is>
      </c>
    </row>
    <row r="2465">
      <c r="A2465" s="37" t="inlineStr">
        <is>
          <t>S Jakir</t>
        </is>
      </c>
      <c r="B2465" s="37" t="inlineStr">
        <is>
          <t xml:space="preserve">Bommanahalli </t>
        </is>
      </c>
      <c r="C2465" s="37" t="inlineStr">
        <is>
          <t>GROW Youth</t>
        </is>
      </c>
      <c r="D2465" s="37" t="inlineStr">
        <is>
          <t>2026-07-22</t>
        </is>
      </c>
      <c r="E2465" s="37" t="inlineStr">
        <is>
          <t>Infra Check</t>
        </is>
      </c>
      <c r="F2465" s="37" t="inlineStr">
        <is>
          <t>Confirm the correct program and partner logos are displayed.</t>
        </is>
      </c>
      <c r="G2465" s="37" t="inlineStr">
        <is>
          <t>All is Well</t>
        </is>
      </c>
    </row>
    <row r="2466">
      <c r="A2466" s="37" t="inlineStr">
        <is>
          <t>S Jakir</t>
        </is>
      </c>
      <c r="B2466" s="37" t="inlineStr">
        <is>
          <t xml:space="preserve">Bommanahalli </t>
        </is>
      </c>
      <c r="C2466" s="37" t="inlineStr">
        <is>
          <t>GROW Youth</t>
        </is>
      </c>
      <c r="D2466" s="37" t="inlineStr">
        <is>
          <t>2026-07-22</t>
        </is>
      </c>
      <c r="E2466" s="37" t="inlineStr">
        <is>
          <t>Infra Check</t>
        </is>
      </c>
      <c r="F2466" s="37" t="inlineStr">
        <is>
          <t>Check the status of digital infra — PCs, smartboards, tablets, laptops, etc.</t>
        </is>
      </c>
      <c r="G2466" s="37" t="inlineStr">
        <is>
          <t>Need Improvement</t>
        </is>
      </c>
    </row>
    <row r="2467">
      <c r="A2467" s="37" t="inlineStr">
        <is>
          <t>S Jakir</t>
        </is>
      </c>
      <c r="B2467" s="37" t="inlineStr">
        <is>
          <t xml:space="preserve">Bommanahalli </t>
        </is>
      </c>
      <c r="C2467" s="37" t="inlineStr">
        <is>
          <t>GROW Youth</t>
        </is>
      </c>
      <c r="D2467" s="37" t="inlineStr">
        <is>
          <t>2026-07-22</t>
        </is>
      </c>
      <c r="E2467" s="37" t="inlineStr">
        <is>
          <t>Infra Check</t>
        </is>
      </c>
      <c r="F2467" s="37" t="inlineStr">
        <is>
          <t>Make a quick hostel visit; have lunch there if possible to test the food quality.</t>
        </is>
      </c>
      <c r="G2467" s="37" t="inlineStr">
        <is>
          <t>Not Applicable</t>
        </is>
      </c>
    </row>
    <row r="2468">
      <c r="A2468" s="37" t="inlineStr">
        <is>
          <t>S Jakir</t>
        </is>
      </c>
      <c r="B2468" s="37" t="inlineStr">
        <is>
          <t xml:space="preserve">Bommanahalli </t>
        </is>
      </c>
      <c r="C2468" s="37" t="inlineStr">
        <is>
          <t>GROW Youth</t>
        </is>
      </c>
      <c r="D2468" s="37" t="inlineStr">
        <is>
          <t>2026-07-22</t>
        </is>
      </c>
      <c r="E2468" s="37" t="inlineStr">
        <is>
          <t>Process Check</t>
        </is>
      </c>
      <c r="F2468" s="37" t="inlineStr">
        <is>
          <t>Refer to the activity planner — check if any activities are delayed.</t>
        </is>
      </c>
      <c r="G2468" s="37" t="inlineStr">
        <is>
          <t>Need Improvement</t>
        </is>
      </c>
    </row>
    <row r="2469">
      <c r="A2469" s="37" t="inlineStr">
        <is>
          <t>S Jakir</t>
        </is>
      </c>
      <c r="B2469" s="37" t="inlineStr">
        <is>
          <t xml:space="preserve">Bommanahalli </t>
        </is>
      </c>
      <c r="C2469" s="37" t="inlineStr">
        <is>
          <t>GROW Youth</t>
        </is>
      </c>
      <c r="D2469" s="37" t="inlineStr">
        <is>
          <t>2026-07-22</t>
        </is>
      </c>
      <c r="E2469" s="37" t="inlineStr">
        <is>
          <t>Process Check</t>
        </is>
      </c>
      <c r="F2469" s="37" t="inlineStr">
        <is>
          <t>Check planning for the next batch-start announcement.</t>
        </is>
      </c>
      <c r="G2469" s="37" t="inlineStr">
        <is>
          <t>All is Well</t>
        </is>
      </c>
    </row>
    <row r="2470">
      <c r="A2470" s="37" t="inlineStr">
        <is>
          <t>S Jakir</t>
        </is>
      </c>
      <c r="B2470" s="37" t="inlineStr">
        <is>
          <t xml:space="preserve">Bommanahalli </t>
        </is>
      </c>
      <c r="C2470" s="37" t="inlineStr">
        <is>
          <t>GROW Youth</t>
        </is>
      </c>
      <c r="D2470" s="37" t="inlineStr">
        <is>
          <t>2026-07-22</t>
        </is>
      </c>
      <c r="E2470" s="37" t="inlineStr">
        <is>
          <t>Process Check</t>
        </is>
      </c>
      <c r="F2470" s="37" t="inlineStr">
        <is>
          <t>Check if any hiring is delayed and plan a resolution.</t>
        </is>
      </c>
      <c r="G2470" s="37" t="inlineStr">
        <is>
          <t>All is Well</t>
        </is>
      </c>
    </row>
    <row r="2471">
      <c r="A2471" s="37" t="inlineStr">
        <is>
          <t>S Jakir</t>
        </is>
      </c>
      <c r="B2471" s="37" t="inlineStr">
        <is>
          <t xml:space="preserve">Bommanahalli </t>
        </is>
      </c>
      <c r="C2471" s="37" t="inlineStr">
        <is>
          <t>GROW Youth</t>
        </is>
      </c>
      <c r="D2471" s="37" t="inlineStr">
        <is>
          <t>2026-07-22</t>
        </is>
      </c>
      <c r="E2471" s="37" t="inlineStr">
        <is>
          <t>Process Check</t>
        </is>
      </c>
      <c r="F2471" s="37" t="inlineStr">
        <is>
          <t>Check the CA’s diary — is CA guided daily by the AH during planning days?</t>
        </is>
      </c>
      <c r="G2471" s="37" t="inlineStr">
        <is>
          <t>All is Well</t>
        </is>
      </c>
    </row>
    <row r="2472">
      <c r="A2472" s="37" t="inlineStr">
        <is>
          <t>S Jakir</t>
        </is>
      </c>
      <c r="B2472" s="37" t="inlineStr">
        <is>
          <t xml:space="preserve">Bommanahalli </t>
        </is>
      </c>
      <c r="C2472" s="37" t="inlineStr">
        <is>
          <t>GROW Youth</t>
        </is>
      </c>
      <c r="D2472" s="37" t="inlineStr">
        <is>
          <t>2026-07-22</t>
        </is>
      </c>
      <c r="E2472" s="37" t="inlineStr">
        <is>
          <t>Process Check</t>
        </is>
      </c>
      <c r="F2472" s="37" t="inlineStr">
        <is>
          <t>Check the AH is regularly meeting employers (in person and online) and updating the centre’s Top 20 Employer format.</t>
        </is>
      </c>
      <c r="G2472" s="37" t="inlineStr">
        <is>
          <t>All is Well</t>
        </is>
      </c>
    </row>
    <row r="2473">
      <c r="A2473" s="37" t="inlineStr">
        <is>
          <t>S Jakir</t>
        </is>
      </c>
      <c r="B2473" s="37" t="inlineStr">
        <is>
          <t xml:space="preserve">Bommanahalli </t>
        </is>
      </c>
      <c r="C2473" s="37" t="inlineStr">
        <is>
          <t>GROW Youth</t>
        </is>
      </c>
      <c r="D2473" s="37" t="inlineStr">
        <is>
          <t>2026-07-22</t>
        </is>
      </c>
      <c r="E2473" s="37" t="inlineStr">
        <is>
          <t>Process Check</t>
        </is>
      </c>
      <c r="F2473" s="37" t="inlineStr">
        <is>
          <t>Confirm all new employers are registered on portal as per new process.</t>
        </is>
      </c>
      <c r="G2473" s="37" t="inlineStr">
        <is>
          <t>All is Well</t>
        </is>
      </c>
    </row>
    <row r="2474">
      <c r="A2474" s="37" t="inlineStr">
        <is>
          <t>S Jakir</t>
        </is>
      </c>
      <c r="B2474" s="37" t="inlineStr">
        <is>
          <t xml:space="preserve">Bommanahalli </t>
        </is>
      </c>
      <c r="C2474" s="37" t="inlineStr">
        <is>
          <t>GROW Youth</t>
        </is>
      </c>
      <c r="D2474" s="37" t="inlineStr">
        <is>
          <t>2026-07-22</t>
        </is>
      </c>
      <c r="E2474" s="37" t="inlineStr">
        <is>
          <t>Process Check</t>
        </is>
      </c>
      <c r="F2474" s="37" t="inlineStr">
        <is>
          <t>Confirm 100% of enrolled students undergone screening (for technical courses).</t>
        </is>
      </c>
      <c r="G2474" s="37" t="inlineStr">
        <is>
          <t>All is Well</t>
        </is>
      </c>
    </row>
    <row r="2475">
      <c r="A2475" s="37" t="inlineStr">
        <is>
          <t>S Jakir</t>
        </is>
      </c>
      <c r="B2475" s="37" t="inlineStr">
        <is>
          <t xml:space="preserve">Bommanahalli </t>
        </is>
      </c>
      <c r="C2475" s="37" t="inlineStr">
        <is>
          <t>GROW Youth</t>
        </is>
      </c>
      <c r="D2475" s="37" t="inlineStr">
        <is>
          <t>2026-07-22</t>
        </is>
      </c>
      <c r="E2475" s="37" t="inlineStr">
        <is>
          <t>Process Check</t>
        </is>
      </c>
      <c r="F2475" s="37" t="inlineStr">
        <is>
          <t>Confirm ESA is done (in GROW full ESA and in Technical courses relevant sections of Core Employability Part).</t>
        </is>
      </c>
      <c r="G2475" s="37" t="inlineStr">
        <is>
          <t>All is Well</t>
        </is>
      </c>
    </row>
    <row r="2476">
      <c r="A2476" s="37" t="inlineStr">
        <is>
          <t>S Jakir</t>
        </is>
      </c>
      <c r="B2476" s="37" t="inlineStr">
        <is>
          <t xml:space="preserve">Bommanahalli </t>
        </is>
      </c>
      <c r="C2476" s="37" t="inlineStr">
        <is>
          <t>GROW Youth</t>
        </is>
      </c>
      <c r="D2476" s="37" t="inlineStr">
        <is>
          <t>2026-07-22</t>
        </is>
      </c>
      <c r="E2476" s="37" t="inlineStr">
        <is>
          <t>Process Check</t>
        </is>
      </c>
      <c r="F2476" s="37" t="inlineStr">
        <is>
          <t>Check is AH giving capstone project in GROW Tech.</t>
        </is>
      </c>
      <c r="G2476" s="37" t="inlineStr">
        <is>
          <t>Not Applicable</t>
        </is>
      </c>
    </row>
    <row r="2477">
      <c r="A2477" s="37" t="inlineStr">
        <is>
          <t>S Jakir</t>
        </is>
      </c>
      <c r="B2477" s="37" t="inlineStr">
        <is>
          <t xml:space="preserve">Bommanahalli </t>
        </is>
      </c>
      <c r="C2477" s="37" t="inlineStr">
        <is>
          <t>GROW Youth</t>
        </is>
      </c>
      <c r="D2477" s="37" t="inlineStr">
        <is>
          <t>2026-07-22</t>
        </is>
      </c>
      <c r="E2477" s="37" t="inlineStr">
        <is>
          <t>Process Check</t>
        </is>
      </c>
      <c r="F2477" s="37" t="inlineStr">
        <is>
          <t>Check is AH planning OJT as per guidelines and proofs are collected for technical courses.</t>
        </is>
      </c>
      <c r="G2477" s="37" t="inlineStr">
        <is>
          <t>Not Applicable</t>
        </is>
      </c>
    </row>
    <row r="2478">
      <c r="A2478" s="37" t="inlineStr">
        <is>
          <t>S Jakir</t>
        </is>
      </c>
      <c r="B2478" s="37" t="inlineStr">
        <is>
          <t xml:space="preserve">Bommanahalli </t>
        </is>
      </c>
      <c r="C2478" s="37" t="inlineStr">
        <is>
          <t>GROW Youth</t>
        </is>
      </c>
      <c r="D2478" s="37" t="inlineStr">
        <is>
          <t>2026-07-22</t>
        </is>
      </c>
      <c r="E2478" s="37" t="inlineStr">
        <is>
          <t>Process Check</t>
        </is>
      </c>
      <c r="F2478" s="37" t="inlineStr">
        <is>
          <t>Check are trainers contacting aspirants to find reason for their absenteeism of more than 1 day.</t>
        </is>
      </c>
      <c r="G2478" s="37" t="inlineStr">
        <is>
          <t>All is Well</t>
        </is>
      </c>
    </row>
    <row r="2479">
      <c r="A2479" s="37" t="inlineStr">
        <is>
          <t>S Jakir</t>
        </is>
      </c>
      <c r="B2479" s="37" t="inlineStr">
        <is>
          <t xml:space="preserve">Bommanahalli </t>
        </is>
      </c>
      <c r="C2479" s="37" t="inlineStr">
        <is>
          <t>GROW Youth</t>
        </is>
      </c>
      <c r="D2479" s="37" t="inlineStr">
        <is>
          <t>2026-07-22</t>
        </is>
      </c>
      <c r="E2479" s="37" t="inlineStr">
        <is>
          <t>Process Check</t>
        </is>
      </c>
      <c r="F2479" s="37" t="inlineStr">
        <is>
          <t>Check the AH plans monthly enrolment and placement numbers by the 3rd of each month and shares them with second level managers.</t>
        </is>
      </c>
      <c r="G2479" s="37" t="inlineStr">
        <is>
          <t>All is Well</t>
        </is>
      </c>
    </row>
    <row r="2480">
      <c r="A2480" s="37" t="inlineStr">
        <is>
          <t>S Jakir</t>
        </is>
      </c>
      <c r="B2480" s="37" t="inlineStr">
        <is>
          <t xml:space="preserve">Bommanahalli </t>
        </is>
      </c>
      <c r="C2480" s="37" t="inlineStr">
        <is>
          <t>GROW Youth</t>
        </is>
      </c>
      <c r="D2480" s="37" t="inlineStr">
        <is>
          <t>2026-07-22</t>
        </is>
      </c>
      <c r="E2480" s="37" t="inlineStr">
        <is>
          <t>Process Check</t>
        </is>
      </c>
      <c r="F2480" s="37" t="inlineStr">
        <is>
          <t>Check trainers submit aspirants’ placement interest areas to the AH by the batch’s 25th day (in GROW).</t>
        </is>
      </c>
      <c r="G2480" s="37" t="inlineStr">
        <is>
          <t>All is Well</t>
        </is>
      </c>
    </row>
    <row r="2481">
      <c r="A2481" s="37" t="inlineStr">
        <is>
          <t>S Jakir</t>
        </is>
      </c>
      <c r="B2481" s="37" t="inlineStr">
        <is>
          <t xml:space="preserve">Bommanahalli </t>
        </is>
      </c>
      <c r="C2481" s="37" t="inlineStr">
        <is>
          <t>GROW Youth</t>
        </is>
      </c>
      <c r="D2481" s="37" t="inlineStr">
        <is>
          <t>2026-07-22</t>
        </is>
      </c>
      <c r="E2481" s="37" t="inlineStr">
        <is>
          <t>Process Check</t>
        </is>
      </c>
      <c r="F2481" s="37" t="inlineStr">
        <is>
          <t>Ckeck For technical programs, placement is done only in technical jobs,on which aspirants are trained and relevant emplyers are identified by 45th day.</t>
        </is>
      </c>
      <c r="G2481" s="37" t="inlineStr">
        <is>
          <t>Not Applicable</t>
        </is>
      </c>
    </row>
    <row r="2482">
      <c r="A2482" s="37" t="inlineStr">
        <is>
          <t>S Jakir</t>
        </is>
      </c>
      <c r="B2482" s="37" t="inlineStr">
        <is>
          <t xml:space="preserve">Bommanahalli </t>
        </is>
      </c>
      <c r="C2482" s="37" t="inlineStr">
        <is>
          <t>GROW Youth</t>
        </is>
      </c>
      <c r="D2482" s="37" t="inlineStr">
        <is>
          <t>2026-07-22</t>
        </is>
      </c>
      <c r="E2482" s="37" t="inlineStr">
        <is>
          <t>Process Check</t>
        </is>
      </c>
      <c r="F2482" s="37" t="inlineStr">
        <is>
          <t>Check the AH follows EP guidelines and minimum benchmark salary guidelines.</t>
        </is>
      </c>
      <c r="G2482" s="37" t="inlineStr">
        <is>
          <t>All is Well</t>
        </is>
      </c>
    </row>
    <row r="2483">
      <c r="A2483" s="37" t="inlineStr">
        <is>
          <t>S Jakir</t>
        </is>
      </c>
      <c r="B2483" s="37" t="inlineStr">
        <is>
          <t xml:space="preserve">Bommanahalli </t>
        </is>
      </c>
      <c r="C2483" s="37" t="inlineStr">
        <is>
          <t>GROW Youth</t>
        </is>
      </c>
      <c r="D2483" s="37" t="inlineStr">
        <is>
          <t>2026-07-22</t>
        </is>
      </c>
      <c r="E2483" s="37" t="inlineStr">
        <is>
          <t>Process Check</t>
        </is>
      </c>
      <c r="F2483" s="37" t="inlineStr">
        <is>
          <t>Check that AH is enrolling only the right traget group in the program -as per the defined target.</t>
        </is>
      </c>
      <c r="G2483" s="37" t="inlineStr">
        <is>
          <t>All is Well</t>
        </is>
      </c>
    </row>
    <row r="2484">
      <c r="A2484" s="37" t="inlineStr">
        <is>
          <t>S Jakir</t>
        </is>
      </c>
      <c r="B2484" s="37" t="inlineStr">
        <is>
          <t xml:space="preserve">Bommanahalli </t>
        </is>
      </c>
      <c r="C2484" s="37" t="inlineStr">
        <is>
          <t>GROW Youth</t>
        </is>
      </c>
      <c r="D2484" s="37" t="inlineStr">
        <is>
          <t>2026-07-22</t>
        </is>
      </c>
      <c r="E2484" s="37" t="inlineStr">
        <is>
          <t>Process Check</t>
        </is>
      </c>
      <c r="F2484" s="37" t="inlineStr">
        <is>
          <t>Check the AH announces the next batch-start date by the 3rd of the month on all notice boards — focus on Zero-Day start.</t>
        </is>
      </c>
      <c r="G2484" s="37" t="inlineStr">
        <is>
          <t>All is Well</t>
        </is>
      </c>
    </row>
    <row r="2485">
      <c r="A2485" s="37" t="inlineStr">
        <is>
          <t>S Jakir</t>
        </is>
      </c>
      <c r="B2485" s="37" t="inlineStr">
        <is>
          <t xml:space="preserve">Bommanahalli </t>
        </is>
      </c>
      <c r="C2485" s="37" t="inlineStr">
        <is>
          <t>GROW Youth</t>
        </is>
      </c>
      <c r="D2485" s="37" t="inlineStr">
        <is>
          <t>2026-07-22</t>
        </is>
      </c>
      <c r="E2485" s="37" t="inlineStr">
        <is>
          <t>Process Check</t>
        </is>
      </c>
      <c r="F2485" s="37" t="inlineStr">
        <is>
          <t>Check the Aspirant Mock Interview Score Tracker is updated after every mock interview in the L&amp;D Google Sheet.</t>
        </is>
      </c>
      <c r="G2485" s="37" t="inlineStr">
        <is>
          <t>All is Well</t>
        </is>
      </c>
    </row>
    <row r="2486">
      <c r="A2486" s="37" t="inlineStr">
        <is>
          <t>S Jakir</t>
        </is>
      </c>
      <c r="B2486" s="37" t="inlineStr">
        <is>
          <t xml:space="preserve">Bommanahalli </t>
        </is>
      </c>
      <c r="C2486" s="37" t="inlineStr">
        <is>
          <t>GROW Youth</t>
        </is>
      </c>
      <c r="D2486" s="37" t="inlineStr">
        <is>
          <t>2026-07-22</t>
        </is>
      </c>
      <c r="E2486" s="37" t="inlineStr">
        <is>
          <t>Process Check</t>
        </is>
      </c>
      <c r="F2486" s="37" t="inlineStr">
        <is>
          <t>Confirm NPS (Net Promoter Score) is collected at MSDF centres.</t>
        </is>
      </c>
      <c r="G2486" s="37" t="inlineStr">
        <is>
          <t>Not Applicable</t>
        </is>
      </c>
    </row>
    <row r="2487">
      <c r="A2487" s="37" t="inlineStr">
        <is>
          <t>S Jakir</t>
        </is>
      </c>
      <c r="B2487" s="37" t="inlineStr">
        <is>
          <t xml:space="preserve">Bommanahalli </t>
        </is>
      </c>
      <c r="C2487" s="37" t="inlineStr">
        <is>
          <t>GROW Youth</t>
        </is>
      </c>
      <c r="D2487" s="37" t="inlineStr">
        <is>
          <t>2026-07-22</t>
        </is>
      </c>
      <c r="E2487" s="37" t="inlineStr">
        <is>
          <t>Process Check</t>
        </is>
      </c>
      <c r="F2487" s="37" t="inlineStr">
        <is>
          <t>Confirm that QAE is collecting student feedback for every batch.</t>
        </is>
      </c>
      <c r="G2487" s="37" t="inlineStr">
        <is>
          <t>All is Well</t>
        </is>
      </c>
    </row>
    <row r="2488">
      <c r="A2488" s="37" t="inlineStr">
        <is>
          <t>S Jakir</t>
        </is>
      </c>
      <c r="B2488" s="37" t="inlineStr">
        <is>
          <t xml:space="preserve">Bommanahalli </t>
        </is>
      </c>
      <c r="C2488" s="37" t="inlineStr">
        <is>
          <t>GROW Youth</t>
        </is>
      </c>
      <c r="D2488" s="37" t="inlineStr">
        <is>
          <t>2026-07-22</t>
        </is>
      </c>
      <c r="E2488" s="37" t="inlineStr">
        <is>
          <t>Process Check</t>
        </is>
      </c>
      <c r="F2488" s="37" t="inlineStr">
        <is>
          <t>Confirm all centre teams have completed the GROW Manual Course on Skillfy — ask for achievement certificates.</t>
        </is>
      </c>
      <c r="G2488" s="37" t="inlineStr">
        <is>
          <t>All is Well</t>
        </is>
      </c>
    </row>
    <row r="2489">
      <c r="A2489" s="37" t="inlineStr">
        <is>
          <t>S Jakir</t>
        </is>
      </c>
      <c r="B2489" s="37" t="inlineStr">
        <is>
          <t xml:space="preserve">Bommanahalli </t>
        </is>
      </c>
      <c r="C2489" s="37" t="inlineStr">
        <is>
          <t>GROW Youth</t>
        </is>
      </c>
      <c r="D2489" s="37" t="inlineStr">
        <is>
          <t>2026-07-22</t>
        </is>
      </c>
      <c r="E2489" s="37" t="inlineStr">
        <is>
          <t>Process Check</t>
        </is>
      </c>
      <c r="F2489" s="37" t="inlineStr">
        <is>
          <t>Check AH holds a quality weekly team meeting, documents action points in the weekly meeting format, and sends you a photo on WhatsApp.</t>
        </is>
      </c>
      <c r="G2489" s="37" t="inlineStr">
        <is>
          <t>All is Well</t>
        </is>
      </c>
    </row>
    <row r="2490">
      <c r="A2490" s="37" t="inlineStr">
        <is>
          <t>S Jakir</t>
        </is>
      </c>
      <c r="B2490" s="37" t="inlineStr">
        <is>
          <t xml:space="preserve">Bommanahalli </t>
        </is>
      </c>
      <c r="C2490" s="37" t="inlineStr">
        <is>
          <t>GROW Youth</t>
        </is>
      </c>
      <c r="D2490" s="37" t="inlineStr">
        <is>
          <t>2026-07-22</t>
        </is>
      </c>
      <c r="E2490" s="37" t="inlineStr">
        <is>
          <t>Aspirant Interaction</t>
        </is>
      </c>
      <c r="F2490" s="37" t="inlineStr">
        <is>
          <t>Ask aspirants about the session plan — confirm training is happening as planned?</t>
        </is>
      </c>
      <c r="G2490" s="37" t="inlineStr">
        <is>
          <t>All is Well</t>
        </is>
      </c>
    </row>
    <row r="2491">
      <c r="A2491" s="37" t="inlineStr">
        <is>
          <t>S Jakir</t>
        </is>
      </c>
      <c r="B2491" s="37" t="inlineStr">
        <is>
          <t xml:space="preserve">Bommanahalli </t>
        </is>
      </c>
      <c r="C2491" s="37" t="inlineStr">
        <is>
          <t>GROW Youth</t>
        </is>
      </c>
      <c r="D2491" s="37" t="inlineStr">
        <is>
          <t>2026-07-22</t>
        </is>
      </c>
      <c r="E2491" s="37" t="inlineStr">
        <is>
          <t>Aspirant Interaction</t>
        </is>
      </c>
      <c r="F2491" s="37" t="inlineStr">
        <is>
          <t>Ask about the quality of Core Employability component delivery (technical centres) and who delivers it.</t>
        </is>
      </c>
      <c r="G2491" s="37" t="inlineStr">
        <is>
          <t>Not Applicable</t>
        </is>
      </c>
    </row>
    <row r="2492">
      <c r="A2492" s="37" t="inlineStr">
        <is>
          <t>S Jakir</t>
        </is>
      </c>
      <c r="B2492" s="37" t="inlineStr">
        <is>
          <t xml:space="preserve">Bommanahalli </t>
        </is>
      </c>
      <c r="C2492" s="37" t="inlineStr">
        <is>
          <t>GROW Youth</t>
        </is>
      </c>
      <c r="D2492" s="37" t="inlineStr">
        <is>
          <t>2026-07-22</t>
        </is>
      </c>
      <c r="E2492" s="37" t="inlineStr">
        <is>
          <t>Aspirant Interaction</t>
        </is>
      </c>
      <c r="F2492" s="37" t="inlineStr">
        <is>
          <t>Ask whether they are aware of the referral scheme?</t>
        </is>
      </c>
      <c r="G2492" s="37" t="inlineStr">
        <is>
          <t>All is Well</t>
        </is>
      </c>
    </row>
    <row r="2493">
      <c r="A2493" s="37" t="inlineStr">
        <is>
          <t>S Jakir</t>
        </is>
      </c>
      <c r="B2493" s="37" t="inlineStr">
        <is>
          <t xml:space="preserve">Bommanahalli </t>
        </is>
      </c>
      <c r="C2493" s="37" t="inlineStr">
        <is>
          <t>GROW Youth</t>
        </is>
      </c>
      <c r="D2493" s="37" t="inlineStr">
        <is>
          <t>2026-07-22</t>
        </is>
      </c>
      <c r="E2493" s="37" t="inlineStr">
        <is>
          <t>Aspirant Interaction</t>
        </is>
      </c>
      <c r="F2493" s="37" t="inlineStr">
        <is>
          <t>Ask whether the AH explained the importance of the offer letter and sharing it with us once received for reporting purposes?</t>
        </is>
      </c>
      <c r="G2493" s="37" t="inlineStr">
        <is>
          <t>All is Well</t>
        </is>
      </c>
    </row>
    <row r="2494">
      <c r="A2494" s="37" t="inlineStr">
        <is>
          <t>S Jakir</t>
        </is>
      </c>
      <c r="B2494" s="37" t="inlineStr">
        <is>
          <t xml:space="preserve">Bommanahalli </t>
        </is>
      </c>
      <c r="C2494" s="37" t="inlineStr">
        <is>
          <t>GROW Youth</t>
        </is>
      </c>
      <c r="D2494" s="37" t="inlineStr">
        <is>
          <t>2026-07-22</t>
        </is>
      </c>
      <c r="E2494" s="37" t="inlineStr">
        <is>
          <t>Aspirant Interaction</t>
        </is>
      </c>
      <c r="F2494" s="37" t="inlineStr">
        <is>
          <t>Ask how many are not interested in jobs — and if so, why they enrolled in the programme?</t>
        </is>
      </c>
      <c r="G2494" s="37" t="inlineStr">
        <is>
          <t>All is Well</t>
        </is>
      </c>
    </row>
    <row r="2495">
      <c r="A2495" s="37" t="inlineStr">
        <is>
          <t>S Jakir</t>
        </is>
      </c>
      <c r="B2495" s="37" t="inlineStr">
        <is>
          <t xml:space="preserve">Bommanahalli </t>
        </is>
      </c>
      <c r="C2495" s="37" t="inlineStr">
        <is>
          <t>GROW Youth</t>
        </is>
      </c>
      <c r="D2495" s="37" t="inlineStr">
        <is>
          <t>2026-07-22</t>
        </is>
      </c>
      <c r="E2495" s="37" t="inlineStr">
        <is>
          <t>Aspirant Interaction</t>
        </is>
      </c>
      <c r="F2495" s="37" t="inlineStr">
        <is>
          <t>Ask whether they were told the kind of job they would get during counselling?</t>
        </is>
      </c>
      <c r="G2495" s="37" t="inlineStr">
        <is>
          <t>All is Well</t>
        </is>
      </c>
    </row>
    <row r="2496">
      <c r="A2496" s="37" t="inlineStr">
        <is>
          <t>S Jakir</t>
        </is>
      </c>
      <c r="B2496" s="37" t="inlineStr">
        <is>
          <t xml:space="preserve">Bommanahalli </t>
        </is>
      </c>
      <c r="C2496" s="37" t="inlineStr">
        <is>
          <t>GROW Youth</t>
        </is>
      </c>
      <c r="D2496" s="37" t="inlineStr">
        <is>
          <t>2026-07-22</t>
        </is>
      </c>
      <c r="E2496" s="37" t="inlineStr">
        <is>
          <t>Aspirant Interaction</t>
        </is>
      </c>
      <c r="F2496" s="37" t="inlineStr">
        <is>
          <t>Ask whether they have been given LMS access?</t>
        </is>
      </c>
      <c r="G2496" s="37" t="inlineStr">
        <is>
          <t>All is Well</t>
        </is>
      </c>
    </row>
    <row r="2497">
      <c r="A2497" s="37" t="inlineStr">
        <is>
          <t>S Jakir</t>
        </is>
      </c>
      <c r="B2497" s="37" t="inlineStr">
        <is>
          <t xml:space="preserve">Bommanahalli </t>
        </is>
      </c>
      <c r="C2497" s="37" t="inlineStr">
        <is>
          <t>GROW Youth</t>
        </is>
      </c>
      <c r="D2497" s="37" t="inlineStr">
        <is>
          <t>2026-07-22</t>
        </is>
      </c>
      <c r="E2497" s="37" t="inlineStr">
        <is>
          <t>Aspirant Interaction</t>
        </is>
      </c>
      <c r="F2497" s="37" t="inlineStr">
        <is>
          <t>Ask whether anyone asked them for money for training or placement?</t>
        </is>
      </c>
      <c r="G2497" s="37" t="inlineStr">
        <is>
          <t>All is Well</t>
        </is>
      </c>
    </row>
    <row r="2498">
      <c r="A2498" s="37" t="inlineStr">
        <is>
          <t>S Jakir</t>
        </is>
      </c>
      <c r="B2498" s="37" t="inlineStr">
        <is>
          <t xml:space="preserve">Bommanahalli </t>
        </is>
      </c>
      <c r="C2498" s="37" t="inlineStr">
        <is>
          <t>GROW Youth</t>
        </is>
      </c>
      <c r="D2498" s="37" t="inlineStr">
        <is>
          <t>2026-07-22</t>
        </is>
      </c>
      <c r="E2498" s="37" t="inlineStr">
        <is>
          <t>Aspirant Interaction</t>
        </is>
      </c>
      <c r="F2498" s="37" t="inlineStr">
        <is>
          <t>Ask to show their mobile phones — are they enrolled on Skillfy? If not, get them enrolled and give written feedback to trainers and the AH in your presence.</t>
        </is>
      </c>
      <c r="G2498" s="37" t="inlineStr">
        <is>
          <t>All is Well</t>
        </is>
      </c>
    </row>
    <row r="2499">
      <c r="A2499" s="37" t="inlineStr">
        <is>
          <t>S Jakir</t>
        </is>
      </c>
      <c r="B2499" s="37" t="inlineStr">
        <is>
          <t xml:space="preserve">Bommanahalli </t>
        </is>
      </c>
      <c r="C2499" s="37" t="inlineStr">
        <is>
          <t>GROW Youth</t>
        </is>
      </c>
      <c r="D2499" s="37" t="inlineStr">
        <is>
          <t>2026-07-22</t>
        </is>
      </c>
      <c r="E2499" s="37" t="inlineStr">
        <is>
          <t>Aspirant Interaction</t>
        </is>
      </c>
      <c r="F2499" s="37" t="inlineStr">
        <is>
          <t>Ask about the quality of the hostel and any issues they face.</t>
        </is>
      </c>
      <c r="G2499" s="37" t="inlineStr">
        <is>
          <t>Not Applicable</t>
        </is>
      </c>
    </row>
    <row r="2500">
      <c r="A2500" s="37" t="inlineStr">
        <is>
          <t>S Jakir</t>
        </is>
      </c>
      <c r="B2500" s="37" t="inlineStr">
        <is>
          <t xml:space="preserve">Bommanahalli </t>
        </is>
      </c>
      <c r="C2500" s="37" t="inlineStr">
        <is>
          <t>GROW Youth</t>
        </is>
      </c>
      <c r="D2500" s="37" t="inlineStr">
        <is>
          <t>2026-07-22</t>
        </is>
      </c>
      <c r="E2500" s="37" t="inlineStr">
        <is>
          <t>Aspirant Interaction</t>
        </is>
      </c>
      <c r="F2500" s="37" t="inlineStr">
        <is>
          <t>Ask a few relevant screening questions to support the 10th-day report and remove non-serious candidates, explaining to them the reasons.</t>
        </is>
      </c>
      <c r="G2500" s="37" t="inlineStr">
        <is>
          <t>All is Well</t>
        </is>
      </c>
    </row>
    <row r="2501">
      <c r="A2501" s="37" t="inlineStr">
        <is>
          <t>S Jakir</t>
        </is>
      </c>
      <c r="B2501" s="37" t="inlineStr">
        <is>
          <t>Jalahalli</t>
        </is>
      </c>
      <c r="C2501" s="37" t="inlineStr">
        <is>
          <t>GROW Youth</t>
        </is>
      </c>
      <c r="D2501" s="37" t="inlineStr">
        <is>
          <t>2026-07-20</t>
        </is>
      </c>
      <c r="E2501" s="37" t="inlineStr">
        <is>
          <t>Data Check</t>
        </is>
      </c>
      <c r="F2501" s="37" t="inlineStr">
        <is>
          <t>Reach the centre on time (unannounced) — confirm the centre opened on time.</t>
        </is>
      </c>
      <c r="G2501" s="37" t="inlineStr">
        <is>
          <t>All is Well</t>
        </is>
      </c>
    </row>
    <row r="2502">
      <c r="A2502" s="37" t="inlineStr">
        <is>
          <t>S Jakir</t>
        </is>
      </c>
      <c r="B2502" s="37" t="inlineStr">
        <is>
          <t>Jalahalli</t>
        </is>
      </c>
      <c r="C2502" s="37" t="inlineStr">
        <is>
          <t>GROW Youth</t>
        </is>
      </c>
      <c r="D2502" s="37" t="inlineStr">
        <is>
          <t>2026-07-20</t>
        </is>
      </c>
      <c r="E2502" s="37" t="inlineStr">
        <is>
          <t>Data Check</t>
        </is>
      </c>
      <c r="F2502" s="37" t="inlineStr">
        <is>
          <t>Check the staff attendance register, the Google Sheet, and geo-tagged photos for aspirants.</t>
        </is>
      </c>
      <c r="G2502" s="37" t="inlineStr">
        <is>
          <t>All is Well</t>
        </is>
      </c>
    </row>
    <row r="2503">
      <c r="A2503" s="37" t="inlineStr">
        <is>
          <t>S Jakir</t>
        </is>
      </c>
      <c r="B2503" s="37" t="inlineStr">
        <is>
          <t>Jalahalli</t>
        </is>
      </c>
      <c r="C2503" s="37" t="inlineStr">
        <is>
          <t>GROW Youth</t>
        </is>
      </c>
      <c r="D2503" s="37" t="inlineStr">
        <is>
          <t>2026-07-20</t>
        </is>
      </c>
      <c r="E2503" s="37" t="inlineStr">
        <is>
          <t>Data Check</t>
        </is>
      </c>
      <c r="F2503" s="37" t="inlineStr">
        <is>
          <t>Check Counselling and Screening Forms of recently started batches.</t>
        </is>
      </c>
      <c r="G2503" s="37" t="inlineStr">
        <is>
          <t>All is Well</t>
        </is>
      </c>
    </row>
    <row r="2504">
      <c r="A2504" s="37" t="inlineStr">
        <is>
          <t>S Jakir</t>
        </is>
      </c>
      <c r="B2504" s="37" t="inlineStr">
        <is>
          <t>Jalahalli</t>
        </is>
      </c>
      <c r="C2504" s="37" t="inlineStr">
        <is>
          <t>GROW Youth</t>
        </is>
      </c>
      <c r="D2504" s="37" t="inlineStr">
        <is>
          <t>2026-07-20</t>
        </is>
      </c>
      <c r="E2504" s="37" t="inlineStr">
        <is>
          <t>Data Check</t>
        </is>
      </c>
      <c r="F2504" s="37" t="inlineStr">
        <is>
          <t>Check Aspirant Registration Forms and related documents.</t>
        </is>
      </c>
      <c r="G2504" s="37" t="inlineStr">
        <is>
          <t>All is Well</t>
        </is>
      </c>
    </row>
    <row r="2505">
      <c r="A2505" s="37" t="inlineStr">
        <is>
          <t>S Jakir</t>
        </is>
      </c>
      <c r="B2505" s="37" t="inlineStr">
        <is>
          <t>Jalahalli</t>
        </is>
      </c>
      <c r="C2505" s="37" t="inlineStr">
        <is>
          <t>GROW Youth</t>
        </is>
      </c>
      <c r="D2505" s="37" t="inlineStr">
        <is>
          <t>2026-07-20</t>
        </is>
      </c>
      <c r="E2505" s="37" t="inlineStr">
        <is>
          <t>Data Check</t>
        </is>
      </c>
      <c r="F2505" s="37" t="inlineStr">
        <is>
          <t>On the GROW portal, confirm all student profile details and batch updates are currect.</t>
        </is>
      </c>
      <c r="G2505" s="37" t="inlineStr">
        <is>
          <t>All is Well</t>
        </is>
      </c>
    </row>
    <row r="2506">
      <c r="A2506" s="37" t="inlineStr">
        <is>
          <t>S Jakir</t>
        </is>
      </c>
      <c r="B2506" s="37" t="inlineStr">
        <is>
          <t>Jalahalli</t>
        </is>
      </c>
      <c r="C2506" s="37" t="inlineStr">
        <is>
          <t>GROW Youth</t>
        </is>
      </c>
      <c r="D2506" s="37" t="inlineStr">
        <is>
          <t>2026-07-20</t>
        </is>
      </c>
      <c r="E2506" s="37" t="inlineStr">
        <is>
          <t>Data Check</t>
        </is>
      </c>
      <c r="F2506" s="37" t="inlineStr">
        <is>
          <t>Verify placement data — randomly call 3–4 alumni placed in the last 3 months to confirm veracity (random selection is essential).</t>
        </is>
      </c>
      <c r="G2506" s="37" t="inlineStr">
        <is>
          <t>All is Well</t>
        </is>
      </c>
    </row>
    <row r="2507">
      <c r="A2507" s="37" t="inlineStr">
        <is>
          <t>S Jakir</t>
        </is>
      </c>
      <c r="B2507" s="37" t="inlineStr">
        <is>
          <t>Jalahalli</t>
        </is>
      </c>
      <c r="C2507" s="37" t="inlineStr">
        <is>
          <t>GROW Youth</t>
        </is>
      </c>
      <c r="D2507" s="37" t="inlineStr">
        <is>
          <t>2026-07-20</t>
        </is>
      </c>
      <c r="E2507" s="37" t="inlineStr">
        <is>
          <t>Data Check</t>
        </is>
      </c>
      <c r="F2507" s="37" t="inlineStr">
        <is>
          <t>Verify retention — check the Alumni Hand-holding Format is being updated as designed.</t>
        </is>
      </c>
      <c r="G2507" s="37" t="inlineStr">
        <is>
          <t>All is Well</t>
        </is>
      </c>
    </row>
    <row r="2508">
      <c r="A2508" s="37" t="inlineStr">
        <is>
          <t>S Jakir</t>
        </is>
      </c>
      <c r="B2508" s="37" t="inlineStr">
        <is>
          <t>Jalahalli</t>
        </is>
      </c>
      <c r="C2508" s="37" t="inlineStr">
        <is>
          <t>GROW Youth</t>
        </is>
      </c>
      <c r="D2508" s="37" t="inlineStr">
        <is>
          <t>2026-07-20</t>
        </is>
      </c>
      <c r="E2508" s="37" t="inlineStr">
        <is>
          <t>Data Check</t>
        </is>
      </c>
      <c r="F2508" s="37" t="inlineStr">
        <is>
          <t>Check aspirant Hostel Forms are properly filled or not.</t>
        </is>
      </c>
      <c r="G2508" s="37" t="inlineStr">
        <is>
          <t>Not Applicable</t>
        </is>
      </c>
    </row>
    <row r="2509">
      <c r="A2509" s="37" t="inlineStr">
        <is>
          <t>S Jakir</t>
        </is>
      </c>
      <c r="B2509" s="37" t="inlineStr">
        <is>
          <t>Jalahalli</t>
        </is>
      </c>
      <c r="C2509" s="37" t="inlineStr">
        <is>
          <t>GROW Youth</t>
        </is>
      </c>
      <c r="D2509" s="37" t="inlineStr">
        <is>
          <t>2026-07-20</t>
        </is>
      </c>
      <c r="E2509" s="37" t="inlineStr">
        <is>
          <t>Infra Check</t>
        </is>
      </c>
      <c r="F2509" s="37" t="inlineStr">
        <is>
          <t>Check all CCTV cameras; if any are not working, ask the AH to troubleshoot or call the vendor.</t>
        </is>
      </c>
      <c r="G2509" s="37" t="inlineStr">
        <is>
          <t>Need Improvement</t>
        </is>
      </c>
    </row>
    <row r="2510">
      <c r="A2510" s="37" t="inlineStr">
        <is>
          <t>S Jakir</t>
        </is>
      </c>
      <c r="B2510" s="37" t="inlineStr">
        <is>
          <t>Jalahalli</t>
        </is>
      </c>
      <c r="C2510" s="37" t="inlineStr">
        <is>
          <t>GROW Youth</t>
        </is>
      </c>
      <c r="D2510" s="37" t="inlineStr">
        <is>
          <t>2026-07-20</t>
        </is>
      </c>
      <c r="E2510" s="37" t="inlineStr">
        <is>
          <t>Infra Check</t>
        </is>
      </c>
      <c r="F2510" s="37" t="inlineStr">
        <is>
          <t>Check for any scrap material and get it cleared, with support of Admin</t>
        </is>
      </c>
      <c r="G2510" s="37" t="inlineStr">
        <is>
          <t>Need Improvement</t>
        </is>
      </c>
    </row>
    <row r="2511">
      <c r="A2511" s="37" t="inlineStr">
        <is>
          <t>S Jakir</t>
        </is>
      </c>
      <c r="B2511" s="37" t="inlineStr">
        <is>
          <t>Jalahalli</t>
        </is>
      </c>
      <c r="C2511" s="37" t="inlineStr">
        <is>
          <t>GROW Youth</t>
        </is>
      </c>
      <c r="D2511" s="37" t="inlineStr">
        <is>
          <t>2026-07-20</t>
        </is>
      </c>
      <c r="E2511" s="37" t="inlineStr">
        <is>
          <t>Infra Check</t>
        </is>
      </c>
      <c r="F2511" s="37" t="inlineStr">
        <is>
          <t>Check for any pending infra repairs.</t>
        </is>
      </c>
      <c r="G2511" s="37" t="inlineStr">
        <is>
          <t>All is Well</t>
        </is>
      </c>
    </row>
    <row r="2512">
      <c r="A2512" s="37" t="inlineStr">
        <is>
          <t>S Jakir</t>
        </is>
      </c>
      <c r="B2512" s="37" t="inlineStr">
        <is>
          <t>Jalahalli</t>
        </is>
      </c>
      <c r="C2512" s="37" t="inlineStr">
        <is>
          <t>GROW Youth</t>
        </is>
      </c>
      <c r="D2512" s="37" t="inlineStr">
        <is>
          <t>2026-07-20</t>
        </is>
      </c>
      <c r="E2512" s="37" t="inlineStr">
        <is>
          <t>Infra Check</t>
        </is>
      </c>
      <c r="F2512" s="37" t="inlineStr">
        <is>
          <t>Check whether any fire extinguishers have expired (check the needle and expiry date both).</t>
        </is>
      </c>
      <c r="G2512" s="37" t="inlineStr">
        <is>
          <t>All is Well</t>
        </is>
      </c>
    </row>
    <row r="2513">
      <c r="A2513" s="37" t="inlineStr">
        <is>
          <t>S Jakir</t>
        </is>
      </c>
      <c r="B2513" s="37" t="inlineStr">
        <is>
          <t>Jalahalli</t>
        </is>
      </c>
      <c r="C2513" s="37" t="inlineStr">
        <is>
          <t>GROW Youth</t>
        </is>
      </c>
      <c r="D2513" s="37" t="inlineStr">
        <is>
          <t>2026-07-20</t>
        </is>
      </c>
      <c r="E2513" s="37" t="inlineStr">
        <is>
          <t>Infra Check</t>
        </is>
      </c>
      <c r="F2513" s="37" t="inlineStr">
        <is>
          <t>Check basic cleanliness of the washrooms and the centre.</t>
        </is>
      </c>
      <c r="G2513" s="37" t="inlineStr">
        <is>
          <t>All is Well</t>
        </is>
      </c>
    </row>
    <row r="2514">
      <c r="A2514" s="37" t="inlineStr">
        <is>
          <t>S Jakir</t>
        </is>
      </c>
      <c r="B2514" s="37" t="inlineStr">
        <is>
          <t>Jalahalli</t>
        </is>
      </c>
      <c r="C2514" s="37" t="inlineStr">
        <is>
          <t>GROW Youth</t>
        </is>
      </c>
      <c r="D2514" s="37" t="inlineStr">
        <is>
          <t>2026-07-20</t>
        </is>
      </c>
      <c r="E2514" s="37" t="inlineStr">
        <is>
          <t>Infra Check</t>
        </is>
      </c>
      <c r="F2514" s="37" t="inlineStr">
        <is>
          <t>Confirm the correct program and partner logos are displayed.</t>
        </is>
      </c>
      <c r="G2514" s="37" t="inlineStr">
        <is>
          <t>All is Well</t>
        </is>
      </c>
    </row>
    <row r="2515">
      <c r="A2515" s="37" t="inlineStr">
        <is>
          <t>S Jakir</t>
        </is>
      </c>
      <c r="B2515" s="37" t="inlineStr">
        <is>
          <t>Jalahalli</t>
        </is>
      </c>
      <c r="C2515" s="37" t="inlineStr">
        <is>
          <t>GROW Youth</t>
        </is>
      </c>
      <c r="D2515" s="37" t="inlineStr">
        <is>
          <t>2026-07-20</t>
        </is>
      </c>
      <c r="E2515" s="37" t="inlineStr">
        <is>
          <t>Infra Check</t>
        </is>
      </c>
      <c r="F2515" s="37" t="inlineStr">
        <is>
          <t>Check the status of digital infra — PCs, smartboards, tablets, laptops, etc.</t>
        </is>
      </c>
      <c r="G2515" s="37" t="inlineStr">
        <is>
          <t>Need Improvement</t>
        </is>
      </c>
    </row>
    <row r="2516">
      <c r="A2516" s="37" t="inlineStr">
        <is>
          <t>S Jakir</t>
        </is>
      </c>
      <c r="B2516" s="37" t="inlineStr">
        <is>
          <t>Jalahalli</t>
        </is>
      </c>
      <c r="C2516" s="37" t="inlineStr">
        <is>
          <t>GROW Youth</t>
        </is>
      </c>
      <c r="D2516" s="37" t="inlineStr">
        <is>
          <t>2026-07-20</t>
        </is>
      </c>
      <c r="E2516" s="37" t="inlineStr">
        <is>
          <t>Infra Check</t>
        </is>
      </c>
      <c r="F2516" s="37" t="inlineStr">
        <is>
          <t>Make a quick hostel visit; have lunch there if possible to test the food quality.</t>
        </is>
      </c>
      <c r="G2516" s="37" t="inlineStr">
        <is>
          <t>Not Applicable</t>
        </is>
      </c>
    </row>
    <row r="2517">
      <c r="A2517" s="37" t="inlineStr">
        <is>
          <t>S Jakir</t>
        </is>
      </c>
      <c r="B2517" s="37" t="inlineStr">
        <is>
          <t>Jalahalli</t>
        </is>
      </c>
      <c r="C2517" s="37" t="inlineStr">
        <is>
          <t>GROW Youth</t>
        </is>
      </c>
      <c r="D2517" s="37" t="inlineStr">
        <is>
          <t>2026-07-20</t>
        </is>
      </c>
      <c r="E2517" s="37" t="inlineStr">
        <is>
          <t>Process Check</t>
        </is>
      </c>
      <c r="F2517" s="37" t="inlineStr">
        <is>
          <t>Refer to the activity planner — check if any activities are delayed.</t>
        </is>
      </c>
      <c r="G2517" s="37" t="inlineStr">
        <is>
          <t>Need Improvement</t>
        </is>
      </c>
    </row>
    <row r="2518">
      <c r="A2518" s="37" t="inlineStr">
        <is>
          <t>S Jakir</t>
        </is>
      </c>
      <c r="B2518" s="37" t="inlineStr">
        <is>
          <t>Jalahalli</t>
        </is>
      </c>
      <c r="C2518" s="37" t="inlineStr">
        <is>
          <t>GROW Youth</t>
        </is>
      </c>
      <c r="D2518" s="37" t="inlineStr">
        <is>
          <t>2026-07-20</t>
        </is>
      </c>
      <c r="E2518" s="37" t="inlineStr">
        <is>
          <t>Process Check</t>
        </is>
      </c>
      <c r="F2518" s="37" t="inlineStr">
        <is>
          <t>Check planning for the next batch-start announcement.</t>
        </is>
      </c>
      <c r="G2518" s="37" t="inlineStr">
        <is>
          <t>All is Well</t>
        </is>
      </c>
    </row>
    <row r="2519">
      <c r="A2519" s="37" t="inlineStr">
        <is>
          <t>S Jakir</t>
        </is>
      </c>
      <c r="B2519" s="37" t="inlineStr">
        <is>
          <t>Jalahalli</t>
        </is>
      </c>
      <c r="C2519" s="37" t="inlineStr">
        <is>
          <t>GROW Youth</t>
        </is>
      </c>
      <c r="D2519" s="37" t="inlineStr">
        <is>
          <t>2026-07-20</t>
        </is>
      </c>
      <c r="E2519" s="37" t="inlineStr">
        <is>
          <t>Process Check</t>
        </is>
      </c>
      <c r="F2519" s="37" t="inlineStr">
        <is>
          <t>Check if any hiring is delayed and plan a resolution.</t>
        </is>
      </c>
      <c r="G2519" s="37" t="inlineStr">
        <is>
          <t>All is Well</t>
        </is>
      </c>
    </row>
    <row r="2520">
      <c r="A2520" s="37" t="inlineStr">
        <is>
          <t>S Jakir</t>
        </is>
      </c>
      <c r="B2520" s="37" t="inlineStr">
        <is>
          <t>Jalahalli</t>
        </is>
      </c>
      <c r="C2520" s="37" t="inlineStr">
        <is>
          <t>GROW Youth</t>
        </is>
      </c>
      <c r="D2520" s="37" t="inlineStr">
        <is>
          <t>2026-07-20</t>
        </is>
      </c>
      <c r="E2520" s="37" t="inlineStr">
        <is>
          <t>Process Check</t>
        </is>
      </c>
      <c r="F2520" s="37" t="inlineStr">
        <is>
          <t>Check the CA’s diary — is CA guided daily by the AH during planning days?</t>
        </is>
      </c>
      <c r="G2520" s="37" t="inlineStr">
        <is>
          <t>All is Well</t>
        </is>
      </c>
    </row>
    <row r="2521">
      <c r="A2521" s="37" t="inlineStr">
        <is>
          <t>S Jakir</t>
        </is>
      </c>
      <c r="B2521" s="37" t="inlineStr">
        <is>
          <t>Jalahalli</t>
        </is>
      </c>
      <c r="C2521" s="37" t="inlineStr">
        <is>
          <t>GROW Youth</t>
        </is>
      </c>
      <c r="D2521" s="37" t="inlineStr">
        <is>
          <t>2026-07-20</t>
        </is>
      </c>
      <c r="E2521" s="37" t="inlineStr">
        <is>
          <t>Process Check</t>
        </is>
      </c>
      <c r="F2521" s="37" t="inlineStr">
        <is>
          <t>Check the AH is regularly meeting employers (in person and online) and updating the centre’s Top 20 Employer format.</t>
        </is>
      </c>
      <c r="G2521" s="37" t="inlineStr">
        <is>
          <t>All is Well</t>
        </is>
      </c>
    </row>
    <row r="2522">
      <c r="A2522" s="37" t="inlineStr">
        <is>
          <t>S Jakir</t>
        </is>
      </c>
      <c r="B2522" s="37" t="inlineStr">
        <is>
          <t>Jalahalli</t>
        </is>
      </c>
      <c r="C2522" s="37" t="inlineStr">
        <is>
          <t>GROW Youth</t>
        </is>
      </c>
      <c r="D2522" s="37" t="inlineStr">
        <is>
          <t>2026-07-20</t>
        </is>
      </c>
      <c r="E2522" s="37" t="inlineStr">
        <is>
          <t>Process Check</t>
        </is>
      </c>
      <c r="F2522" s="37" t="inlineStr">
        <is>
          <t>Confirm all new employers are registered on portal as per new process.</t>
        </is>
      </c>
      <c r="G2522" s="37" t="inlineStr">
        <is>
          <t>All is Well</t>
        </is>
      </c>
    </row>
    <row r="2523">
      <c r="A2523" s="37" t="inlineStr">
        <is>
          <t>S Jakir</t>
        </is>
      </c>
      <c r="B2523" s="37" t="inlineStr">
        <is>
          <t>Jalahalli</t>
        </is>
      </c>
      <c r="C2523" s="37" t="inlineStr">
        <is>
          <t>GROW Youth</t>
        </is>
      </c>
      <c r="D2523" s="37" t="inlineStr">
        <is>
          <t>2026-07-20</t>
        </is>
      </c>
      <c r="E2523" s="37" t="inlineStr">
        <is>
          <t>Process Check</t>
        </is>
      </c>
      <c r="F2523" s="37" t="inlineStr">
        <is>
          <t>Confirm 100% of enrolled students undergone screening (for technical courses).</t>
        </is>
      </c>
      <c r="G2523" s="37" t="inlineStr">
        <is>
          <t>All is Well</t>
        </is>
      </c>
    </row>
    <row r="2524">
      <c r="A2524" s="37" t="inlineStr">
        <is>
          <t>S Jakir</t>
        </is>
      </c>
      <c r="B2524" s="37" t="inlineStr">
        <is>
          <t>Jalahalli</t>
        </is>
      </c>
      <c r="C2524" s="37" t="inlineStr">
        <is>
          <t>GROW Youth</t>
        </is>
      </c>
      <c r="D2524" s="37" t="inlineStr">
        <is>
          <t>2026-07-20</t>
        </is>
      </c>
      <c r="E2524" s="37" t="inlineStr">
        <is>
          <t>Process Check</t>
        </is>
      </c>
      <c r="F2524" s="37" t="inlineStr">
        <is>
          <t>Confirm ESA is done (in GROW full ESA and in Technical courses relevant sections of Core Employability Part).</t>
        </is>
      </c>
      <c r="G2524" s="37" t="inlineStr">
        <is>
          <t>All is Well</t>
        </is>
      </c>
    </row>
    <row r="2525">
      <c r="A2525" s="37" t="inlineStr">
        <is>
          <t>S Jakir</t>
        </is>
      </c>
      <c r="B2525" s="37" t="inlineStr">
        <is>
          <t>Jalahalli</t>
        </is>
      </c>
      <c r="C2525" s="37" t="inlineStr">
        <is>
          <t>GROW Youth</t>
        </is>
      </c>
      <c r="D2525" s="37" t="inlineStr">
        <is>
          <t>2026-07-20</t>
        </is>
      </c>
      <c r="E2525" s="37" t="inlineStr">
        <is>
          <t>Process Check</t>
        </is>
      </c>
      <c r="F2525" s="37" t="inlineStr">
        <is>
          <t>Check is AH giving capstone project in GROW Tech.</t>
        </is>
      </c>
      <c r="G2525" s="37" t="inlineStr">
        <is>
          <t>Not Applicable</t>
        </is>
      </c>
    </row>
    <row r="2526">
      <c r="A2526" s="37" t="inlineStr">
        <is>
          <t>S Jakir</t>
        </is>
      </c>
      <c r="B2526" s="37" t="inlineStr">
        <is>
          <t>Jalahalli</t>
        </is>
      </c>
      <c r="C2526" s="37" t="inlineStr">
        <is>
          <t>GROW Youth</t>
        </is>
      </c>
      <c r="D2526" s="37" t="inlineStr">
        <is>
          <t>2026-07-20</t>
        </is>
      </c>
      <c r="E2526" s="37" t="inlineStr">
        <is>
          <t>Process Check</t>
        </is>
      </c>
      <c r="F2526" s="37" t="inlineStr">
        <is>
          <t>Check is AH planning OJT as per guidelines and proofs are collected for technical courses.</t>
        </is>
      </c>
      <c r="G2526" s="37" t="inlineStr">
        <is>
          <t>Not Applicable</t>
        </is>
      </c>
    </row>
    <row r="2527">
      <c r="A2527" s="37" t="inlineStr">
        <is>
          <t>S Jakir</t>
        </is>
      </c>
      <c r="B2527" s="37" t="inlineStr">
        <is>
          <t>Jalahalli</t>
        </is>
      </c>
      <c r="C2527" s="37" t="inlineStr">
        <is>
          <t>GROW Youth</t>
        </is>
      </c>
      <c r="D2527" s="37" t="inlineStr">
        <is>
          <t>2026-07-20</t>
        </is>
      </c>
      <c r="E2527" s="37" t="inlineStr">
        <is>
          <t>Process Check</t>
        </is>
      </c>
      <c r="F2527" s="37" t="inlineStr">
        <is>
          <t>Check are trainers contacting aspirants to find reason for their absenteeism of more than 1 day.</t>
        </is>
      </c>
      <c r="G2527" s="37" t="inlineStr">
        <is>
          <t>All is Well</t>
        </is>
      </c>
    </row>
    <row r="2528">
      <c r="A2528" s="37" t="inlineStr">
        <is>
          <t>S Jakir</t>
        </is>
      </c>
      <c r="B2528" s="37" t="inlineStr">
        <is>
          <t>Jalahalli</t>
        </is>
      </c>
      <c r="C2528" s="37" t="inlineStr">
        <is>
          <t>GROW Youth</t>
        </is>
      </c>
      <c r="D2528" s="37" t="inlineStr">
        <is>
          <t>2026-07-20</t>
        </is>
      </c>
      <c r="E2528" s="37" t="inlineStr">
        <is>
          <t>Process Check</t>
        </is>
      </c>
      <c r="F2528" s="37" t="inlineStr">
        <is>
          <t>Check the AH plans monthly enrolment and placement numbers by the 3rd of each month and shares them with second level managers.</t>
        </is>
      </c>
      <c r="G2528" s="37" t="inlineStr">
        <is>
          <t>All is Well</t>
        </is>
      </c>
    </row>
    <row r="2529">
      <c r="A2529" s="37" t="inlineStr">
        <is>
          <t>S Jakir</t>
        </is>
      </c>
      <c r="B2529" s="37" t="inlineStr">
        <is>
          <t>Jalahalli</t>
        </is>
      </c>
      <c r="C2529" s="37" t="inlineStr">
        <is>
          <t>GROW Youth</t>
        </is>
      </c>
      <c r="D2529" s="37" t="inlineStr">
        <is>
          <t>2026-07-20</t>
        </is>
      </c>
      <c r="E2529" s="37" t="inlineStr">
        <is>
          <t>Process Check</t>
        </is>
      </c>
      <c r="F2529" s="37" t="inlineStr">
        <is>
          <t>Check trainers submit aspirants’ placement interest areas to the AH by the batch’s 25th day (in GROW).</t>
        </is>
      </c>
      <c r="G2529" s="37" t="inlineStr">
        <is>
          <t>All is Well</t>
        </is>
      </c>
    </row>
    <row r="2530">
      <c r="A2530" s="37" t="inlineStr">
        <is>
          <t>S Jakir</t>
        </is>
      </c>
      <c r="B2530" s="37" t="inlineStr">
        <is>
          <t>Jalahalli</t>
        </is>
      </c>
      <c r="C2530" s="37" t="inlineStr">
        <is>
          <t>GROW Youth</t>
        </is>
      </c>
      <c r="D2530" s="37" t="inlineStr">
        <is>
          <t>2026-07-20</t>
        </is>
      </c>
      <c r="E2530" s="37" t="inlineStr">
        <is>
          <t>Process Check</t>
        </is>
      </c>
      <c r="F2530" s="37" t="inlineStr">
        <is>
          <t>Ckeck For technical programs, placement is done only in technical jobs,on which aspirants are trained and relevant emplyers are identified by 45th day.</t>
        </is>
      </c>
      <c r="G2530" s="37" t="inlineStr">
        <is>
          <t>Not Applicable</t>
        </is>
      </c>
    </row>
    <row r="2531">
      <c r="A2531" s="37" t="inlineStr">
        <is>
          <t>S Jakir</t>
        </is>
      </c>
      <c r="B2531" s="37" t="inlineStr">
        <is>
          <t>Jalahalli</t>
        </is>
      </c>
      <c r="C2531" s="37" t="inlineStr">
        <is>
          <t>GROW Youth</t>
        </is>
      </c>
      <c r="D2531" s="37" t="inlineStr">
        <is>
          <t>2026-07-20</t>
        </is>
      </c>
      <c r="E2531" s="37" t="inlineStr">
        <is>
          <t>Process Check</t>
        </is>
      </c>
      <c r="F2531" s="37" t="inlineStr">
        <is>
          <t>Check the AH follows EP guidelines and minimum benchmark salary guidelines.</t>
        </is>
      </c>
      <c r="G2531" s="37" t="inlineStr">
        <is>
          <t>Need Improvement</t>
        </is>
      </c>
    </row>
    <row r="2532">
      <c r="A2532" s="37" t="inlineStr">
        <is>
          <t>S Jakir</t>
        </is>
      </c>
      <c r="B2532" s="37" t="inlineStr">
        <is>
          <t>Jalahalli</t>
        </is>
      </c>
      <c r="C2532" s="37" t="inlineStr">
        <is>
          <t>GROW Youth</t>
        </is>
      </c>
      <c r="D2532" s="37" t="inlineStr">
        <is>
          <t>2026-07-20</t>
        </is>
      </c>
      <c r="E2532" s="37" t="inlineStr">
        <is>
          <t>Process Check</t>
        </is>
      </c>
      <c r="F2532" s="37" t="inlineStr">
        <is>
          <t>Check that AH is enrolling only the right traget group in the program -as per the defined target.</t>
        </is>
      </c>
      <c r="G2532" s="37" t="inlineStr">
        <is>
          <t>All is Well</t>
        </is>
      </c>
    </row>
    <row r="2533">
      <c r="A2533" s="37" t="inlineStr">
        <is>
          <t>S Jakir</t>
        </is>
      </c>
      <c r="B2533" s="37" t="inlineStr">
        <is>
          <t>Jalahalli</t>
        </is>
      </c>
      <c r="C2533" s="37" t="inlineStr">
        <is>
          <t>GROW Youth</t>
        </is>
      </c>
      <c r="D2533" s="37" t="inlineStr">
        <is>
          <t>2026-07-20</t>
        </is>
      </c>
      <c r="E2533" s="37" t="inlineStr">
        <is>
          <t>Process Check</t>
        </is>
      </c>
      <c r="F2533" s="37" t="inlineStr">
        <is>
          <t>Check the AH announces the next batch-start date by the 3rd of the month on all notice boards — focus on Zero-Day start.</t>
        </is>
      </c>
      <c r="G2533" s="37" t="inlineStr">
        <is>
          <t>All is Well</t>
        </is>
      </c>
    </row>
    <row r="2534">
      <c r="A2534" s="37" t="inlineStr">
        <is>
          <t>S Jakir</t>
        </is>
      </c>
      <c r="B2534" s="37" t="inlineStr">
        <is>
          <t>Jalahalli</t>
        </is>
      </c>
      <c r="C2534" s="37" t="inlineStr">
        <is>
          <t>GROW Youth</t>
        </is>
      </c>
      <c r="D2534" s="37" t="inlineStr">
        <is>
          <t>2026-07-20</t>
        </is>
      </c>
      <c r="E2534" s="37" t="inlineStr">
        <is>
          <t>Process Check</t>
        </is>
      </c>
      <c r="F2534" s="37" t="inlineStr">
        <is>
          <t>Check the Aspirant Mock Interview Score Tracker is updated after every mock interview in the L&amp;D Google Sheet.</t>
        </is>
      </c>
      <c r="G2534" s="37" t="inlineStr">
        <is>
          <t>All is Well</t>
        </is>
      </c>
    </row>
    <row r="2535">
      <c r="A2535" s="37" t="inlineStr">
        <is>
          <t>S Jakir</t>
        </is>
      </c>
      <c r="B2535" s="37" t="inlineStr">
        <is>
          <t>Jalahalli</t>
        </is>
      </c>
      <c r="C2535" s="37" t="inlineStr">
        <is>
          <t>GROW Youth</t>
        </is>
      </c>
      <c r="D2535" s="37" t="inlineStr">
        <is>
          <t>2026-07-20</t>
        </is>
      </c>
      <c r="E2535" s="37" t="inlineStr">
        <is>
          <t>Process Check</t>
        </is>
      </c>
      <c r="F2535" s="37" t="inlineStr">
        <is>
          <t>Confirm NPS (Net Promoter Score) is collected at MSDF centres.</t>
        </is>
      </c>
      <c r="G2535" s="37" t="inlineStr">
        <is>
          <t>Not Applicable</t>
        </is>
      </c>
    </row>
    <row r="2536">
      <c r="A2536" s="37" t="inlineStr">
        <is>
          <t>S Jakir</t>
        </is>
      </c>
      <c r="B2536" s="37" t="inlineStr">
        <is>
          <t>Jalahalli</t>
        </is>
      </c>
      <c r="C2536" s="37" t="inlineStr">
        <is>
          <t>GROW Youth</t>
        </is>
      </c>
      <c r="D2536" s="37" t="inlineStr">
        <is>
          <t>2026-07-20</t>
        </is>
      </c>
      <c r="E2536" s="37" t="inlineStr">
        <is>
          <t>Process Check</t>
        </is>
      </c>
      <c r="F2536" s="37" t="inlineStr">
        <is>
          <t>Confirm that QAE is collecting student feedback for every batch.</t>
        </is>
      </c>
      <c r="G2536" s="37" t="inlineStr">
        <is>
          <t>All is Well</t>
        </is>
      </c>
    </row>
    <row r="2537">
      <c r="A2537" s="37" t="inlineStr">
        <is>
          <t>S Jakir</t>
        </is>
      </c>
      <c r="B2537" s="37" t="inlineStr">
        <is>
          <t>Jalahalli</t>
        </is>
      </c>
      <c r="C2537" s="37" t="inlineStr">
        <is>
          <t>GROW Youth</t>
        </is>
      </c>
      <c r="D2537" s="37" t="inlineStr">
        <is>
          <t>2026-07-20</t>
        </is>
      </c>
      <c r="E2537" s="37" t="inlineStr">
        <is>
          <t>Process Check</t>
        </is>
      </c>
      <c r="F2537" s="37" t="inlineStr">
        <is>
          <t>Confirm all centre teams have completed the GROW Manual Course on Skillfy — ask for achievement certificates.</t>
        </is>
      </c>
      <c r="G2537" s="37" t="inlineStr">
        <is>
          <t>All is Well</t>
        </is>
      </c>
    </row>
    <row r="2538">
      <c r="A2538" s="37" t="inlineStr">
        <is>
          <t>S Jakir</t>
        </is>
      </c>
      <c r="B2538" s="37" t="inlineStr">
        <is>
          <t>Jalahalli</t>
        </is>
      </c>
      <c r="C2538" s="37" t="inlineStr">
        <is>
          <t>GROW Youth</t>
        </is>
      </c>
      <c r="D2538" s="37" t="inlineStr">
        <is>
          <t>2026-07-20</t>
        </is>
      </c>
      <c r="E2538" s="37" t="inlineStr">
        <is>
          <t>Process Check</t>
        </is>
      </c>
      <c r="F2538" s="37" t="inlineStr">
        <is>
          <t>Check AH holds a quality weekly team meeting, documents action points in the weekly meeting format, and sends you a photo on WhatsApp.</t>
        </is>
      </c>
      <c r="G2538" s="37" t="inlineStr">
        <is>
          <t>All is Well</t>
        </is>
      </c>
    </row>
    <row r="2539">
      <c r="A2539" s="37" t="inlineStr">
        <is>
          <t>S Jakir</t>
        </is>
      </c>
      <c r="B2539" s="37" t="inlineStr">
        <is>
          <t>Jalahalli</t>
        </is>
      </c>
      <c r="C2539" s="37" t="inlineStr">
        <is>
          <t>GROW Youth</t>
        </is>
      </c>
      <c r="D2539" s="37" t="inlineStr">
        <is>
          <t>2026-07-20</t>
        </is>
      </c>
      <c r="E2539" s="37" t="inlineStr">
        <is>
          <t>Aspirant Interaction</t>
        </is>
      </c>
      <c r="F2539" s="37" t="inlineStr">
        <is>
          <t>Ask aspirants about the session plan — confirm training is happening as planned?</t>
        </is>
      </c>
      <c r="G2539" s="37" t="inlineStr">
        <is>
          <t>All is Well</t>
        </is>
      </c>
    </row>
    <row r="2540">
      <c r="A2540" s="37" t="inlineStr">
        <is>
          <t>S Jakir</t>
        </is>
      </c>
      <c r="B2540" s="37" t="inlineStr">
        <is>
          <t>Jalahalli</t>
        </is>
      </c>
      <c r="C2540" s="37" t="inlineStr">
        <is>
          <t>GROW Youth</t>
        </is>
      </c>
      <c r="D2540" s="37" t="inlineStr">
        <is>
          <t>2026-07-20</t>
        </is>
      </c>
      <c r="E2540" s="37" t="inlineStr">
        <is>
          <t>Aspirant Interaction</t>
        </is>
      </c>
      <c r="F2540" s="37" t="inlineStr">
        <is>
          <t>Ask about the quality of Core Employability component delivery (technical centres) and who delivers it.</t>
        </is>
      </c>
      <c r="G2540" s="37" t="inlineStr">
        <is>
          <t>Not Applicable</t>
        </is>
      </c>
    </row>
    <row r="2541">
      <c r="A2541" s="37" t="inlineStr">
        <is>
          <t>S Jakir</t>
        </is>
      </c>
      <c r="B2541" s="37" t="inlineStr">
        <is>
          <t>Jalahalli</t>
        </is>
      </c>
      <c r="C2541" s="37" t="inlineStr">
        <is>
          <t>GROW Youth</t>
        </is>
      </c>
      <c r="D2541" s="37" t="inlineStr">
        <is>
          <t>2026-07-20</t>
        </is>
      </c>
      <c r="E2541" s="37" t="inlineStr">
        <is>
          <t>Aspirant Interaction</t>
        </is>
      </c>
      <c r="F2541" s="37" t="inlineStr">
        <is>
          <t>Ask whether they are aware of the referral scheme?</t>
        </is>
      </c>
      <c r="G2541" s="37" t="inlineStr">
        <is>
          <t>All is Well</t>
        </is>
      </c>
    </row>
    <row r="2542">
      <c r="A2542" s="37" t="inlineStr">
        <is>
          <t>S Jakir</t>
        </is>
      </c>
      <c r="B2542" s="37" t="inlineStr">
        <is>
          <t>Jalahalli</t>
        </is>
      </c>
      <c r="C2542" s="37" t="inlineStr">
        <is>
          <t>GROW Youth</t>
        </is>
      </c>
      <c r="D2542" s="37" t="inlineStr">
        <is>
          <t>2026-07-20</t>
        </is>
      </c>
      <c r="E2542" s="37" t="inlineStr">
        <is>
          <t>Aspirant Interaction</t>
        </is>
      </c>
      <c r="F2542" s="37" t="inlineStr">
        <is>
          <t>Ask whether the AH explained the importance of the offer letter and sharing it with us once received for reporting purposes?</t>
        </is>
      </c>
      <c r="G2542" s="37" t="inlineStr">
        <is>
          <t>All is Well</t>
        </is>
      </c>
    </row>
    <row r="2543">
      <c r="A2543" s="37" t="inlineStr">
        <is>
          <t>S Jakir</t>
        </is>
      </c>
      <c r="B2543" s="37" t="inlineStr">
        <is>
          <t>Jalahalli</t>
        </is>
      </c>
      <c r="C2543" s="37" t="inlineStr">
        <is>
          <t>GROW Youth</t>
        </is>
      </c>
      <c r="D2543" s="37" t="inlineStr">
        <is>
          <t>2026-07-20</t>
        </is>
      </c>
      <c r="E2543" s="37" t="inlineStr">
        <is>
          <t>Aspirant Interaction</t>
        </is>
      </c>
      <c r="F2543" s="37" t="inlineStr">
        <is>
          <t>Ask how many are not interested in jobs — and if so, why they enrolled in the programme?</t>
        </is>
      </c>
      <c r="G2543" s="37" t="inlineStr">
        <is>
          <t>All is Well</t>
        </is>
      </c>
    </row>
    <row r="2544">
      <c r="A2544" s="37" t="inlineStr">
        <is>
          <t>S Jakir</t>
        </is>
      </c>
      <c r="B2544" s="37" t="inlineStr">
        <is>
          <t>Jalahalli</t>
        </is>
      </c>
      <c r="C2544" s="37" t="inlineStr">
        <is>
          <t>GROW Youth</t>
        </is>
      </c>
      <c r="D2544" s="37" t="inlineStr">
        <is>
          <t>2026-07-20</t>
        </is>
      </c>
      <c r="E2544" s="37" t="inlineStr">
        <is>
          <t>Aspirant Interaction</t>
        </is>
      </c>
      <c r="F2544" s="37" t="inlineStr">
        <is>
          <t>Ask whether they were told the kind of job they would get during counselling?</t>
        </is>
      </c>
      <c r="G2544" s="37" t="inlineStr">
        <is>
          <t>All is Well</t>
        </is>
      </c>
    </row>
    <row r="2545">
      <c r="A2545" s="37" t="inlineStr">
        <is>
          <t>S Jakir</t>
        </is>
      </c>
      <c r="B2545" s="37" t="inlineStr">
        <is>
          <t>Jalahalli</t>
        </is>
      </c>
      <c r="C2545" s="37" t="inlineStr">
        <is>
          <t>GROW Youth</t>
        </is>
      </c>
      <c r="D2545" s="37" t="inlineStr">
        <is>
          <t>2026-07-20</t>
        </is>
      </c>
      <c r="E2545" s="37" t="inlineStr">
        <is>
          <t>Aspirant Interaction</t>
        </is>
      </c>
      <c r="F2545" s="37" t="inlineStr">
        <is>
          <t>Ask whether they have been given LMS access?</t>
        </is>
      </c>
      <c r="G2545" s="37" t="inlineStr">
        <is>
          <t>All is Well</t>
        </is>
      </c>
    </row>
    <row r="2546">
      <c r="A2546" s="37" t="inlineStr">
        <is>
          <t>S Jakir</t>
        </is>
      </c>
      <c r="B2546" s="37" t="inlineStr">
        <is>
          <t>Jalahalli</t>
        </is>
      </c>
      <c r="C2546" s="37" t="inlineStr">
        <is>
          <t>GROW Youth</t>
        </is>
      </c>
      <c r="D2546" s="37" t="inlineStr">
        <is>
          <t>2026-07-20</t>
        </is>
      </c>
      <c r="E2546" s="37" t="inlineStr">
        <is>
          <t>Aspirant Interaction</t>
        </is>
      </c>
      <c r="F2546" s="37" t="inlineStr">
        <is>
          <t>Ask whether anyone asked them for money for training or placement?</t>
        </is>
      </c>
      <c r="G2546" s="37" t="inlineStr">
        <is>
          <t>All is Well</t>
        </is>
      </c>
    </row>
    <row r="2547">
      <c r="A2547" s="37" t="inlineStr">
        <is>
          <t>S Jakir</t>
        </is>
      </c>
      <c r="B2547" s="37" t="inlineStr">
        <is>
          <t>Jalahalli</t>
        </is>
      </c>
      <c r="C2547" s="37" t="inlineStr">
        <is>
          <t>GROW Youth</t>
        </is>
      </c>
      <c r="D2547" s="37" t="inlineStr">
        <is>
          <t>2026-07-20</t>
        </is>
      </c>
      <c r="E2547" s="37" t="inlineStr">
        <is>
          <t>Aspirant Interaction</t>
        </is>
      </c>
      <c r="F2547" s="37" t="inlineStr">
        <is>
          <t>Ask to show their mobile phones — are they enrolled on Skillfy? If not, get them enrolled and give written feedback to trainers and the AH in your presence.</t>
        </is>
      </c>
      <c r="G2547" s="37" t="inlineStr">
        <is>
          <t>All is Well</t>
        </is>
      </c>
    </row>
    <row r="2548">
      <c r="A2548" s="37" t="inlineStr">
        <is>
          <t>S Jakir</t>
        </is>
      </c>
      <c r="B2548" s="37" t="inlineStr">
        <is>
          <t>Jalahalli</t>
        </is>
      </c>
      <c r="C2548" s="37" t="inlineStr">
        <is>
          <t>GROW Youth</t>
        </is>
      </c>
      <c r="D2548" s="37" t="inlineStr">
        <is>
          <t>2026-07-20</t>
        </is>
      </c>
      <c r="E2548" s="37" t="inlineStr">
        <is>
          <t>Aspirant Interaction</t>
        </is>
      </c>
      <c r="F2548" s="37" t="inlineStr">
        <is>
          <t>Ask about the quality of the hostel and any issues they face.</t>
        </is>
      </c>
      <c r="G2548" s="37" t="inlineStr">
        <is>
          <t>Not Applicable</t>
        </is>
      </c>
    </row>
    <row r="2549">
      <c r="A2549" s="37" t="inlineStr">
        <is>
          <t>S Jakir</t>
        </is>
      </c>
      <c r="B2549" s="37" t="inlineStr">
        <is>
          <t>Jalahalli</t>
        </is>
      </c>
      <c r="C2549" s="37" t="inlineStr">
        <is>
          <t>GROW Youth</t>
        </is>
      </c>
      <c r="D2549" s="37" t="inlineStr">
        <is>
          <t>2026-07-20</t>
        </is>
      </c>
      <c r="E2549" s="37" t="inlineStr">
        <is>
          <t>Aspirant Interaction</t>
        </is>
      </c>
      <c r="F2549" s="37" t="inlineStr">
        <is>
          <t>Ask a few relevant screening questions to support the 10th-day report and remove non-serious candidates, explaining to them the reasons.</t>
        </is>
      </c>
      <c r="G2549" s="37" t="inlineStr">
        <is>
          <t>All is Well</t>
        </is>
      </c>
    </row>
    <row r="2550">
      <c r="A2550" s="37" t="inlineStr">
        <is>
          <t>S Jakir</t>
        </is>
      </c>
      <c r="B2550" s="37" t="inlineStr">
        <is>
          <t>Hebbal</t>
        </is>
      </c>
      <c r="C2550" s="37" t="inlineStr">
        <is>
          <t>GROW Plus</t>
        </is>
      </c>
      <c r="D2550" s="37" t="inlineStr">
        <is>
          <t>2026-07-17</t>
        </is>
      </c>
      <c r="E2550" s="37" t="inlineStr">
        <is>
          <t>Data Check</t>
        </is>
      </c>
      <c r="F2550" s="37" t="inlineStr">
        <is>
          <t>Reach the centre on time (unannounced) — confirm the centre opened on time.</t>
        </is>
      </c>
      <c r="G2550" s="37" t="inlineStr">
        <is>
          <t>All is Well</t>
        </is>
      </c>
    </row>
    <row r="2551">
      <c r="A2551" s="37" t="inlineStr">
        <is>
          <t>S Jakir</t>
        </is>
      </c>
      <c r="B2551" s="37" t="inlineStr">
        <is>
          <t>Hebbal</t>
        </is>
      </c>
      <c r="C2551" s="37" t="inlineStr">
        <is>
          <t>GROW Plus</t>
        </is>
      </c>
      <c r="D2551" s="37" t="inlineStr">
        <is>
          <t>2026-07-17</t>
        </is>
      </c>
      <c r="E2551" s="37" t="inlineStr">
        <is>
          <t>Data Check</t>
        </is>
      </c>
      <c r="F2551" s="37" t="inlineStr">
        <is>
          <t>Check the staff attendance register, the Google Sheet, and geo-tagged photos for aspirants.</t>
        </is>
      </c>
      <c r="G2551" s="37" t="inlineStr">
        <is>
          <t>Need Improvement</t>
        </is>
      </c>
    </row>
    <row r="2552">
      <c r="A2552" s="37" t="inlineStr">
        <is>
          <t>S Jakir</t>
        </is>
      </c>
      <c r="B2552" s="37" t="inlineStr">
        <is>
          <t>Hebbal</t>
        </is>
      </c>
      <c r="C2552" s="37" t="inlineStr">
        <is>
          <t>GROW Plus</t>
        </is>
      </c>
      <c r="D2552" s="37" t="inlineStr">
        <is>
          <t>2026-07-17</t>
        </is>
      </c>
      <c r="E2552" s="37" t="inlineStr">
        <is>
          <t>Data Check</t>
        </is>
      </c>
      <c r="F2552" s="37" t="inlineStr">
        <is>
          <t>Check Counselling and Screening Forms of recently started batches.</t>
        </is>
      </c>
      <c r="G2552" s="37" t="inlineStr">
        <is>
          <t>All is Well</t>
        </is>
      </c>
    </row>
    <row r="2553">
      <c r="A2553" s="37" t="inlineStr">
        <is>
          <t>S Jakir</t>
        </is>
      </c>
      <c r="B2553" s="37" t="inlineStr">
        <is>
          <t>Hebbal</t>
        </is>
      </c>
      <c r="C2553" s="37" t="inlineStr">
        <is>
          <t>GROW Plus</t>
        </is>
      </c>
      <c r="D2553" s="37" t="inlineStr">
        <is>
          <t>2026-07-17</t>
        </is>
      </c>
      <c r="E2553" s="37" t="inlineStr">
        <is>
          <t>Data Check</t>
        </is>
      </c>
      <c r="F2553" s="37" t="inlineStr">
        <is>
          <t>Check Aspirant Registration Forms and related documents.</t>
        </is>
      </c>
      <c r="G2553" s="37" t="inlineStr">
        <is>
          <t>All is Well</t>
        </is>
      </c>
    </row>
    <row r="2554">
      <c r="A2554" s="37" t="inlineStr">
        <is>
          <t>S Jakir</t>
        </is>
      </c>
      <c r="B2554" s="37" t="inlineStr">
        <is>
          <t>Hebbal</t>
        </is>
      </c>
      <c r="C2554" s="37" t="inlineStr">
        <is>
          <t>GROW Plus</t>
        </is>
      </c>
      <c r="D2554" s="37" t="inlineStr">
        <is>
          <t>2026-07-17</t>
        </is>
      </c>
      <c r="E2554" s="37" t="inlineStr">
        <is>
          <t>Data Check</t>
        </is>
      </c>
      <c r="F2554" s="37" t="inlineStr">
        <is>
          <t>On the GROW portal, confirm all student profile details and batch updates are currect.</t>
        </is>
      </c>
      <c r="G2554" s="37" t="inlineStr">
        <is>
          <t>All is Well</t>
        </is>
      </c>
    </row>
    <row r="2555">
      <c r="A2555" s="37" t="inlineStr">
        <is>
          <t>S Jakir</t>
        </is>
      </c>
      <c r="B2555" s="37" t="inlineStr">
        <is>
          <t>Hebbal</t>
        </is>
      </c>
      <c r="C2555" s="37" t="inlineStr">
        <is>
          <t>GROW Plus</t>
        </is>
      </c>
      <c r="D2555" s="37" t="inlineStr">
        <is>
          <t>2026-07-17</t>
        </is>
      </c>
      <c r="E2555" s="37" t="inlineStr">
        <is>
          <t>Data Check</t>
        </is>
      </c>
      <c r="F2555" s="37" t="inlineStr">
        <is>
          <t>Verify placement data — randomly call 3–4 alumni placed in the last 3 months to confirm veracity (random selection is essential).</t>
        </is>
      </c>
      <c r="G2555" s="37" t="inlineStr">
        <is>
          <t>All is Well</t>
        </is>
      </c>
    </row>
    <row r="2556">
      <c r="A2556" s="37" t="inlineStr">
        <is>
          <t>S Jakir</t>
        </is>
      </c>
      <c r="B2556" s="37" t="inlineStr">
        <is>
          <t>Hebbal</t>
        </is>
      </c>
      <c r="C2556" s="37" t="inlineStr">
        <is>
          <t>GROW Plus</t>
        </is>
      </c>
      <c r="D2556" s="37" t="inlineStr">
        <is>
          <t>2026-07-17</t>
        </is>
      </c>
      <c r="E2556" s="37" t="inlineStr">
        <is>
          <t>Data Check</t>
        </is>
      </c>
      <c r="F2556" s="37" t="inlineStr">
        <is>
          <t>Verify retention — check the Alumni Hand-holding Format is being updated as designed.</t>
        </is>
      </c>
      <c r="G2556" s="37" t="inlineStr">
        <is>
          <t>Need Improvement</t>
        </is>
      </c>
    </row>
    <row r="2557">
      <c r="A2557" s="37" t="inlineStr">
        <is>
          <t>S Jakir</t>
        </is>
      </c>
      <c r="B2557" s="37" t="inlineStr">
        <is>
          <t>Hebbal</t>
        </is>
      </c>
      <c r="C2557" s="37" t="inlineStr">
        <is>
          <t>GROW Plus</t>
        </is>
      </c>
      <c r="D2557" s="37" t="inlineStr">
        <is>
          <t>2026-07-17</t>
        </is>
      </c>
      <c r="E2557" s="37" t="inlineStr">
        <is>
          <t>Data Check</t>
        </is>
      </c>
      <c r="F2557" s="37" t="inlineStr">
        <is>
          <t>Check aspirant Hostel Forms are properly filled or not.</t>
        </is>
      </c>
      <c r="G2557" s="37" t="inlineStr">
        <is>
          <t>Not Applicable</t>
        </is>
      </c>
    </row>
    <row r="2558">
      <c r="A2558" s="37" t="inlineStr">
        <is>
          <t>S Jakir</t>
        </is>
      </c>
      <c r="B2558" s="37" t="inlineStr">
        <is>
          <t>Hebbal</t>
        </is>
      </c>
      <c r="C2558" s="37" t="inlineStr">
        <is>
          <t>GROW Plus</t>
        </is>
      </c>
      <c r="D2558" s="37" t="inlineStr">
        <is>
          <t>2026-07-17</t>
        </is>
      </c>
      <c r="E2558" s="37" t="inlineStr">
        <is>
          <t>Infra Check</t>
        </is>
      </c>
      <c r="F2558" s="37" t="inlineStr">
        <is>
          <t>Check all CCTV cameras; if any are not working, ask the AH to troubleshoot or call the vendor.</t>
        </is>
      </c>
      <c r="G2558" s="37" t="inlineStr">
        <is>
          <t>Need Improvement</t>
        </is>
      </c>
    </row>
    <row r="2559">
      <c r="A2559" s="37" t="inlineStr">
        <is>
          <t>S Jakir</t>
        </is>
      </c>
      <c r="B2559" s="37" t="inlineStr">
        <is>
          <t>Hebbal</t>
        </is>
      </c>
      <c r="C2559" s="37" t="inlineStr">
        <is>
          <t>GROW Plus</t>
        </is>
      </c>
      <c r="D2559" s="37" t="inlineStr">
        <is>
          <t>2026-07-17</t>
        </is>
      </c>
      <c r="E2559" s="37" t="inlineStr">
        <is>
          <t>Infra Check</t>
        </is>
      </c>
      <c r="F2559" s="37" t="inlineStr">
        <is>
          <t>Check for any scrap material and get it cleared, with support of Admin</t>
        </is>
      </c>
      <c r="G2559" s="37" t="inlineStr">
        <is>
          <t>Need Improvement</t>
        </is>
      </c>
    </row>
    <row r="2560">
      <c r="A2560" s="37" t="inlineStr">
        <is>
          <t>S Jakir</t>
        </is>
      </c>
      <c r="B2560" s="37" t="inlineStr">
        <is>
          <t>Hebbal</t>
        </is>
      </c>
      <c r="C2560" s="37" t="inlineStr">
        <is>
          <t>GROW Plus</t>
        </is>
      </c>
      <c r="D2560" s="37" t="inlineStr">
        <is>
          <t>2026-07-17</t>
        </is>
      </c>
      <c r="E2560" s="37" t="inlineStr">
        <is>
          <t>Infra Check</t>
        </is>
      </c>
      <c r="F2560" s="37" t="inlineStr">
        <is>
          <t>Check for any pending infra repairs.</t>
        </is>
      </c>
      <c r="G2560" s="37" t="inlineStr">
        <is>
          <t>All is Well</t>
        </is>
      </c>
    </row>
    <row r="2561">
      <c r="A2561" s="37" t="inlineStr">
        <is>
          <t>S Jakir</t>
        </is>
      </c>
      <c r="B2561" s="37" t="inlineStr">
        <is>
          <t>Hebbal</t>
        </is>
      </c>
      <c r="C2561" s="37" t="inlineStr">
        <is>
          <t>GROW Plus</t>
        </is>
      </c>
      <c r="D2561" s="37" t="inlineStr">
        <is>
          <t>2026-07-17</t>
        </is>
      </c>
      <c r="E2561" s="37" t="inlineStr">
        <is>
          <t>Infra Check</t>
        </is>
      </c>
      <c r="F2561" s="37" t="inlineStr">
        <is>
          <t>Check whether any fire extinguishers have expired (check the needle and expiry date both).</t>
        </is>
      </c>
      <c r="G2561" s="37" t="inlineStr">
        <is>
          <t>All is Well</t>
        </is>
      </c>
    </row>
    <row r="2562">
      <c r="A2562" s="37" t="inlineStr">
        <is>
          <t>S Jakir</t>
        </is>
      </c>
      <c r="B2562" s="37" t="inlineStr">
        <is>
          <t>Hebbal</t>
        </is>
      </c>
      <c r="C2562" s="37" t="inlineStr">
        <is>
          <t>GROW Plus</t>
        </is>
      </c>
      <c r="D2562" s="37" t="inlineStr">
        <is>
          <t>2026-07-17</t>
        </is>
      </c>
      <c r="E2562" s="37" t="inlineStr">
        <is>
          <t>Infra Check</t>
        </is>
      </c>
      <c r="F2562" s="37" t="inlineStr">
        <is>
          <t>Check basic cleanliness of the washrooms and the centre.</t>
        </is>
      </c>
      <c r="G2562" s="37" t="inlineStr">
        <is>
          <t>All is Well</t>
        </is>
      </c>
    </row>
    <row r="2563">
      <c r="A2563" s="37" t="inlineStr">
        <is>
          <t>S Jakir</t>
        </is>
      </c>
      <c r="B2563" s="37" t="inlineStr">
        <is>
          <t>Hebbal</t>
        </is>
      </c>
      <c r="C2563" s="37" t="inlineStr">
        <is>
          <t>GROW Plus</t>
        </is>
      </c>
      <c r="D2563" s="37" t="inlineStr">
        <is>
          <t>2026-07-17</t>
        </is>
      </c>
      <c r="E2563" s="37" t="inlineStr">
        <is>
          <t>Infra Check</t>
        </is>
      </c>
      <c r="F2563" s="37" t="inlineStr">
        <is>
          <t>Confirm the correct program and partner logos are displayed.</t>
        </is>
      </c>
      <c r="G2563" s="37" t="inlineStr">
        <is>
          <t>All is Well</t>
        </is>
      </c>
    </row>
    <row r="2564">
      <c r="A2564" s="37" t="inlineStr">
        <is>
          <t>S Jakir</t>
        </is>
      </c>
      <c r="B2564" s="37" t="inlineStr">
        <is>
          <t>Hebbal</t>
        </is>
      </c>
      <c r="C2564" s="37" t="inlineStr">
        <is>
          <t>GROW Plus</t>
        </is>
      </c>
      <c r="D2564" s="37" t="inlineStr">
        <is>
          <t>2026-07-17</t>
        </is>
      </c>
      <c r="E2564" s="37" t="inlineStr">
        <is>
          <t>Infra Check</t>
        </is>
      </c>
      <c r="F2564" s="37" t="inlineStr">
        <is>
          <t>Check the status of digital infra — PCs, smartboards, tablets, laptops, etc.</t>
        </is>
      </c>
      <c r="G2564" s="37" t="inlineStr">
        <is>
          <t>All is Well</t>
        </is>
      </c>
    </row>
    <row r="2565">
      <c r="A2565" s="37" t="inlineStr">
        <is>
          <t>S Jakir</t>
        </is>
      </c>
      <c r="B2565" s="37" t="inlineStr">
        <is>
          <t>Hebbal</t>
        </is>
      </c>
      <c r="C2565" s="37" t="inlineStr">
        <is>
          <t>GROW Plus</t>
        </is>
      </c>
      <c r="D2565" s="37" t="inlineStr">
        <is>
          <t>2026-07-17</t>
        </is>
      </c>
      <c r="E2565" s="37" t="inlineStr">
        <is>
          <t>Infra Check</t>
        </is>
      </c>
      <c r="F2565" s="37" t="inlineStr">
        <is>
          <t>Make a quick hostel visit; have lunch there if possible to test the food quality.</t>
        </is>
      </c>
      <c r="G2565" s="37" t="inlineStr">
        <is>
          <t>Not Applicable</t>
        </is>
      </c>
    </row>
    <row r="2566">
      <c r="A2566" s="37" t="inlineStr">
        <is>
          <t>S Jakir</t>
        </is>
      </c>
      <c r="B2566" s="37" t="inlineStr">
        <is>
          <t>Hebbal</t>
        </is>
      </c>
      <c r="C2566" s="37" t="inlineStr">
        <is>
          <t>GROW Plus</t>
        </is>
      </c>
      <c r="D2566" s="37" t="inlineStr">
        <is>
          <t>2026-07-17</t>
        </is>
      </c>
      <c r="E2566" s="37" t="inlineStr">
        <is>
          <t>Process Check</t>
        </is>
      </c>
      <c r="F2566" s="37" t="inlineStr">
        <is>
          <t>Refer to the activity planner — check if any activities are delayed.</t>
        </is>
      </c>
      <c r="G2566" s="37" t="inlineStr">
        <is>
          <t>Need Improvement</t>
        </is>
      </c>
    </row>
    <row r="2567">
      <c r="A2567" s="37" t="inlineStr">
        <is>
          <t>S Jakir</t>
        </is>
      </c>
      <c r="B2567" s="37" t="inlineStr">
        <is>
          <t>Hebbal</t>
        </is>
      </c>
      <c r="C2567" s="37" t="inlineStr">
        <is>
          <t>GROW Plus</t>
        </is>
      </c>
      <c r="D2567" s="37" t="inlineStr">
        <is>
          <t>2026-07-17</t>
        </is>
      </c>
      <c r="E2567" s="37" t="inlineStr">
        <is>
          <t>Process Check</t>
        </is>
      </c>
      <c r="F2567" s="37" t="inlineStr">
        <is>
          <t>Check planning for the next batch-start announcement.</t>
        </is>
      </c>
      <c r="G2567" s="37" t="inlineStr">
        <is>
          <t>Not Applicable</t>
        </is>
      </c>
    </row>
    <row r="2568">
      <c r="A2568" s="37" t="inlineStr">
        <is>
          <t>S Jakir</t>
        </is>
      </c>
      <c r="B2568" s="37" t="inlineStr">
        <is>
          <t>Hebbal</t>
        </is>
      </c>
      <c r="C2568" s="37" t="inlineStr">
        <is>
          <t>GROW Plus</t>
        </is>
      </c>
      <c r="D2568" s="37" t="inlineStr">
        <is>
          <t>2026-07-17</t>
        </is>
      </c>
      <c r="E2568" s="37" t="inlineStr">
        <is>
          <t>Process Check</t>
        </is>
      </c>
      <c r="F2568" s="37" t="inlineStr">
        <is>
          <t>Check if any hiring is delayed and plan a resolution.</t>
        </is>
      </c>
      <c r="G2568" s="37" t="inlineStr">
        <is>
          <t>All is Well</t>
        </is>
      </c>
    </row>
    <row r="2569">
      <c r="A2569" s="37" t="inlineStr">
        <is>
          <t>S Jakir</t>
        </is>
      </c>
      <c r="B2569" s="37" t="inlineStr">
        <is>
          <t>Hebbal</t>
        </is>
      </c>
      <c r="C2569" s="37" t="inlineStr">
        <is>
          <t>GROW Plus</t>
        </is>
      </c>
      <c r="D2569" s="37" t="inlineStr">
        <is>
          <t>2026-07-17</t>
        </is>
      </c>
      <c r="E2569" s="37" t="inlineStr">
        <is>
          <t>Process Check</t>
        </is>
      </c>
      <c r="F2569" s="37" t="inlineStr">
        <is>
          <t>Check the CA’s diary — is CA guided daily by the AH during planning days?</t>
        </is>
      </c>
      <c r="G2569" s="37" t="inlineStr">
        <is>
          <t>All is Well</t>
        </is>
      </c>
    </row>
    <row r="2570">
      <c r="A2570" s="37" t="inlineStr">
        <is>
          <t>S Jakir</t>
        </is>
      </c>
      <c r="B2570" s="37" t="inlineStr">
        <is>
          <t>Hebbal</t>
        </is>
      </c>
      <c r="C2570" s="37" t="inlineStr">
        <is>
          <t>GROW Plus</t>
        </is>
      </c>
      <c r="D2570" s="37" t="inlineStr">
        <is>
          <t>2026-07-17</t>
        </is>
      </c>
      <c r="E2570" s="37" t="inlineStr">
        <is>
          <t>Process Check</t>
        </is>
      </c>
      <c r="F2570" s="37" t="inlineStr">
        <is>
          <t>Check the AH is regularly meeting employers (in person and online) and updating the centre’s Top 20 Employer format.</t>
        </is>
      </c>
      <c r="G2570" s="37" t="inlineStr">
        <is>
          <t>All is Well</t>
        </is>
      </c>
    </row>
    <row r="2571">
      <c r="A2571" s="37" t="inlineStr">
        <is>
          <t>S Jakir</t>
        </is>
      </c>
      <c r="B2571" s="37" t="inlineStr">
        <is>
          <t>Hebbal</t>
        </is>
      </c>
      <c r="C2571" s="37" t="inlineStr">
        <is>
          <t>GROW Plus</t>
        </is>
      </c>
      <c r="D2571" s="37" t="inlineStr">
        <is>
          <t>2026-07-17</t>
        </is>
      </c>
      <c r="E2571" s="37" t="inlineStr">
        <is>
          <t>Process Check</t>
        </is>
      </c>
      <c r="F2571" s="37" t="inlineStr">
        <is>
          <t>Confirm all new employers are registered on portal as per new process.</t>
        </is>
      </c>
      <c r="G2571" s="37" t="inlineStr">
        <is>
          <t>All is Well</t>
        </is>
      </c>
    </row>
    <row r="2572">
      <c r="A2572" s="37" t="inlineStr">
        <is>
          <t>S Jakir</t>
        </is>
      </c>
      <c r="B2572" s="37" t="inlineStr">
        <is>
          <t>Hebbal</t>
        </is>
      </c>
      <c r="C2572" s="37" t="inlineStr">
        <is>
          <t>GROW Plus</t>
        </is>
      </c>
      <c r="D2572" s="37" t="inlineStr">
        <is>
          <t>2026-07-17</t>
        </is>
      </c>
      <c r="E2572" s="37" t="inlineStr">
        <is>
          <t>Process Check</t>
        </is>
      </c>
      <c r="F2572" s="37" t="inlineStr">
        <is>
          <t>Confirm 100% of enrolled students undergone screening (for technical courses).</t>
        </is>
      </c>
      <c r="G2572" s="37" t="inlineStr">
        <is>
          <t>All is Well</t>
        </is>
      </c>
    </row>
    <row r="2573">
      <c r="A2573" s="37" t="inlineStr">
        <is>
          <t>S Jakir</t>
        </is>
      </c>
      <c r="B2573" s="37" t="inlineStr">
        <is>
          <t>Hebbal</t>
        </is>
      </c>
      <c r="C2573" s="37" t="inlineStr">
        <is>
          <t>GROW Plus</t>
        </is>
      </c>
      <c r="D2573" s="37" t="inlineStr">
        <is>
          <t>2026-07-17</t>
        </is>
      </c>
      <c r="E2573" s="37" t="inlineStr">
        <is>
          <t>Process Check</t>
        </is>
      </c>
      <c r="F2573" s="37" t="inlineStr">
        <is>
          <t>Confirm ESA is done (in GROW full ESA and in Technical courses relevant sections of Core Employability Part).</t>
        </is>
      </c>
      <c r="G2573" s="37" t="inlineStr">
        <is>
          <t>All is Well</t>
        </is>
      </c>
    </row>
    <row r="2574">
      <c r="A2574" s="37" t="inlineStr">
        <is>
          <t>S Jakir</t>
        </is>
      </c>
      <c r="B2574" s="37" t="inlineStr">
        <is>
          <t>Hebbal</t>
        </is>
      </c>
      <c r="C2574" s="37" t="inlineStr">
        <is>
          <t>GROW Plus</t>
        </is>
      </c>
      <c r="D2574" s="37" t="inlineStr">
        <is>
          <t>2026-07-17</t>
        </is>
      </c>
      <c r="E2574" s="37" t="inlineStr">
        <is>
          <t>Process Check</t>
        </is>
      </c>
      <c r="F2574" s="37" t="inlineStr">
        <is>
          <t>Check is AH giving capstone project in GROW Tech.</t>
        </is>
      </c>
      <c r="G2574" s="37" t="inlineStr">
        <is>
          <t>Not Applicable</t>
        </is>
      </c>
    </row>
    <row r="2575">
      <c r="A2575" s="37" t="inlineStr">
        <is>
          <t>S Jakir</t>
        </is>
      </c>
      <c r="B2575" s="37" t="inlineStr">
        <is>
          <t>Hebbal</t>
        </is>
      </c>
      <c r="C2575" s="37" t="inlineStr">
        <is>
          <t>GROW Plus</t>
        </is>
      </c>
      <c r="D2575" s="37" t="inlineStr">
        <is>
          <t>2026-07-17</t>
        </is>
      </c>
      <c r="E2575" s="37" t="inlineStr">
        <is>
          <t>Process Check</t>
        </is>
      </c>
      <c r="F2575" s="37" t="inlineStr">
        <is>
          <t>Check is AH planning OJT as per guidelines and proofs are collected for technical courses.</t>
        </is>
      </c>
      <c r="G2575" s="37" t="inlineStr">
        <is>
          <t>Not Applicable</t>
        </is>
      </c>
    </row>
    <row r="2576">
      <c r="A2576" s="37" t="inlineStr">
        <is>
          <t>S Jakir</t>
        </is>
      </c>
      <c r="B2576" s="37" t="inlineStr">
        <is>
          <t>Hebbal</t>
        </is>
      </c>
      <c r="C2576" s="37" t="inlineStr">
        <is>
          <t>GROW Plus</t>
        </is>
      </c>
      <c r="D2576" s="37" t="inlineStr">
        <is>
          <t>2026-07-17</t>
        </is>
      </c>
      <c r="E2576" s="37" t="inlineStr">
        <is>
          <t>Process Check</t>
        </is>
      </c>
      <c r="F2576" s="37" t="inlineStr">
        <is>
          <t>Check are trainers contacting aspirants to find reason for their absenteeism of more than 1 day.</t>
        </is>
      </c>
      <c r="G2576" s="37" t="inlineStr">
        <is>
          <t>All is Well</t>
        </is>
      </c>
    </row>
    <row r="2577">
      <c r="A2577" s="37" t="inlineStr">
        <is>
          <t>S Jakir</t>
        </is>
      </c>
      <c r="B2577" s="37" t="inlineStr">
        <is>
          <t>Hebbal</t>
        </is>
      </c>
      <c r="C2577" s="37" t="inlineStr">
        <is>
          <t>GROW Plus</t>
        </is>
      </c>
      <c r="D2577" s="37" t="inlineStr">
        <is>
          <t>2026-07-17</t>
        </is>
      </c>
      <c r="E2577" s="37" t="inlineStr">
        <is>
          <t>Process Check</t>
        </is>
      </c>
      <c r="F2577" s="37" t="inlineStr">
        <is>
          <t>Check the AH plans monthly enrolment and placement numbers by the 3rd of each month and shares them with second level managers.</t>
        </is>
      </c>
      <c r="G2577" s="37" t="inlineStr">
        <is>
          <t>All is Well</t>
        </is>
      </c>
    </row>
    <row r="2578">
      <c r="A2578" s="37" t="inlineStr">
        <is>
          <t>S Jakir</t>
        </is>
      </c>
      <c r="B2578" s="37" t="inlineStr">
        <is>
          <t>Hebbal</t>
        </is>
      </c>
      <c r="C2578" s="37" t="inlineStr">
        <is>
          <t>GROW Plus</t>
        </is>
      </c>
      <c r="D2578" s="37" t="inlineStr">
        <is>
          <t>2026-07-17</t>
        </is>
      </c>
      <c r="E2578" s="37" t="inlineStr">
        <is>
          <t>Process Check</t>
        </is>
      </c>
      <c r="F2578" s="37" t="inlineStr">
        <is>
          <t>Check trainers submit aspirants’ placement interest areas to the AH by the batch’s 25th day (in GROW).</t>
        </is>
      </c>
      <c r="G2578" s="37" t="inlineStr">
        <is>
          <t>All is Well</t>
        </is>
      </c>
    </row>
    <row r="2579">
      <c r="A2579" s="37" t="inlineStr">
        <is>
          <t>S Jakir</t>
        </is>
      </c>
      <c r="B2579" s="37" t="inlineStr">
        <is>
          <t>Hebbal</t>
        </is>
      </c>
      <c r="C2579" s="37" t="inlineStr">
        <is>
          <t>GROW Plus</t>
        </is>
      </c>
      <c r="D2579" s="37" t="inlineStr">
        <is>
          <t>2026-07-17</t>
        </is>
      </c>
      <c r="E2579" s="37" t="inlineStr">
        <is>
          <t>Process Check</t>
        </is>
      </c>
      <c r="F2579" s="37" t="inlineStr">
        <is>
          <t>Ckeck For technical programs, placement is done only in technical jobs,on which aspirants are trained and relevant emplyers are identified by 45th day.</t>
        </is>
      </c>
      <c r="G2579" s="37" t="inlineStr">
        <is>
          <t>Not Applicable</t>
        </is>
      </c>
    </row>
    <row r="2580">
      <c r="A2580" s="37" t="inlineStr">
        <is>
          <t>S Jakir</t>
        </is>
      </c>
      <c r="B2580" s="37" t="inlineStr">
        <is>
          <t>Hebbal</t>
        </is>
      </c>
      <c r="C2580" s="37" t="inlineStr">
        <is>
          <t>GROW Plus</t>
        </is>
      </c>
      <c r="D2580" s="37" t="inlineStr">
        <is>
          <t>2026-07-17</t>
        </is>
      </c>
      <c r="E2580" s="37" t="inlineStr">
        <is>
          <t>Process Check</t>
        </is>
      </c>
      <c r="F2580" s="37" t="inlineStr">
        <is>
          <t>Check the AH follows EP guidelines and minimum benchmark salary guidelines.</t>
        </is>
      </c>
      <c r="G2580" s="37" t="inlineStr">
        <is>
          <t>All is Well</t>
        </is>
      </c>
    </row>
    <row r="2581">
      <c r="A2581" s="37" t="inlineStr">
        <is>
          <t>S Jakir</t>
        </is>
      </c>
      <c r="B2581" s="37" t="inlineStr">
        <is>
          <t>Hebbal</t>
        </is>
      </c>
      <c r="C2581" s="37" t="inlineStr">
        <is>
          <t>GROW Plus</t>
        </is>
      </c>
      <c r="D2581" s="37" t="inlineStr">
        <is>
          <t>2026-07-17</t>
        </is>
      </c>
      <c r="E2581" s="37" t="inlineStr">
        <is>
          <t>Process Check</t>
        </is>
      </c>
      <c r="F2581" s="37" t="inlineStr">
        <is>
          <t>Check that AH is enrolling only the right traget group in the program -as per the defined target.</t>
        </is>
      </c>
      <c r="G2581" s="37" t="inlineStr">
        <is>
          <t>All is Well</t>
        </is>
      </c>
    </row>
    <row r="2582">
      <c r="A2582" s="37" t="inlineStr">
        <is>
          <t>S Jakir</t>
        </is>
      </c>
      <c r="B2582" s="37" t="inlineStr">
        <is>
          <t>Hebbal</t>
        </is>
      </c>
      <c r="C2582" s="37" t="inlineStr">
        <is>
          <t>GROW Plus</t>
        </is>
      </c>
      <c r="D2582" s="37" t="inlineStr">
        <is>
          <t>2026-07-17</t>
        </is>
      </c>
      <c r="E2582" s="37" t="inlineStr">
        <is>
          <t>Process Check</t>
        </is>
      </c>
      <c r="F2582" s="37" t="inlineStr">
        <is>
          <t>Check the AH announces the next batch-start date by the 3rd of the month on all notice boards — focus on Zero-Day start.</t>
        </is>
      </c>
      <c r="G2582" s="37" t="inlineStr">
        <is>
          <t>All is Well</t>
        </is>
      </c>
    </row>
    <row r="2583">
      <c r="A2583" s="37" t="inlineStr">
        <is>
          <t>S Jakir</t>
        </is>
      </c>
      <c r="B2583" s="37" t="inlineStr">
        <is>
          <t>Hebbal</t>
        </is>
      </c>
      <c r="C2583" s="37" t="inlineStr">
        <is>
          <t>GROW Plus</t>
        </is>
      </c>
      <c r="D2583" s="37" t="inlineStr">
        <is>
          <t>2026-07-17</t>
        </is>
      </c>
      <c r="E2583" s="37" t="inlineStr">
        <is>
          <t>Process Check</t>
        </is>
      </c>
      <c r="F2583" s="37" t="inlineStr">
        <is>
          <t>Check the Aspirant Mock Interview Score Tracker is updated after every mock interview in the L&amp;D Google Sheet.</t>
        </is>
      </c>
      <c r="G2583" s="37" t="inlineStr">
        <is>
          <t>All is Well</t>
        </is>
      </c>
    </row>
    <row r="2584">
      <c r="A2584" s="37" t="inlineStr">
        <is>
          <t>S Jakir</t>
        </is>
      </c>
      <c r="B2584" s="37" t="inlineStr">
        <is>
          <t>Hebbal</t>
        </is>
      </c>
      <c r="C2584" s="37" t="inlineStr">
        <is>
          <t>GROW Plus</t>
        </is>
      </c>
      <c r="D2584" s="37" t="inlineStr">
        <is>
          <t>2026-07-17</t>
        </is>
      </c>
      <c r="E2584" s="37" t="inlineStr">
        <is>
          <t>Process Check</t>
        </is>
      </c>
      <c r="F2584" s="37" t="inlineStr">
        <is>
          <t>Confirm NPS (Net Promoter Score) is collected at MSDF centres.</t>
        </is>
      </c>
      <c r="G2584" s="37" t="inlineStr">
        <is>
          <t>Not Applicable</t>
        </is>
      </c>
    </row>
    <row r="2585">
      <c r="A2585" s="37" t="inlineStr">
        <is>
          <t>S Jakir</t>
        </is>
      </c>
      <c r="B2585" s="37" t="inlineStr">
        <is>
          <t>Hebbal</t>
        </is>
      </c>
      <c r="C2585" s="37" t="inlineStr">
        <is>
          <t>GROW Plus</t>
        </is>
      </c>
      <c r="D2585" s="37" t="inlineStr">
        <is>
          <t>2026-07-17</t>
        </is>
      </c>
      <c r="E2585" s="37" t="inlineStr">
        <is>
          <t>Process Check</t>
        </is>
      </c>
      <c r="F2585" s="37" t="inlineStr">
        <is>
          <t>Confirm that QAE is collecting student feedback for every batch.</t>
        </is>
      </c>
      <c r="G2585" s="37" t="inlineStr">
        <is>
          <t>All is Well</t>
        </is>
      </c>
    </row>
    <row r="2586">
      <c r="A2586" s="37" t="inlineStr">
        <is>
          <t>S Jakir</t>
        </is>
      </c>
      <c r="B2586" s="37" t="inlineStr">
        <is>
          <t>Hebbal</t>
        </is>
      </c>
      <c r="C2586" s="37" t="inlineStr">
        <is>
          <t>GROW Plus</t>
        </is>
      </c>
      <c r="D2586" s="37" t="inlineStr">
        <is>
          <t>2026-07-17</t>
        </is>
      </c>
      <c r="E2586" s="37" t="inlineStr">
        <is>
          <t>Process Check</t>
        </is>
      </c>
      <c r="F2586" s="37" t="inlineStr">
        <is>
          <t>Confirm all centre teams have completed the GROW Manual Course on Skillfy — ask for achievement certificates.</t>
        </is>
      </c>
      <c r="G2586" s="37" t="inlineStr">
        <is>
          <t>All is Well</t>
        </is>
      </c>
    </row>
    <row r="2587">
      <c r="A2587" s="37" t="inlineStr">
        <is>
          <t>S Jakir</t>
        </is>
      </c>
      <c r="B2587" s="37" t="inlineStr">
        <is>
          <t>Hebbal</t>
        </is>
      </c>
      <c r="C2587" s="37" t="inlineStr">
        <is>
          <t>GROW Plus</t>
        </is>
      </c>
      <c r="D2587" s="37" t="inlineStr">
        <is>
          <t>2026-07-17</t>
        </is>
      </c>
      <c r="E2587" s="37" t="inlineStr">
        <is>
          <t>Process Check</t>
        </is>
      </c>
      <c r="F2587" s="37" t="inlineStr">
        <is>
          <t>Check AH holds a quality weekly team meeting, documents action points in the weekly meeting format, and sends you a photo on WhatsApp.</t>
        </is>
      </c>
      <c r="G2587" s="37" t="inlineStr">
        <is>
          <t>All is Well</t>
        </is>
      </c>
    </row>
    <row r="2588">
      <c r="A2588" s="37" t="inlineStr">
        <is>
          <t>S Jakir</t>
        </is>
      </c>
      <c r="B2588" s="37" t="inlineStr">
        <is>
          <t>Hebbal</t>
        </is>
      </c>
      <c r="C2588" s="37" t="inlineStr">
        <is>
          <t>GROW Plus</t>
        </is>
      </c>
      <c r="D2588" s="37" t="inlineStr">
        <is>
          <t>2026-07-17</t>
        </is>
      </c>
      <c r="E2588" s="37" t="inlineStr">
        <is>
          <t>Aspirant Interaction</t>
        </is>
      </c>
      <c r="F2588" s="37" t="inlineStr">
        <is>
          <t>Ask aspirants about the session plan — confirm training is happening as planned?</t>
        </is>
      </c>
      <c r="G2588" s="37" t="inlineStr">
        <is>
          <t>All is Well</t>
        </is>
      </c>
    </row>
    <row r="2589">
      <c r="A2589" s="37" t="inlineStr">
        <is>
          <t>S Jakir</t>
        </is>
      </c>
      <c r="B2589" s="37" t="inlineStr">
        <is>
          <t>Hebbal</t>
        </is>
      </c>
      <c r="C2589" s="37" t="inlineStr">
        <is>
          <t>GROW Plus</t>
        </is>
      </c>
      <c r="D2589" s="37" t="inlineStr">
        <is>
          <t>2026-07-17</t>
        </is>
      </c>
      <c r="E2589" s="37" t="inlineStr">
        <is>
          <t>Aspirant Interaction</t>
        </is>
      </c>
      <c r="F2589" s="37" t="inlineStr">
        <is>
          <t>Ask about the quality of Core Employability component delivery (technical centres) and who delivers it.</t>
        </is>
      </c>
      <c r="G2589" s="37" t="inlineStr">
        <is>
          <t>Not Applicable</t>
        </is>
      </c>
    </row>
    <row r="2590">
      <c r="A2590" s="37" t="inlineStr">
        <is>
          <t>S Jakir</t>
        </is>
      </c>
      <c r="B2590" s="37" t="inlineStr">
        <is>
          <t>Hebbal</t>
        </is>
      </c>
      <c r="C2590" s="37" t="inlineStr">
        <is>
          <t>GROW Plus</t>
        </is>
      </c>
      <c r="D2590" s="37" t="inlineStr">
        <is>
          <t>2026-07-17</t>
        </is>
      </c>
      <c r="E2590" s="37" t="inlineStr">
        <is>
          <t>Aspirant Interaction</t>
        </is>
      </c>
      <c r="F2590" s="37" t="inlineStr">
        <is>
          <t>Ask whether they are aware of the referral scheme?</t>
        </is>
      </c>
      <c r="G2590" s="37" t="inlineStr">
        <is>
          <t>All is Well</t>
        </is>
      </c>
    </row>
    <row r="2591">
      <c r="A2591" s="37" t="inlineStr">
        <is>
          <t>S Jakir</t>
        </is>
      </c>
      <c r="B2591" s="37" t="inlineStr">
        <is>
          <t>Hebbal</t>
        </is>
      </c>
      <c r="C2591" s="37" t="inlineStr">
        <is>
          <t>GROW Plus</t>
        </is>
      </c>
      <c r="D2591" s="37" t="inlineStr">
        <is>
          <t>2026-07-17</t>
        </is>
      </c>
      <c r="E2591" s="37" t="inlineStr">
        <is>
          <t>Aspirant Interaction</t>
        </is>
      </c>
      <c r="F2591" s="37" t="inlineStr">
        <is>
          <t>Ask whether the AH explained the importance of the offer letter and sharing it with us once received for reporting purposes?</t>
        </is>
      </c>
      <c r="G2591" s="37" t="inlineStr">
        <is>
          <t>All is Well</t>
        </is>
      </c>
    </row>
    <row r="2592">
      <c r="A2592" s="37" t="inlineStr">
        <is>
          <t>S Jakir</t>
        </is>
      </c>
      <c r="B2592" s="37" t="inlineStr">
        <is>
          <t>Hebbal</t>
        </is>
      </c>
      <c r="C2592" s="37" t="inlineStr">
        <is>
          <t>GROW Plus</t>
        </is>
      </c>
      <c r="D2592" s="37" t="inlineStr">
        <is>
          <t>2026-07-17</t>
        </is>
      </c>
      <c r="E2592" s="37" t="inlineStr">
        <is>
          <t>Aspirant Interaction</t>
        </is>
      </c>
      <c r="F2592" s="37" t="inlineStr">
        <is>
          <t>Ask how many are not interested in jobs — and if so, why they enrolled in the programme?</t>
        </is>
      </c>
      <c r="G2592" s="37" t="inlineStr">
        <is>
          <t>All is Well</t>
        </is>
      </c>
    </row>
    <row r="2593">
      <c r="A2593" s="37" t="inlineStr">
        <is>
          <t>S Jakir</t>
        </is>
      </c>
      <c r="B2593" s="37" t="inlineStr">
        <is>
          <t>Hebbal</t>
        </is>
      </c>
      <c r="C2593" s="37" t="inlineStr">
        <is>
          <t>GROW Plus</t>
        </is>
      </c>
      <c r="D2593" s="37" t="inlineStr">
        <is>
          <t>2026-07-17</t>
        </is>
      </c>
      <c r="E2593" s="37" t="inlineStr">
        <is>
          <t>Aspirant Interaction</t>
        </is>
      </c>
      <c r="F2593" s="37" t="inlineStr">
        <is>
          <t>Ask whether they were told the kind of job they would get during counselling?</t>
        </is>
      </c>
      <c r="G2593" s="37" t="inlineStr">
        <is>
          <t>All is Well</t>
        </is>
      </c>
    </row>
    <row r="2594">
      <c r="A2594" s="37" t="inlineStr">
        <is>
          <t>S Jakir</t>
        </is>
      </c>
      <c r="B2594" s="37" t="inlineStr">
        <is>
          <t>Hebbal</t>
        </is>
      </c>
      <c r="C2594" s="37" t="inlineStr">
        <is>
          <t>GROW Plus</t>
        </is>
      </c>
      <c r="D2594" s="37" t="inlineStr">
        <is>
          <t>2026-07-17</t>
        </is>
      </c>
      <c r="E2594" s="37" t="inlineStr">
        <is>
          <t>Aspirant Interaction</t>
        </is>
      </c>
      <c r="F2594" s="37" t="inlineStr">
        <is>
          <t>Ask whether they have been given LMS access?</t>
        </is>
      </c>
      <c r="G2594" s="37" t="inlineStr">
        <is>
          <t>All is Well</t>
        </is>
      </c>
    </row>
    <row r="2595">
      <c r="A2595" s="37" t="inlineStr">
        <is>
          <t>S Jakir</t>
        </is>
      </c>
      <c r="B2595" s="37" t="inlineStr">
        <is>
          <t>Hebbal</t>
        </is>
      </c>
      <c r="C2595" s="37" t="inlineStr">
        <is>
          <t>GROW Plus</t>
        </is>
      </c>
      <c r="D2595" s="37" t="inlineStr">
        <is>
          <t>2026-07-17</t>
        </is>
      </c>
      <c r="E2595" s="37" t="inlineStr">
        <is>
          <t>Aspirant Interaction</t>
        </is>
      </c>
      <c r="F2595" s="37" t="inlineStr">
        <is>
          <t>Ask whether anyone asked them for money for training or placement?</t>
        </is>
      </c>
      <c r="G2595" s="37" t="inlineStr">
        <is>
          <t>All is Well</t>
        </is>
      </c>
    </row>
    <row r="2596">
      <c r="A2596" s="37" t="inlineStr">
        <is>
          <t>S Jakir</t>
        </is>
      </c>
      <c r="B2596" s="37" t="inlineStr">
        <is>
          <t>Hebbal</t>
        </is>
      </c>
      <c r="C2596" s="37" t="inlineStr">
        <is>
          <t>GROW Plus</t>
        </is>
      </c>
      <c r="D2596" s="37" t="inlineStr">
        <is>
          <t>2026-07-17</t>
        </is>
      </c>
      <c r="E2596" s="37" t="inlineStr">
        <is>
          <t>Aspirant Interaction</t>
        </is>
      </c>
      <c r="F2596" s="37" t="inlineStr">
        <is>
          <t>Ask to show their mobile phones — are they enrolled on Skillfy? If not, get them enrolled and give written feedback to trainers and the AH in your presence.</t>
        </is>
      </c>
      <c r="G2596" s="37" t="inlineStr">
        <is>
          <t>All is Well</t>
        </is>
      </c>
    </row>
    <row r="2597">
      <c r="A2597" s="37" t="inlineStr">
        <is>
          <t>S Jakir</t>
        </is>
      </c>
      <c r="B2597" s="37" t="inlineStr">
        <is>
          <t>Hebbal</t>
        </is>
      </c>
      <c r="C2597" s="37" t="inlineStr">
        <is>
          <t>GROW Plus</t>
        </is>
      </c>
      <c r="D2597" s="37" t="inlineStr">
        <is>
          <t>2026-07-17</t>
        </is>
      </c>
      <c r="E2597" s="37" t="inlineStr">
        <is>
          <t>Aspirant Interaction</t>
        </is>
      </c>
      <c r="F2597" s="37" t="inlineStr">
        <is>
          <t>Ask about the quality of the hostel and any issues they face.</t>
        </is>
      </c>
      <c r="G2597" s="37" t="inlineStr">
        <is>
          <t>Not Applicable</t>
        </is>
      </c>
    </row>
    <row r="2598">
      <c r="A2598" s="37" t="inlineStr">
        <is>
          <t>S Jakir</t>
        </is>
      </c>
      <c r="B2598" s="37" t="inlineStr">
        <is>
          <t>Hebbal</t>
        </is>
      </c>
      <c r="C2598" s="37" t="inlineStr">
        <is>
          <t>GROW Plus</t>
        </is>
      </c>
      <c r="D2598" s="37" t="inlineStr">
        <is>
          <t>2026-07-17</t>
        </is>
      </c>
      <c r="E2598" s="37" t="inlineStr">
        <is>
          <t>Aspirant Interaction</t>
        </is>
      </c>
      <c r="F2598" s="37" t="inlineStr">
        <is>
          <t>Ask a few relevant screening questions to support the 10th-day report and remove non-serious candidates, explaining to them the reasons.</t>
        </is>
      </c>
      <c r="G2598" s="37" t="inlineStr">
        <is>
          <t>All is Well</t>
        </is>
      </c>
    </row>
    <row r="2599">
      <c r="A2599" s="37" t="inlineStr">
        <is>
          <t>S Jakir</t>
        </is>
      </c>
      <c r="B2599" s="37" t="inlineStr">
        <is>
          <t>Uttarahalli</t>
        </is>
      </c>
      <c r="C2599" s="37" t="inlineStr">
        <is>
          <t>GROW Youth</t>
        </is>
      </c>
      <c r="D2599" s="37" t="inlineStr">
        <is>
          <t>2026-07-16</t>
        </is>
      </c>
      <c r="E2599" s="37" t="inlineStr">
        <is>
          <t>Data Check</t>
        </is>
      </c>
      <c r="F2599" s="37" t="inlineStr">
        <is>
          <t>Reach the centre on time (unannounced) — confirm the centre opened on time.</t>
        </is>
      </c>
      <c r="G2599" s="37" t="inlineStr">
        <is>
          <t>All is Well</t>
        </is>
      </c>
    </row>
    <row r="2600">
      <c r="A2600" s="37" t="inlineStr">
        <is>
          <t>S Jakir</t>
        </is>
      </c>
      <c r="B2600" s="37" t="inlineStr">
        <is>
          <t>Uttarahalli</t>
        </is>
      </c>
      <c r="C2600" s="37" t="inlineStr">
        <is>
          <t>GROW Youth</t>
        </is>
      </c>
      <c r="D2600" s="37" t="inlineStr">
        <is>
          <t>2026-07-16</t>
        </is>
      </c>
      <c r="E2600" s="37" t="inlineStr">
        <is>
          <t>Data Check</t>
        </is>
      </c>
      <c r="F2600" s="37" t="inlineStr">
        <is>
          <t>Check the staff attendance register, the Google Sheet, and geo-tagged photos for aspirants.</t>
        </is>
      </c>
      <c r="G2600" s="37" t="inlineStr">
        <is>
          <t>All is Well</t>
        </is>
      </c>
    </row>
    <row r="2601">
      <c r="A2601" s="37" t="inlineStr">
        <is>
          <t>S Jakir</t>
        </is>
      </c>
      <c r="B2601" s="37" t="inlineStr">
        <is>
          <t>Uttarahalli</t>
        </is>
      </c>
      <c r="C2601" s="37" t="inlineStr">
        <is>
          <t>GROW Youth</t>
        </is>
      </c>
      <c r="D2601" s="37" t="inlineStr">
        <is>
          <t>2026-07-16</t>
        </is>
      </c>
      <c r="E2601" s="37" t="inlineStr">
        <is>
          <t>Data Check</t>
        </is>
      </c>
      <c r="F2601" s="37" t="inlineStr">
        <is>
          <t>Check Counselling and Screening Forms of recently started batches.</t>
        </is>
      </c>
      <c r="G2601" s="37" t="inlineStr">
        <is>
          <t>All is Well</t>
        </is>
      </c>
    </row>
    <row r="2602">
      <c r="A2602" s="37" t="inlineStr">
        <is>
          <t>S Jakir</t>
        </is>
      </c>
      <c r="B2602" s="37" t="inlineStr">
        <is>
          <t>Uttarahalli</t>
        </is>
      </c>
      <c r="C2602" s="37" t="inlineStr">
        <is>
          <t>GROW Youth</t>
        </is>
      </c>
      <c r="D2602" s="37" t="inlineStr">
        <is>
          <t>2026-07-16</t>
        </is>
      </c>
      <c r="E2602" s="37" t="inlineStr">
        <is>
          <t>Data Check</t>
        </is>
      </c>
      <c r="F2602" s="37" t="inlineStr">
        <is>
          <t>Check Aspirant Registration Forms and related documents.</t>
        </is>
      </c>
      <c r="G2602" s="37" t="inlineStr">
        <is>
          <t>All is Well</t>
        </is>
      </c>
    </row>
    <row r="2603">
      <c r="A2603" s="37" t="inlineStr">
        <is>
          <t>S Jakir</t>
        </is>
      </c>
      <c r="B2603" s="37" t="inlineStr">
        <is>
          <t>Uttarahalli</t>
        </is>
      </c>
      <c r="C2603" s="37" t="inlineStr">
        <is>
          <t>GROW Youth</t>
        </is>
      </c>
      <c r="D2603" s="37" t="inlineStr">
        <is>
          <t>2026-07-16</t>
        </is>
      </c>
      <c r="E2603" s="37" t="inlineStr">
        <is>
          <t>Data Check</t>
        </is>
      </c>
      <c r="F2603" s="37" t="inlineStr">
        <is>
          <t>On the GROW portal, confirm all student profile details and batch updates are currect.</t>
        </is>
      </c>
      <c r="G2603" s="37" t="inlineStr">
        <is>
          <t>All is Well</t>
        </is>
      </c>
    </row>
    <row r="2604">
      <c r="A2604" s="37" t="inlineStr">
        <is>
          <t>S Jakir</t>
        </is>
      </c>
      <c r="B2604" s="37" t="inlineStr">
        <is>
          <t>Uttarahalli</t>
        </is>
      </c>
      <c r="C2604" s="37" t="inlineStr">
        <is>
          <t>GROW Youth</t>
        </is>
      </c>
      <c r="D2604" s="37" t="inlineStr">
        <is>
          <t>2026-07-16</t>
        </is>
      </c>
      <c r="E2604" s="37" t="inlineStr">
        <is>
          <t>Data Check</t>
        </is>
      </c>
      <c r="F2604" s="37" t="inlineStr">
        <is>
          <t>Verify placement data — randomly call 3–4 alumni placed in the last 3 months to confirm veracity (random selection is essential).</t>
        </is>
      </c>
      <c r="G2604" s="37" t="inlineStr">
        <is>
          <t>All is Well</t>
        </is>
      </c>
    </row>
    <row r="2605">
      <c r="A2605" s="37" t="inlineStr">
        <is>
          <t>S Jakir</t>
        </is>
      </c>
      <c r="B2605" s="37" t="inlineStr">
        <is>
          <t>Uttarahalli</t>
        </is>
      </c>
      <c r="C2605" s="37" t="inlineStr">
        <is>
          <t>GROW Youth</t>
        </is>
      </c>
      <c r="D2605" s="37" t="inlineStr">
        <is>
          <t>2026-07-16</t>
        </is>
      </c>
      <c r="E2605" s="37" t="inlineStr">
        <is>
          <t>Data Check</t>
        </is>
      </c>
      <c r="F2605" s="37" t="inlineStr">
        <is>
          <t>Verify retention — check the Alumni Hand-holding Format is being updated as designed.</t>
        </is>
      </c>
      <c r="G2605" s="37" t="inlineStr">
        <is>
          <t>Need Improvement</t>
        </is>
      </c>
    </row>
    <row r="2606">
      <c r="A2606" s="37" t="inlineStr">
        <is>
          <t>S Jakir</t>
        </is>
      </c>
      <c r="B2606" s="37" t="inlineStr">
        <is>
          <t>Uttarahalli</t>
        </is>
      </c>
      <c r="C2606" s="37" t="inlineStr">
        <is>
          <t>GROW Youth</t>
        </is>
      </c>
      <c r="D2606" s="37" t="inlineStr">
        <is>
          <t>2026-07-16</t>
        </is>
      </c>
      <c r="E2606" s="37" t="inlineStr">
        <is>
          <t>Data Check</t>
        </is>
      </c>
      <c r="F2606" s="37" t="inlineStr">
        <is>
          <t>Check aspirant Hostel Forms are properly filled or not.</t>
        </is>
      </c>
      <c r="G2606" s="37" t="inlineStr">
        <is>
          <t>Not Applicable</t>
        </is>
      </c>
    </row>
    <row r="2607">
      <c r="A2607" s="37" t="inlineStr">
        <is>
          <t>S Jakir</t>
        </is>
      </c>
      <c r="B2607" s="37" t="inlineStr">
        <is>
          <t>Uttarahalli</t>
        </is>
      </c>
      <c r="C2607" s="37" t="inlineStr">
        <is>
          <t>GROW Youth</t>
        </is>
      </c>
      <c r="D2607" s="37" t="inlineStr">
        <is>
          <t>2026-07-16</t>
        </is>
      </c>
      <c r="E2607" s="37" t="inlineStr">
        <is>
          <t>Infra Check</t>
        </is>
      </c>
      <c r="F2607" s="37" t="inlineStr">
        <is>
          <t>Check all CCTV cameras; if any are not working, ask the AH to troubleshoot or call the vendor.</t>
        </is>
      </c>
      <c r="G2607" s="37" t="inlineStr">
        <is>
          <t>Need Improvement</t>
        </is>
      </c>
    </row>
    <row r="2608">
      <c r="A2608" s="37" t="inlineStr">
        <is>
          <t>S Jakir</t>
        </is>
      </c>
      <c r="B2608" s="37" t="inlineStr">
        <is>
          <t>Uttarahalli</t>
        </is>
      </c>
      <c r="C2608" s="37" t="inlineStr">
        <is>
          <t>GROW Youth</t>
        </is>
      </c>
      <c r="D2608" s="37" t="inlineStr">
        <is>
          <t>2026-07-16</t>
        </is>
      </c>
      <c r="E2608" s="37" t="inlineStr">
        <is>
          <t>Infra Check</t>
        </is>
      </c>
      <c r="F2608" s="37" t="inlineStr">
        <is>
          <t>Check for any scrap material and get it cleared, with support of Admin</t>
        </is>
      </c>
      <c r="G2608" s="37" t="inlineStr">
        <is>
          <t>Need Improvement</t>
        </is>
      </c>
    </row>
    <row r="2609">
      <c r="A2609" s="37" t="inlineStr">
        <is>
          <t>S Jakir</t>
        </is>
      </c>
      <c r="B2609" s="37" t="inlineStr">
        <is>
          <t>Uttarahalli</t>
        </is>
      </c>
      <c r="C2609" s="37" t="inlineStr">
        <is>
          <t>GROW Youth</t>
        </is>
      </c>
      <c r="D2609" s="37" t="inlineStr">
        <is>
          <t>2026-07-16</t>
        </is>
      </c>
      <c r="E2609" s="37" t="inlineStr">
        <is>
          <t>Infra Check</t>
        </is>
      </c>
      <c r="F2609" s="37" t="inlineStr">
        <is>
          <t>Check for any pending infra repairs.</t>
        </is>
      </c>
      <c r="G2609" s="37" t="inlineStr">
        <is>
          <t>All is Well</t>
        </is>
      </c>
    </row>
    <row r="2610">
      <c r="A2610" s="37" t="inlineStr">
        <is>
          <t>S Jakir</t>
        </is>
      </c>
      <c r="B2610" s="37" t="inlineStr">
        <is>
          <t>Uttarahalli</t>
        </is>
      </c>
      <c r="C2610" s="37" t="inlineStr">
        <is>
          <t>GROW Youth</t>
        </is>
      </c>
      <c r="D2610" s="37" t="inlineStr">
        <is>
          <t>2026-07-16</t>
        </is>
      </c>
      <c r="E2610" s="37" t="inlineStr">
        <is>
          <t>Infra Check</t>
        </is>
      </c>
      <c r="F2610" s="37" t="inlineStr">
        <is>
          <t>Check whether any fire extinguishers have expired (check the needle and expiry date both).</t>
        </is>
      </c>
      <c r="G2610" s="37" t="inlineStr">
        <is>
          <t>All is Well</t>
        </is>
      </c>
    </row>
    <row r="2611">
      <c r="A2611" s="37" t="inlineStr">
        <is>
          <t>S Jakir</t>
        </is>
      </c>
      <c r="B2611" s="37" t="inlineStr">
        <is>
          <t>Uttarahalli</t>
        </is>
      </c>
      <c r="C2611" s="37" t="inlineStr">
        <is>
          <t>GROW Youth</t>
        </is>
      </c>
      <c r="D2611" s="37" t="inlineStr">
        <is>
          <t>2026-07-16</t>
        </is>
      </c>
      <c r="E2611" s="37" t="inlineStr">
        <is>
          <t>Infra Check</t>
        </is>
      </c>
      <c r="F2611" s="37" t="inlineStr">
        <is>
          <t>Check basic cleanliness of the washrooms and the centre.</t>
        </is>
      </c>
      <c r="G2611" s="37" t="inlineStr">
        <is>
          <t>Need Improvement</t>
        </is>
      </c>
    </row>
    <row r="2612">
      <c r="A2612" s="37" t="inlineStr">
        <is>
          <t>S Jakir</t>
        </is>
      </c>
      <c r="B2612" s="37" t="inlineStr">
        <is>
          <t>Uttarahalli</t>
        </is>
      </c>
      <c r="C2612" s="37" t="inlineStr">
        <is>
          <t>GROW Youth</t>
        </is>
      </c>
      <c r="D2612" s="37" t="inlineStr">
        <is>
          <t>2026-07-16</t>
        </is>
      </c>
      <c r="E2612" s="37" t="inlineStr">
        <is>
          <t>Infra Check</t>
        </is>
      </c>
      <c r="F2612" s="37" t="inlineStr">
        <is>
          <t>Confirm the correct program and partner logos are displayed.</t>
        </is>
      </c>
      <c r="G2612" s="37" t="inlineStr">
        <is>
          <t>All is Well</t>
        </is>
      </c>
    </row>
    <row r="2613">
      <c r="A2613" s="37" t="inlineStr">
        <is>
          <t>S Jakir</t>
        </is>
      </c>
      <c r="B2613" s="37" t="inlineStr">
        <is>
          <t>Uttarahalli</t>
        </is>
      </c>
      <c r="C2613" s="37" t="inlineStr">
        <is>
          <t>GROW Youth</t>
        </is>
      </c>
      <c r="D2613" s="37" t="inlineStr">
        <is>
          <t>2026-07-16</t>
        </is>
      </c>
      <c r="E2613" s="37" t="inlineStr">
        <is>
          <t>Infra Check</t>
        </is>
      </c>
      <c r="F2613" s="37" t="inlineStr">
        <is>
          <t>Check the status of digital infra — PCs, smartboards, tablets, laptops, etc.</t>
        </is>
      </c>
      <c r="G2613" s="37" t="inlineStr">
        <is>
          <t>All is Well</t>
        </is>
      </c>
    </row>
    <row r="2614">
      <c r="A2614" s="37" t="inlineStr">
        <is>
          <t>S Jakir</t>
        </is>
      </c>
      <c r="B2614" s="37" t="inlineStr">
        <is>
          <t>Uttarahalli</t>
        </is>
      </c>
      <c r="C2614" s="37" t="inlineStr">
        <is>
          <t>GROW Youth</t>
        </is>
      </c>
      <c r="D2614" s="37" t="inlineStr">
        <is>
          <t>2026-07-16</t>
        </is>
      </c>
      <c r="E2614" s="37" t="inlineStr">
        <is>
          <t>Infra Check</t>
        </is>
      </c>
      <c r="F2614" s="37" t="inlineStr">
        <is>
          <t>Make a quick hostel visit; have lunch there if possible to test the food quality.</t>
        </is>
      </c>
      <c r="G2614" s="37" t="inlineStr">
        <is>
          <t>Not Applicable</t>
        </is>
      </c>
    </row>
    <row r="2615">
      <c r="A2615" s="37" t="inlineStr">
        <is>
          <t>S Jakir</t>
        </is>
      </c>
      <c r="B2615" s="37" t="inlineStr">
        <is>
          <t>Uttarahalli</t>
        </is>
      </c>
      <c r="C2615" s="37" t="inlineStr">
        <is>
          <t>GROW Youth</t>
        </is>
      </c>
      <c r="D2615" s="37" t="inlineStr">
        <is>
          <t>2026-07-16</t>
        </is>
      </c>
      <c r="E2615" s="37" t="inlineStr">
        <is>
          <t>Process Check</t>
        </is>
      </c>
      <c r="F2615" s="37" t="inlineStr">
        <is>
          <t>Refer to the activity planner — check if any activities are delayed.</t>
        </is>
      </c>
      <c r="G2615" s="37" t="inlineStr">
        <is>
          <t>Need Improvement</t>
        </is>
      </c>
    </row>
    <row r="2616">
      <c r="A2616" s="37" t="inlineStr">
        <is>
          <t>S Jakir</t>
        </is>
      </c>
      <c r="B2616" s="37" t="inlineStr">
        <is>
          <t>Uttarahalli</t>
        </is>
      </c>
      <c r="C2616" s="37" t="inlineStr">
        <is>
          <t>GROW Youth</t>
        </is>
      </c>
      <c r="D2616" s="37" t="inlineStr">
        <is>
          <t>2026-07-16</t>
        </is>
      </c>
      <c r="E2616" s="37" t="inlineStr">
        <is>
          <t>Process Check</t>
        </is>
      </c>
      <c r="F2616" s="37" t="inlineStr">
        <is>
          <t>Check planning for the next batch-start announcement.</t>
        </is>
      </c>
      <c r="G2616" s="37" t="inlineStr">
        <is>
          <t>All is Well</t>
        </is>
      </c>
    </row>
    <row r="2617">
      <c r="A2617" s="37" t="inlineStr">
        <is>
          <t>S Jakir</t>
        </is>
      </c>
      <c r="B2617" s="37" t="inlineStr">
        <is>
          <t>Uttarahalli</t>
        </is>
      </c>
      <c r="C2617" s="37" t="inlineStr">
        <is>
          <t>GROW Youth</t>
        </is>
      </c>
      <c r="D2617" s="37" t="inlineStr">
        <is>
          <t>2026-07-16</t>
        </is>
      </c>
      <c r="E2617" s="37" t="inlineStr">
        <is>
          <t>Process Check</t>
        </is>
      </c>
      <c r="F2617" s="37" t="inlineStr">
        <is>
          <t>Check if any hiring is delayed and plan a resolution.</t>
        </is>
      </c>
      <c r="G2617" s="37" t="inlineStr">
        <is>
          <t>All is Well</t>
        </is>
      </c>
    </row>
    <row r="2618">
      <c r="A2618" s="37" t="inlineStr">
        <is>
          <t>S Jakir</t>
        </is>
      </c>
      <c r="B2618" s="37" t="inlineStr">
        <is>
          <t>Uttarahalli</t>
        </is>
      </c>
      <c r="C2618" s="37" t="inlineStr">
        <is>
          <t>GROW Youth</t>
        </is>
      </c>
      <c r="D2618" s="37" t="inlineStr">
        <is>
          <t>2026-07-16</t>
        </is>
      </c>
      <c r="E2618" s="37" t="inlineStr">
        <is>
          <t>Process Check</t>
        </is>
      </c>
      <c r="F2618" s="37" t="inlineStr">
        <is>
          <t>Check the CA’s diary — is CA guided daily by the AH during planning days?</t>
        </is>
      </c>
      <c r="G2618" s="37" t="inlineStr">
        <is>
          <t>All is Well</t>
        </is>
      </c>
    </row>
    <row r="2619">
      <c r="A2619" s="37" t="inlineStr">
        <is>
          <t>S Jakir</t>
        </is>
      </c>
      <c r="B2619" s="37" t="inlineStr">
        <is>
          <t>Uttarahalli</t>
        </is>
      </c>
      <c r="C2619" s="37" t="inlineStr">
        <is>
          <t>GROW Youth</t>
        </is>
      </c>
      <c r="D2619" s="37" t="inlineStr">
        <is>
          <t>2026-07-16</t>
        </is>
      </c>
      <c r="E2619" s="37" t="inlineStr">
        <is>
          <t>Process Check</t>
        </is>
      </c>
      <c r="F2619" s="37" t="inlineStr">
        <is>
          <t>Check the AH is regularly meeting employers (in person and online) and updating the centre’s Top 20 Employer format.</t>
        </is>
      </c>
      <c r="G2619" s="37" t="inlineStr">
        <is>
          <t>All is Well</t>
        </is>
      </c>
    </row>
    <row r="2620">
      <c r="A2620" s="37" t="inlineStr">
        <is>
          <t>S Jakir</t>
        </is>
      </c>
      <c r="B2620" s="37" t="inlineStr">
        <is>
          <t>Uttarahalli</t>
        </is>
      </c>
      <c r="C2620" s="37" t="inlineStr">
        <is>
          <t>GROW Youth</t>
        </is>
      </c>
      <c r="D2620" s="37" t="inlineStr">
        <is>
          <t>2026-07-16</t>
        </is>
      </c>
      <c r="E2620" s="37" t="inlineStr">
        <is>
          <t>Process Check</t>
        </is>
      </c>
      <c r="F2620" s="37" t="inlineStr">
        <is>
          <t>Confirm all new employers are registered on portal as per new process.</t>
        </is>
      </c>
      <c r="G2620" s="37" t="inlineStr">
        <is>
          <t>All is Well</t>
        </is>
      </c>
    </row>
    <row r="2621">
      <c r="A2621" s="37" t="inlineStr">
        <is>
          <t>S Jakir</t>
        </is>
      </c>
      <c r="B2621" s="37" t="inlineStr">
        <is>
          <t>Uttarahalli</t>
        </is>
      </c>
      <c r="C2621" s="37" t="inlineStr">
        <is>
          <t>GROW Youth</t>
        </is>
      </c>
      <c r="D2621" s="37" t="inlineStr">
        <is>
          <t>2026-07-16</t>
        </is>
      </c>
      <c r="E2621" s="37" t="inlineStr">
        <is>
          <t>Process Check</t>
        </is>
      </c>
      <c r="F2621" s="37" t="inlineStr">
        <is>
          <t>Confirm 100% of enrolled students undergone screening (for technical courses).</t>
        </is>
      </c>
      <c r="G2621" s="37" t="inlineStr">
        <is>
          <t>All is Well</t>
        </is>
      </c>
    </row>
    <row r="2622">
      <c r="A2622" s="37" t="inlineStr">
        <is>
          <t>S Jakir</t>
        </is>
      </c>
      <c r="B2622" s="37" t="inlineStr">
        <is>
          <t>Uttarahalli</t>
        </is>
      </c>
      <c r="C2622" s="37" t="inlineStr">
        <is>
          <t>GROW Youth</t>
        </is>
      </c>
      <c r="D2622" s="37" t="inlineStr">
        <is>
          <t>2026-07-16</t>
        </is>
      </c>
      <c r="E2622" s="37" t="inlineStr">
        <is>
          <t>Process Check</t>
        </is>
      </c>
      <c r="F2622" s="37" t="inlineStr">
        <is>
          <t>Confirm ESA is done (in GROW full ESA and in Technical courses relevant sections of Core Employability Part).</t>
        </is>
      </c>
      <c r="G2622" s="37" t="inlineStr">
        <is>
          <t>All is Well</t>
        </is>
      </c>
    </row>
    <row r="2623">
      <c r="A2623" s="37" t="inlineStr">
        <is>
          <t>S Jakir</t>
        </is>
      </c>
      <c r="B2623" s="37" t="inlineStr">
        <is>
          <t>Uttarahalli</t>
        </is>
      </c>
      <c r="C2623" s="37" t="inlineStr">
        <is>
          <t>GROW Youth</t>
        </is>
      </c>
      <c r="D2623" s="37" t="inlineStr">
        <is>
          <t>2026-07-16</t>
        </is>
      </c>
      <c r="E2623" s="37" t="inlineStr">
        <is>
          <t>Process Check</t>
        </is>
      </c>
      <c r="F2623" s="37" t="inlineStr">
        <is>
          <t>Check is AH giving capstone project in GROW Tech.</t>
        </is>
      </c>
      <c r="G2623" s="37" t="inlineStr">
        <is>
          <t>Not Applicable</t>
        </is>
      </c>
    </row>
    <row r="2624">
      <c r="A2624" s="37" t="inlineStr">
        <is>
          <t>S Jakir</t>
        </is>
      </c>
      <c r="B2624" s="37" t="inlineStr">
        <is>
          <t>Uttarahalli</t>
        </is>
      </c>
      <c r="C2624" s="37" t="inlineStr">
        <is>
          <t>GROW Youth</t>
        </is>
      </c>
      <c r="D2624" s="37" t="inlineStr">
        <is>
          <t>2026-07-16</t>
        </is>
      </c>
      <c r="E2624" s="37" t="inlineStr">
        <is>
          <t>Process Check</t>
        </is>
      </c>
      <c r="F2624" s="37" t="inlineStr">
        <is>
          <t>Check is AH planning OJT as per guidelines and proofs are collected for technical courses.</t>
        </is>
      </c>
      <c r="G2624" s="37" t="inlineStr">
        <is>
          <t>Not Applicable</t>
        </is>
      </c>
    </row>
    <row r="2625">
      <c r="A2625" s="37" t="inlineStr">
        <is>
          <t>S Jakir</t>
        </is>
      </c>
      <c r="B2625" s="37" t="inlineStr">
        <is>
          <t>Uttarahalli</t>
        </is>
      </c>
      <c r="C2625" s="37" t="inlineStr">
        <is>
          <t>GROW Youth</t>
        </is>
      </c>
      <c r="D2625" s="37" t="inlineStr">
        <is>
          <t>2026-07-16</t>
        </is>
      </c>
      <c r="E2625" s="37" t="inlineStr">
        <is>
          <t>Process Check</t>
        </is>
      </c>
      <c r="F2625" s="37" t="inlineStr">
        <is>
          <t>Check are trainers contacting aspirants to find reason for their absenteeism of more than 1 day.</t>
        </is>
      </c>
      <c r="G2625" s="37" t="inlineStr">
        <is>
          <t>All is Well</t>
        </is>
      </c>
    </row>
    <row r="2626">
      <c r="A2626" s="37" t="inlineStr">
        <is>
          <t>S Jakir</t>
        </is>
      </c>
      <c r="B2626" s="37" t="inlineStr">
        <is>
          <t>Uttarahalli</t>
        </is>
      </c>
      <c r="C2626" s="37" t="inlineStr">
        <is>
          <t>GROW Youth</t>
        </is>
      </c>
      <c r="D2626" s="37" t="inlineStr">
        <is>
          <t>2026-07-16</t>
        </is>
      </c>
      <c r="E2626" s="37" t="inlineStr">
        <is>
          <t>Process Check</t>
        </is>
      </c>
      <c r="F2626" s="37" t="inlineStr">
        <is>
          <t>Check the AH plans monthly enrolment and placement numbers by the 3rd of each month and shares them with second level managers.</t>
        </is>
      </c>
      <c r="G2626" s="37" t="inlineStr">
        <is>
          <t>All is Well</t>
        </is>
      </c>
    </row>
    <row r="2627">
      <c r="A2627" s="37" t="inlineStr">
        <is>
          <t>S Jakir</t>
        </is>
      </c>
      <c r="B2627" s="37" t="inlineStr">
        <is>
          <t>Uttarahalli</t>
        </is>
      </c>
      <c r="C2627" s="37" t="inlineStr">
        <is>
          <t>GROW Youth</t>
        </is>
      </c>
      <c r="D2627" s="37" t="inlineStr">
        <is>
          <t>2026-07-16</t>
        </is>
      </c>
      <c r="E2627" s="37" t="inlineStr">
        <is>
          <t>Process Check</t>
        </is>
      </c>
      <c r="F2627" s="37" t="inlineStr">
        <is>
          <t>Check trainers submit aspirants’ placement interest areas to the AH by the batch’s 25th day (in GROW).</t>
        </is>
      </c>
      <c r="G2627" s="37" t="inlineStr">
        <is>
          <t>All is Well</t>
        </is>
      </c>
    </row>
    <row r="2628">
      <c r="A2628" s="37" t="inlineStr">
        <is>
          <t>S Jakir</t>
        </is>
      </c>
      <c r="B2628" s="37" t="inlineStr">
        <is>
          <t>Uttarahalli</t>
        </is>
      </c>
      <c r="C2628" s="37" t="inlineStr">
        <is>
          <t>GROW Youth</t>
        </is>
      </c>
      <c r="D2628" s="37" t="inlineStr">
        <is>
          <t>2026-07-16</t>
        </is>
      </c>
      <c r="E2628" s="37" t="inlineStr">
        <is>
          <t>Process Check</t>
        </is>
      </c>
      <c r="F2628" s="37" t="inlineStr">
        <is>
          <t>Ckeck For technical programs, placement is done only in technical jobs,on which aspirants are trained and relevant emplyers are identified by 45th day.</t>
        </is>
      </c>
      <c r="G2628" s="37" t="inlineStr">
        <is>
          <t>Not Applicable</t>
        </is>
      </c>
    </row>
    <row r="2629">
      <c r="A2629" s="37" t="inlineStr">
        <is>
          <t>S Jakir</t>
        </is>
      </c>
      <c r="B2629" s="37" t="inlineStr">
        <is>
          <t>Uttarahalli</t>
        </is>
      </c>
      <c r="C2629" s="37" t="inlineStr">
        <is>
          <t>GROW Youth</t>
        </is>
      </c>
      <c r="D2629" s="37" t="inlineStr">
        <is>
          <t>2026-07-16</t>
        </is>
      </c>
      <c r="E2629" s="37" t="inlineStr">
        <is>
          <t>Process Check</t>
        </is>
      </c>
      <c r="F2629" s="37" t="inlineStr">
        <is>
          <t>Check the AH follows EP guidelines and minimum benchmark salary guidelines.</t>
        </is>
      </c>
      <c r="G2629" s="37" t="inlineStr">
        <is>
          <t>Need Improvement</t>
        </is>
      </c>
    </row>
    <row r="2630">
      <c r="A2630" s="37" t="inlineStr">
        <is>
          <t>S Jakir</t>
        </is>
      </c>
      <c r="B2630" s="37" t="inlineStr">
        <is>
          <t>Uttarahalli</t>
        </is>
      </c>
      <c r="C2630" s="37" t="inlineStr">
        <is>
          <t>GROW Youth</t>
        </is>
      </c>
      <c r="D2630" s="37" t="inlineStr">
        <is>
          <t>2026-07-16</t>
        </is>
      </c>
      <c r="E2630" s="37" t="inlineStr">
        <is>
          <t>Process Check</t>
        </is>
      </c>
      <c r="F2630" s="37" t="inlineStr">
        <is>
          <t>Check that AH is enrolling only the right traget group in the program -as per the defined target.</t>
        </is>
      </c>
      <c r="G2630" s="37" t="inlineStr">
        <is>
          <t>All is Well</t>
        </is>
      </c>
    </row>
    <row r="2631">
      <c r="A2631" s="37" t="inlineStr">
        <is>
          <t>S Jakir</t>
        </is>
      </c>
      <c r="B2631" s="37" t="inlineStr">
        <is>
          <t>Uttarahalli</t>
        </is>
      </c>
      <c r="C2631" s="37" t="inlineStr">
        <is>
          <t>GROW Youth</t>
        </is>
      </c>
      <c r="D2631" s="37" t="inlineStr">
        <is>
          <t>2026-07-16</t>
        </is>
      </c>
      <c r="E2631" s="37" t="inlineStr">
        <is>
          <t>Process Check</t>
        </is>
      </c>
      <c r="F2631" s="37" t="inlineStr">
        <is>
          <t>Check the AH announces the next batch-start date by the 3rd of the month on all notice boards — focus on Zero-Day start.</t>
        </is>
      </c>
      <c r="G2631" s="37" t="inlineStr">
        <is>
          <t>All is Well</t>
        </is>
      </c>
    </row>
    <row r="2632">
      <c r="A2632" s="37" t="inlineStr">
        <is>
          <t>S Jakir</t>
        </is>
      </c>
      <c r="B2632" s="37" t="inlineStr">
        <is>
          <t>Uttarahalli</t>
        </is>
      </c>
      <c r="C2632" s="37" t="inlineStr">
        <is>
          <t>GROW Youth</t>
        </is>
      </c>
      <c r="D2632" s="37" t="inlineStr">
        <is>
          <t>2026-07-16</t>
        </is>
      </c>
      <c r="E2632" s="37" t="inlineStr">
        <is>
          <t>Process Check</t>
        </is>
      </c>
      <c r="F2632" s="37" t="inlineStr">
        <is>
          <t>Check the Aspirant Mock Interview Score Tracker is updated after every mock interview in the L&amp;D Google Sheet.</t>
        </is>
      </c>
      <c r="G2632" s="37" t="inlineStr">
        <is>
          <t>All is Well</t>
        </is>
      </c>
    </row>
    <row r="2633">
      <c r="A2633" s="37" t="inlineStr">
        <is>
          <t>S Jakir</t>
        </is>
      </c>
      <c r="B2633" s="37" t="inlineStr">
        <is>
          <t>Uttarahalli</t>
        </is>
      </c>
      <c r="C2633" s="37" t="inlineStr">
        <is>
          <t>GROW Youth</t>
        </is>
      </c>
      <c r="D2633" s="37" t="inlineStr">
        <is>
          <t>2026-07-16</t>
        </is>
      </c>
      <c r="E2633" s="37" t="inlineStr">
        <is>
          <t>Process Check</t>
        </is>
      </c>
      <c r="F2633" s="37" t="inlineStr">
        <is>
          <t>Confirm NPS (Net Promoter Score) is collected at MSDF centres.</t>
        </is>
      </c>
      <c r="G2633" s="37" t="inlineStr">
        <is>
          <t>Not Applicable</t>
        </is>
      </c>
    </row>
    <row r="2634">
      <c r="A2634" s="37" t="inlineStr">
        <is>
          <t>S Jakir</t>
        </is>
      </c>
      <c r="B2634" s="37" t="inlineStr">
        <is>
          <t>Uttarahalli</t>
        </is>
      </c>
      <c r="C2634" s="37" t="inlineStr">
        <is>
          <t>GROW Youth</t>
        </is>
      </c>
      <c r="D2634" s="37" t="inlineStr">
        <is>
          <t>2026-07-16</t>
        </is>
      </c>
      <c r="E2634" s="37" t="inlineStr">
        <is>
          <t>Process Check</t>
        </is>
      </c>
      <c r="F2634" s="37" t="inlineStr">
        <is>
          <t>Confirm that QAE is collecting student feedback for every batch.</t>
        </is>
      </c>
      <c r="G2634" s="37" t="inlineStr">
        <is>
          <t>All is Well</t>
        </is>
      </c>
    </row>
    <row r="2635">
      <c r="A2635" s="37" t="inlineStr">
        <is>
          <t>S Jakir</t>
        </is>
      </c>
      <c r="B2635" s="37" t="inlineStr">
        <is>
          <t>Uttarahalli</t>
        </is>
      </c>
      <c r="C2635" s="37" t="inlineStr">
        <is>
          <t>GROW Youth</t>
        </is>
      </c>
      <c r="D2635" s="37" t="inlineStr">
        <is>
          <t>2026-07-16</t>
        </is>
      </c>
      <c r="E2635" s="37" t="inlineStr">
        <is>
          <t>Process Check</t>
        </is>
      </c>
      <c r="F2635" s="37" t="inlineStr">
        <is>
          <t>Confirm all centre teams have completed the GROW Manual Course on Skillfy — ask for achievement certificates.</t>
        </is>
      </c>
      <c r="G2635" s="37" t="inlineStr">
        <is>
          <t>All is Well</t>
        </is>
      </c>
    </row>
    <row r="2636">
      <c r="A2636" s="37" t="inlineStr">
        <is>
          <t>S Jakir</t>
        </is>
      </c>
      <c r="B2636" s="37" t="inlineStr">
        <is>
          <t>Uttarahalli</t>
        </is>
      </c>
      <c r="C2636" s="37" t="inlineStr">
        <is>
          <t>GROW Youth</t>
        </is>
      </c>
      <c r="D2636" s="37" t="inlineStr">
        <is>
          <t>2026-07-16</t>
        </is>
      </c>
      <c r="E2636" s="37" t="inlineStr">
        <is>
          <t>Process Check</t>
        </is>
      </c>
      <c r="F2636" s="37" t="inlineStr">
        <is>
          <t>Check AH holds a quality weekly team meeting, documents action points in the weekly meeting format, and sends you a photo on WhatsApp.</t>
        </is>
      </c>
      <c r="G2636" s="37" t="inlineStr">
        <is>
          <t>All is Well</t>
        </is>
      </c>
    </row>
    <row r="2637">
      <c r="A2637" s="37" t="inlineStr">
        <is>
          <t>S Jakir</t>
        </is>
      </c>
      <c r="B2637" s="37" t="inlineStr">
        <is>
          <t>Uttarahalli</t>
        </is>
      </c>
      <c r="C2637" s="37" t="inlineStr">
        <is>
          <t>GROW Youth</t>
        </is>
      </c>
      <c r="D2637" s="37" t="inlineStr">
        <is>
          <t>2026-07-16</t>
        </is>
      </c>
      <c r="E2637" s="37" t="inlineStr">
        <is>
          <t>Aspirant Interaction</t>
        </is>
      </c>
      <c r="F2637" s="37" t="inlineStr">
        <is>
          <t>Ask aspirants about the session plan — confirm training is happening as planned?</t>
        </is>
      </c>
      <c r="G2637" s="37" t="inlineStr">
        <is>
          <t>All is Well</t>
        </is>
      </c>
    </row>
    <row r="2638">
      <c r="A2638" s="37" t="inlineStr">
        <is>
          <t>S Jakir</t>
        </is>
      </c>
      <c r="B2638" s="37" t="inlineStr">
        <is>
          <t>Uttarahalli</t>
        </is>
      </c>
      <c r="C2638" s="37" t="inlineStr">
        <is>
          <t>GROW Youth</t>
        </is>
      </c>
      <c r="D2638" s="37" t="inlineStr">
        <is>
          <t>2026-07-16</t>
        </is>
      </c>
      <c r="E2638" s="37" t="inlineStr">
        <is>
          <t>Aspirant Interaction</t>
        </is>
      </c>
      <c r="F2638" s="37" t="inlineStr">
        <is>
          <t>Ask about the quality of Core Employability component delivery (technical centres) and who delivers it.</t>
        </is>
      </c>
      <c r="G2638" s="37" t="inlineStr">
        <is>
          <t>All is Well</t>
        </is>
      </c>
    </row>
    <row r="2639">
      <c r="A2639" s="37" t="inlineStr">
        <is>
          <t>S Jakir</t>
        </is>
      </c>
      <c r="B2639" s="37" t="inlineStr">
        <is>
          <t>Uttarahalli</t>
        </is>
      </c>
      <c r="C2639" s="37" t="inlineStr">
        <is>
          <t>GROW Youth</t>
        </is>
      </c>
      <c r="D2639" s="37" t="inlineStr">
        <is>
          <t>2026-07-16</t>
        </is>
      </c>
      <c r="E2639" s="37" t="inlineStr">
        <is>
          <t>Aspirant Interaction</t>
        </is>
      </c>
      <c r="F2639" s="37" t="inlineStr">
        <is>
          <t>Ask whether they are aware of the referral scheme?</t>
        </is>
      </c>
      <c r="G2639" s="37" t="inlineStr">
        <is>
          <t>All is Well</t>
        </is>
      </c>
    </row>
    <row r="2640">
      <c r="A2640" s="37" t="inlineStr">
        <is>
          <t>S Jakir</t>
        </is>
      </c>
      <c r="B2640" s="37" t="inlineStr">
        <is>
          <t>Uttarahalli</t>
        </is>
      </c>
      <c r="C2640" s="37" t="inlineStr">
        <is>
          <t>GROW Youth</t>
        </is>
      </c>
      <c r="D2640" s="37" t="inlineStr">
        <is>
          <t>2026-07-16</t>
        </is>
      </c>
      <c r="E2640" s="37" t="inlineStr">
        <is>
          <t>Aspirant Interaction</t>
        </is>
      </c>
      <c r="F2640" s="37" t="inlineStr">
        <is>
          <t>Ask whether the AH explained the importance of the offer letter and sharing it with us once received for reporting purposes?</t>
        </is>
      </c>
      <c r="G2640" s="37" t="inlineStr">
        <is>
          <t>All is Well</t>
        </is>
      </c>
    </row>
    <row r="2641">
      <c r="A2641" s="37" t="inlineStr">
        <is>
          <t>S Jakir</t>
        </is>
      </c>
      <c r="B2641" s="37" t="inlineStr">
        <is>
          <t>Uttarahalli</t>
        </is>
      </c>
      <c r="C2641" s="37" t="inlineStr">
        <is>
          <t>GROW Youth</t>
        </is>
      </c>
      <c r="D2641" s="37" t="inlineStr">
        <is>
          <t>2026-07-16</t>
        </is>
      </c>
      <c r="E2641" s="37" t="inlineStr">
        <is>
          <t>Aspirant Interaction</t>
        </is>
      </c>
      <c r="F2641" s="37" t="inlineStr">
        <is>
          <t>Ask how many are not interested in jobs — and if so, why they enrolled in the programme?</t>
        </is>
      </c>
      <c r="G2641" s="37" t="inlineStr">
        <is>
          <t>All is Well</t>
        </is>
      </c>
    </row>
    <row r="2642">
      <c r="A2642" s="37" t="inlineStr">
        <is>
          <t>S Jakir</t>
        </is>
      </c>
      <c r="B2642" s="37" t="inlineStr">
        <is>
          <t>Uttarahalli</t>
        </is>
      </c>
      <c r="C2642" s="37" t="inlineStr">
        <is>
          <t>GROW Youth</t>
        </is>
      </c>
      <c r="D2642" s="37" t="inlineStr">
        <is>
          <t>2026-07-16</t>
        </is>
      </c>
      <c r="E2642" s="37" t="inlineStr">
        <is>
          <t>Aspirant Interaction</t>
        </is>
      </c>
      <c r="F2642" s="37" t="inlineStr">
        <is>
          <t>Ask whether they were told the kind of job they would get during counselling?</t>
        </is>
      </c>
      <c r="G2642" s="37" t="inlineStr">
        <is>
          <t>All is Well</t>
        </is>
      </c>
    </row>
    <row r="2643">
      <c r="A2643" s="37" t="inlineStr">
        <is>
          <t>S Jakir</t>
        </is>
      </c>
      <c r="B2643" s="37" t="inlineStr">
        <is>
          <t>Uttarahalli</t>
        </is>
      </c>
      <c r="C2643" s="37" t="inlineStr">
        <is>
          <t>GROW Youth</t>
        </is>
      </c>
      <c r="D2643" s="37" t="inlineStr">
        <is>
          <t>2026-07-16</t>
        </is>
      </c>
      <c r="E2643" s="37" t="inlineStr">
        <is>
          <t>Aspirant Interaction</t>
        </is>
      </c>
      <c r="F2643" s="37" t="inlineStr">
        <is>
          <t>Ask whether they have been given LMS access?</t>
        </is>
      </c>
      <c r="G2643" s="37" t="inlineStr">
        <is>
          <t>All is Well</t>
        </is>
      </c>
    </row>
    <row r="2644">
      <c r="A2644" s="37" t="inlineStr">
        <is>
          <t>S Jakir</t>
        </is>
      </c>
      <c r="B2644" s="37" t="inlineStr">
        <is>
          <t>Uttarahalli</t>
        </is>
      </c>
      <c r="C2644" s="37" t="inlineStr">
        <is>
          <t>GROW Youth</t>
        </is>
      </c>
      <c r="D2644" s="37" t="inlineStr">
        <is>
          <t>2026-07-16</t>
        </is>
      </c>
      <c r="E2644" s="37" t="inlineStr">
        <is>
          <t>Aspirant Interaction</t>
        </is>
      </c>
      <c r="F2644" s="37" t="inlineStr">
        <is>
          <t>Ask whether anyone asked them for money for training or placement?</t>
        </is>
      </c>
      <c r="G2644" s="37" t="inlineStr">
        <is>
          <t>All is Well</t>
        </is>
      </c>
    </row>
    <row r="2645">
      <c r="A2645" s="37" t="inlineStr">
        <is>
          <t>S Jakir</t>
        </is>
      </c>
      <c r="B2645" s="37" t="inlineStr">
        <is>
          <t>Uttarahalli</t>
        </is>
      </c>
      <c r="C2645" s="37" t="inlineStr">
        <is>
          <t>GROW Youth</t>
        </is>
      </c>
      <c r="D2645" s="37" t="inlineStr">
        <is>
          <t>2026-07-16</t>
        </is>
      </c>
      <c r="E2645" s="37" t="inlineStr">
        <is>
          <t>Aspirant Interaction</t>
        </is>
      </c>
      <c r="F2645" s="37" t="inlineStr">
        <is>
          <t>Ask to show their mobile phones — are they enrolled on Skillfy? If not, get them enrolled and give written feedback to trainers and the AH in your presence.</t>
        </is>
      </c>
      <c r="G2645" s="37" t="inlineStr">
        <is>
          <t>All is Well</t>
        </is>
      </c>
    </row>
    <row r="2646">
      <c r="A2646" s="37" t="inlineStr">
        <is>
          <t>S Jakir</t>
        </is>
      </c>
      <c r="B2646" s="37" t="inlineStr">
        <is>
          <t>Uttarahalli</t>
        </is>
      </c>
      <c r="C2646" s="37" t="inlineStr">
        <is>
          <t>GROW Youth</t>
        </is>
      </c>
      <c r="D2646" s="37" t="inlineStr">
        <is>
          <t>2026-07-16</t>
        </is>
      </c>
      <c r="E2646" s="37" t="inlineStr">
        <is>
          <t>Aspirant Interaction</t>
        </is>
      </c>
      <c r="F2646" s="37" t="inlineStr">
        <is>
          <t>Ask about the quality of the hostel and any issues they face.</t>
        </is>
      </c>
      <c r="G2646" s="37" t="inlineStr">
        <is>
          <t>Not Applicable</t>
        </is>
      </c>
    </row>
    <row r="2647">
      <c r="A2647" s="37" t="inlineStr">
        <is>
          <t>S Jakir</t>
        </is>
      </c>
      <c r="B2647" s="37" t="inlineStr">
        <is>
          <t>Uttarahalli</t>
        </is>
      </c>
      <c r="C2647" s="37" t="inlineStr">
        <is>
          <t>GROW Youth</t>
        </is>
      </c>
      <c r="D2647" s="37" t="inlineStr">
        <is>
          <t>2026-07-16</t>
        </is>
      </c>
      <c r="E2647" s="37" t="inlineStr">
        <is>
          <t>Aspirant Interaction</t>
        </is>
      </c>
      <c r="F2647" s="37" t="inlineStr">
        <is>
          <t>Ask a few relevant screening questions to support the 10th-day report and remove non-serious candidates, explaining to them the reasons.</t>
        </is>
      </c>
      <c r="G2647" s="37" t="inlineStr">
        <is>
          <t>All is Well</t>
        </is>
      </c>
    </row>
    <row r="2648">
      <c r="A2648" s="37" t="inlineStr">
        <is>
          <t>S Jakir</t>
        </is>
      </c>
      <c r="B2648" s="37" t="inlineStr">
        <is>
          <t>Hubli</t>
        </is>
      </c>
      <c r="C2648" s="37" t="inlineStr">
        <is>
          <t>GROW Youth</t>
        </is>
      </c>
      <c r="D2648" s="37" t="inlineStr">
        <is>
          <t>2026-07-08</t>
        </is>
      </c>
      <c r="E2648" s="37" t="inlineStr">
        <is>
          <t>Data Check</t>
        </is>
      </c>
      <c r="F2648" s="37" t="inlineStr">
        <is>
          <t>Reach the centre on time (unannounced) — confirm the centre opened on time.</t>
        </is>
      </c>
      <c r="G2648" s="37" t="inlineStr">
        <is>
          <t>All is Well</t>
        </is>
      </c>
    </row>
    <row r="2649">
      <c r="A2649" s="37" t="inlineStr">
        <is>
          <t>S Jakir</t>
        </is>
      </c>
      <c r="B2649" s="37" t="inlineStr">
        <is>
          <t>Hubli</t>
        </is>
      </c>
      <c r="C2649" s="37" t="inlineStr">
        <is>
          <t>GROW Youth</t>
        </is>
      </c>
      <c r="D2649" s="37" t="inlineStr">
        <is>
          <t>2026-07-08</t>
        </is>
      </c>
      <c r="E2649" s="37" t="inlineStr">
        <is>
          <t>Data Check</t>
        </is>
      </c>
      <c r="F2649" s="37" t="inlineStr">
        <is>
          <t>Check the staff attendance register, the Google Sheet, and geo-tagged photos for aspirants.</t>
        </is>
      </c>
      <c r="G2649" s="37" t="inlineStr">
        <is>
          <t>All is Well</t>
        </is>
      </c>
    </row>
    <row r="2650">
      <c r="A2650" s="37" t="inlineStr">
        <is>
          <t>S Jakir</t>
        </is>
      </c>
      <c r="B2650" s="37" t="inlineStr">
        <is>
          <t>Hubli</t>
        </is>
      </c>
      <c r="C2650" s="37" t="inlineStr">
        <is>
          <t>GROW Youth</t>
        </is>
      </c>
      <c r="D2650" s="37" t="inlineStr">
        <is>
          <t>2026-07-08</t>
        </is>
      </c>
      <c r="E2650" s="37" t="inlineStr">
        <is>
          <t>Data Check</t>
        </is>
      </c>
      <c r="F2650" s="37" t="inlineStr">
        <is>
          <t>Check Counselling and Screening Forms of recently started batches.</t>
        </is>
      </c>
      <c r="G2650" s="37" t="inlineStr">
        <is>
          <t>All is Well</t>
        </is>
      </c>
    </row>
    <row r="2651">
      <c r="A2651" s="37" t="inlineStr">
        <is>
          <t>S Jakir</t>
        </is>
      </c>
      <c r="B2651" s="37" t="inlineStr">
        <is>
          <t>Hubli</t>
        </is>
      </c>
      <c r="C2651" s="37" t="inlineStr">
        <is>
          <t>GROW Youth</t>
        </is>
      </c>
      <c r="D2651" s="37" t="inlineStr">
        <is>
          <t>2026-07-08</t>
        </is>
      </c>
      <c r="E2651" s="37" t="inlineStr">
        <is>
          <t>Data Check</t>
        </is>
      </c>
      <c r="F2651" s="37" t="inlineStr">
        <is>
          <t>Check Aspirant Registration Forms and related documents.</t>
        </is>
      </c>
      <c r="G2651" s="37" t="inlineStr">
        <is>
          <t>All is Well</t>
        </is>
      </c>
    </row>
    <row r="2652">
      <c r="A2652" s="37" t="inlineStr">
        <is>
          <t>S Jakir</t>
        </is>
      </c>
      <c r="B2652" s="37" t="inlineStr">
        <is>
          <t>Hubli</t>
        </is>
      </c>
      <c r="C2652" s="37" t="inlineStr">
        <is>
          <t>GROW Youth</t>
        </is>
      </c>
      <c r="D2652" s="37" t="inlineStr">
        <is>
          <t>2026-07-08</t>
        </is>
      </c>
      <c r="E2652" s="37" t="inlineStr">
        <is>
          <t>Data Check</t>
        </is>
      </c>
      <c r="F2652" s="37" t="inlineStr">
        <is>
          <t>On the GROW portal, confirm all student profile details and batch updates are currect.</t>
        </is>
      </c>
      <c r="G2652" s="37" t="inlineStr">
        <is>
          <t>All is Well</t>
        </is>
      </c>
    </row>
    <row r="2653">
      <c r="A2653" s="37" t="inlineStr">
        <is>
          <t>S Jakir</t>
        </is>
      </c>
      <c r="B2653" s="37" t="inlineStr">
        <is>
          <t>Hubli</t>
        </is>
      </c>
      <c r="C2653" s="37" t="inlineStr">
        <is>
          <t>GROW Youth</t>
        </is>
      </c>
      <c r="D2653" s="37" t="inlineStr">
        <is>
          <t>2026-07-08</t>
        </is>
      </c>
      <c r="E2653" s="37" t="inlineStr">
        <is>
          <t>Data Check</t>
        </is>
      </c>
      <c r="F2653" s="37" t="inlineStr">
        <is>
          <t>Verify placement data — randomly call 3–4 alumni placed in the last 3 months to confirm veracity (random selection is essential).</t>
        </is>
      </c>
      <c r="G2653" s="37" t="inlineStr">
        <is>
          <t>All is Well</t>
        </is>
      </c>
    </row>
    <row r="2654">
      <c r="A2654" s="37" t="inlineStr">
        <is>
          <t>S Jakir</t>
        </is>
      </c>
      <c r="B2654" s="37" t="inlineStr">
        <is>
          <t>Hubli</t>
        </is>
      </c>
      <c r="C2654" s="37" t="inlineStr">
        <is>
          <t>GROW Youth</t>
        </is>
      </c>
      <c r="D2654" s="37" t="inlineStr">
        <is>
          <t>2026-07-08</t>
        </is>
      </c>
      <c r="E2654" s="37" t="inlineStr">
        <is>
          <t>Data Check</t>
        </is>
      </c>
      <c r="F2654" s="37" t="inlineStr">
        <is>
          <t>Verify retention — check the Alumni Hand-holding Format is being updated as designed.</t>
        </is>
      </c>
      <c r="G2654" s="37" t="inlineStr">
        <is>
          <t>Need Improvement</t>
        </is>
      </c>
    </row>
    <row r="2655">
      <c r="A2655" s="37" t="inlineStr">
        <is>
          <t>S Jakir</t>
        </is>
      </c>
      <c r="B2655" s="37" t="inlineStr">
        <is>
          <t>Hubli</t>
        </is>
      </c>
      <c r="C2655" s="37" t="inlineStr">
        <is>
          <t>GROW Youth</t>
        </is>
      </c>
      <c r="D2655" s="37" t="inlineStr">
        <is>
          <t>2026-07-08</t>
        </is>
      </c>
      <c r="E2655" s="37" t="inlineStr">
        <is>
          <t>Data Check</t>
        </is>
      </c>
      <c r="F2655" s="37" t="inlineStr">
        <is>
          <t>Check aspirant Hostel Forms are properly filled or not.</t>
        </is>
      </c>
      <c r="G2655" s="37" t="inlineStr">
        <is>
          <t>Not Applicable</t>
        </is>
      </c>
    </row>
    <row r="2656">
      <c r="A2656" s="37" t="inlineStr">
        <is>
          <t>S Jakir</t>
        </is>
      </c>
      <c r="B2656" s="37" t="inlineStr">
        <is>
          <t>Hubli</t>
        </is>
      </c>
      <c r="C2656" s="37" t="inlineStr">
        <is>
          <t>GROW Youth</t>
        </is>
      </c>
      <c r="D2656" s="37" t="inlineStr">
        <is>
          <t>2026-07-08</t>
        </is>
      </c>
      <c r="E2656" s="37" t="inlineStr">
        <is>
          <t>Infra Check</t>
        </is>
      </c>
      <c r="F2656" s="37" t="inlineStr">
        <is>
          <t>Check all CCTV cameras; if any are not working, ask the AH to troubleshoot or call the vendor.</t>
        </is>
      </c>
      <c r="G2656" s="37" t="inlineStr">
        <is>
          <t>All is Well</t>
        </is>
      </c>
    </row>
    <row r="2657">
      <c r="A2657" s="37" t="inlineStr">
        <is>
          <t>S Jakir</t>
        </is>
      </c>
      <c r="B2657" s="37" t="inlineStr">
        <is>
          <t>Hubli</t>
        </is>
      </c>
      <c r="C2657" s="37" t="inlineStr">
        <is>
          <t>GROW Youth</t>
        </is>
      </c>
      <c r="D2657" s="37" t="inlineStr">
        <is>
          <t>2026-07-08</t>
        </is>
      </c>
      <c r="E2657" s="37" t="inlineStr">
        <is>
          <t>Infra Check</t>
        </is>
      </c>
      <c r="F2657" s="37" t="inlineStr">
        <is>
          <t>Check for any scrap material and get it cleared, with support of Admin</t>
        </is>
      </c>
      <c r="G2657" s="37" t="inlineStr">
        <is>
          <t>All is Well</t>
        </is>
      </c>
    </row>
    <row r="2658">
      <c r="A2658" s="37" t="inlineStr">
        <is>
          <t>S Jakir</t>
        </is>
      </c>
      <c r="B2658" s="37" t="inlineStr">
        <is>
          <t>Hubli</t>
        </is>
      </c>
      <c r="C2658" s="37" t="inlineStr">
        <is>
          <t>GROW Youth</t>
        </is>
      </c>
      <c r="D2658" s="37" t="inlineStr">
        <is>
          <t>2026-07-08</t>
        </is>
      </c>
      <c r="E2658" s="37" t="inlineStr">
        <is>
          <t>Infra Check</t>
        </is>
      </c>
      <c r="F2658" s="37" t="inlineStr">
        <is>
          <t>Check for any pending infra repairs.</t>
        </is>
      </c>
      <c r="G2658" s="37" t="inlineStr">
        <is>
          <t>All is Well</t>
        </is>
      </c>
    </row>
    <row r="2659">
      <c r="A2659" s="37" t="inlineStr">
        <is>
          <t>S Jakir</t>
        </is>
      </c>
      <c r="B2659" s="37" t="inlineStr">
        <is>
          <t>Hubli</t>
        </is>
      </c>
      <c r="C2659" s="37" t="inlineStr">
        <is>
          <t>GROW Youth</t>
        </is>
      </c>
      <c r="D2659" s="37" t="inlineStr">
        <is>
          <t>2026-07-08</t>
        </is>
      </c>
      <c r="E2659" s="37" t="inlineStr">
        <is>
          <t>Infra Check</t>
        </is>
      </c>
      <c r="F2659" s="37" t="inlineStr">
        <is>
          <t>Check whether any fire extinguishers have expired (check the needle and expiry date both).</t>
        </is>
      </c>
      <c r="G2659" s="37" t="inlineStr">
        <is>
          <t>All is Well</t>
        </is>
      </c>
    </row>
    <row r="2660">
      <c r="A2660" s="37" t="inlineStr">
        <is>
          <t>S Jakir</t>
        </is>
      </c>
      <c r="B2660" s="37" t="inlineStr">
        <is>
          <t>Hubli</t>
        </is>
      </c>
      <c r="C2660" s="37" t="inlineStr">
        <is>
          <t>GROW Youth</t>
        </is>
      </c>
      <c r="D2660" s="37" t="inlineStr">
        <is>
          <t>2026-07-08</t>
        </is>
      </c>
      <c r="E2660" s="37" t="inlineStr">
        <is>
          <t>Infra Check</t>
        </is>
      </c>
      <c r="F2660" s="37" t="inlineStr">
        <is>
          <t>Check basic cleanliness of the washrooms and the centre.</t>
        </is>
      </c>
      <c r="G2660" s="37" t="inlineStr">
        <is>
          <t>All is Well</t>
        </is>
      </c>
    </row>
    <row r="2661">
      <c r="A2661" s="37" t="inlineStr">
        <is>
          <t>S Jakir</t>
        </is>
      </c>
      <c r="B2661" s="37" t="inlineStr">
        <is>
          <t>Hubli</t>
        </is>
      </c>
      <c r="C2661" s="37" t="inlineStr">
        <is>
          <t>GROW Youth</t>
        </is>
      </c>
      <c r="D2661" s="37" t="inlineStr">
        <is>
          <t>2026-07-08</t>
        </is>
      </c>
      <c r="E2661" s="37" t="inlineStr">
        <is>
          <t>Infra Check</t>
        </is>
      </c>
      <c r="F2661" s="37" t="inlineStr">
        <is>
          <t>Confirm the correct program and partner logos are displayed.</t>
        </is>
      </c>
      <c r="G2661" s="37" t="inlineStr">
        <is>
          <t>All is Well</t>
        </is>
      </c>
    </row>
    <row r="2662">
      <c r="A2662" s="37" t="inlineStr">
        <is>
          <t>S Jakir</t>
        </is>
      </c>
      <c r="B2662" s="37" t="inlineStr">
        <is>
          <t>Hubli</t>
        </is>
      </c>
      <c r="C2662" s="37" t="inlineStr">
        <is>
          <t>GROW Youth</t>
        </is>
      </c>
      <c r="D2662" s="37" t="inlineStr">
        <is>
          <t>2026-07-08</t>
        </is>
      </c>
      <c r="E2662" s="37" t="inlineStr">
        <is>
          <t>Infra Check</t>
        </is>
      </c>
      <c r="F2662" s="37" t="inlineStr">
        <is>
          <t>Check the status of digital infra — PCs, smartboards, tablets, laptops, etc.</t>
        </is>
      </c>
      <c r="G2662" s="37" t="inlineStr">
        <is>
          <t>All is Well</t>
        </is>
      </c>
    </row>
    <row r="2663">
      <c r="A2663" s="37" t="inlineStr">
        <is>
          <t>S Jakir</t>
        </is>
      </c>
      <c r="B2663" s="37" t="inlineStr">
        <is>
          <t>Hubli</t>
        </is>
      </c>
      <c r="C2663" s="37" t="inlineStr">
        <is>
          <t>GROW Youth</t>
        </is>
      </c>
      <c r="D2663" s="37" t="inlineStr">
        <is>
          <t>2026-07-08</t>
        </is>
      </c>
      <c r="E2663" s="37" t="inlineStr">
        <is>
          <t>Infra Check</t>
        </is>
      </c>
      <c r="F2663" s="37" t="inlineStr">
        <is>
          <t>Make a quick hostel visit; have lunch there if possible to test the food quality.</t>
        </is>
      </c>
      <c r="G2663" s="37" t="inlineStr">
        <is>
          <t>Not Applicable</t>
        </is>
      </c>
    </row>
    <row r="2664">
      <c r="A2664" s="37" t="inlineStr">
        <is>
          <t>S Jakir</t>
        </is>
      </c>
      <c r="B2664" s="37" t="inlineStr">
        <is>
          <t>Hubli</t>
        </is>
      </c>
      <c r="C2664" s="37" t="inlineStr">
        <is>
          <t>GROW Youth</t>
        </is>
      </c>
      <c r="D2664" s="37" t="inlineStr">
        <is>
          <t>2026-07-08</t>
        </is>
      </c>
      <c r="E2664" s="37" t="inlineStr">
        <is>
          <t>Process Check</t>
        </is>
      </c>
      <c r="F2664" s="37" t="inlineStr">
        <is>
          <t>Refer to the activity planner — check if any activities are delayed.</t>
        </is>
      </c>
      <c r="G2664" s="37" t="inlineStr">
        <is>
          <t>Need Improvement</t>
        </is>
      </c>
    </row>
    <row r="2665">
      <c r="A2665" s="37" t="inlineStr">
        <is>
          <t>S Jakir</t>
        </is>
      </c>
      <c r="B2665" s="37" t="inlineStr">
        <is>
          <t>Hubli</t>
        </is>
      </c>
      <c r="C2665" s="37" t="inlineStr">
        <is>
          <t>GROW Youth</t>
        </is>
      </c>
      <c r="D2665" s="37" t="inlineStr">
        <is>
          <t>2026-07-08</t>
        </is>
      </c>
      <c r="E2665" s="37" t="inlineStr">
        <is>
          <t>Process Check</t>
        </is>
      </c>
      <c r="F2665" s="37" t="inlineStr">
        <is>
          <t>Check planning for the next batch-start announcement.</t>
        </is>
      </c>
      <c r="G2665" s="37" t="inlineStr">
        <is>
          <t>All is Well</t>
        </is>
      </c>
    </row>
    <row r="2666">
      <c r="A2666" s="37" t="inlineStr">
        <is>
          <t>S Jakir</t>
        </is>
      </c>
      <c r="B2666" s="37" t="inlineStr">
        <is>
          <t>Hubli</t>
        </is>
      </c>
      <c r="C2666" s="37" t="inlineStr">
        <is>
          <t>GROW Youth</t>
        </is>
      </c>
      <c r="D2666" s="37" t="inlineStr">
        <is>
          <t>2026-07-08</t>
        </is>
      </c>
      <c r="E2666" s="37" t="inlineStr">
        <is>
          <t>Process Check</t>
        </is>
      </c>
      <c r="F2666" s="37" t="inlineStr">
        <is>
          <t>Check if any hiring is delayed and plan a resolution.</t>
        </is>
      </c>
      <c r="G2666" s="37" t="inlineStr">
        <is>
          <t>All is Well</t>
        </is>
      </c>
    </row>
    <row r="2667">
      <c r="A2667" s="37" t="inlineStr">
        <is>
          <t>S Jakir</t>
        </is>
      </c>
      <c r="B2667" s="37" t="inlineStr">
        <is>
          <t>Hubli</t>
        </is>
      </c>
      <c r="C2667" s="37" t="inlineStr">
        <is>
          <t>GROW Youth</t>
        </is>
      </c>
      <c r="D2667" s="37" t="inlineStr">
        <is>
          <t>2026-07-08</t>
        </is>
      </c>
      <c r="E2667" s="37" t="inlineStr">
        <is>
          <t>Process Check</t>
        </is>
      </c>
      <c r="F2667" s="37" t="inlineStr">
        <is>
          <t>Check the CA’s diary — is CA guided daily by the AH during planning days?</t>
        </is>
      </c>
      <c r="G2667" s="37" t="inlineStr">
        <is>
          <t>All is Well</t>
        </is>
      </c>
    </row>
    <row r="2668">
      <c r="A2668" s="37" t="inlineStr">
        <is>
          <t>S Jakir</t>
        </is>
      </c>
      <c r="B2668" s="37" t="inlineStr">
        <is>
          <t>Hubli</t>
        </is>
      </c>
      <c r="C2668" s="37" t="inlineStr">
        <is>
          <t>GROW Youth</t>
        </is>
      </c>
      <c r="D2668" s="37" t="inlineStr">
        <is>
          <t>2026-07-08</t>
        </is>
      </c>
      <c r="E2668" s="37" t="inlineStr">
        <is>
          <t>Process Check</t>
        </is>
      </c>
      <c r="F2668" s="37" t="inlineStr">
        <is>
          <t>Check the AH is regularly meeting employers (in person and online) and updating the centre’s Top 20 Employer format.</t>
        </is>
      </c>
      <c r="G2668" s="37" t="inlineStr">
        <is>
          <t>All is Well</t>
        </is>
      </c>
    </row>
    <row r="2669">
      <c r="A2669" s="37" t="inlineStr">
        <is>
          <t>S Jakir</t>
        </is>
      </c>
      <c r="B2669" s="37" t="inlineStr">
        <is>
          <t>Hubli</t>
        </is>
      </c>
      <c r="C2669" s="37" t="inlineStr">
        <is>
          <t>GROW Youth</t>
        </is>
      </c>
      <c r="D2669" s="37" t="inlineStr">
        <is>
          <t>2026-07-08</t>
        </is>
      </c>
      <c r="E2669" s="37" t="inlineStr">
        <is>
          <t>Process Check</t>
        </is>
      </c>
      <c r="F2669" s="37" t="inlineStr">
        <is>
          <t>Confirm all new employers are registered on portal as per new process.</t>
        </is>
      </c>
      <c r="G2669" s="37" t="inlineStr">
        <is>
          <t>All is Well</t>
        </is>
      </c>
    </row>
    <row r="2670">
      <c r="A2670" s="37" t="inlineStr">
        <is>
          <t>S Jakir</t>
        </is>
      </c>
      <c r="B2670" s="37" t="inlineStr">
        <is>
          <t>Hubli</t>
        </is>
      </c>
      <c r="C2670" s="37" t="inlineStr">
        <is>
          <t>GROW Youth</t>
        </is>
      </c>
      <c r="D2670" s="37" t="inlineStr">
        <is>
          <t>2026-07-08</t>
        </is>
      </c>
      <c r="E2670" s="37" t="inlineStr">
        <is>
          <t>Process Check</t>
        </is>
      </c>
      <c r="F2670" s="37" t="inlineStr">
        <is>
          <t>Confirm 100% of enrolled students undergone screening (for technical courses).</t>
        </is>
      </c>
      <c r="G2670" s="37" t="inlineStr">
        <is>
          <t>All is Well</t>
        </is>
      </c>
    </row>
    <row r="2671">
      <c r="A2671" s="37" t="inlineStr">
        <is>
          <t>S Jakir</t>
        </is>
      </c>
      <c r="B2671" s="37" t="inlineStr">
        <is>
          <t>Hubli</t>
        </is>
      </c>
      <c r="C2671" s="37" t="inlineStr">
        <is>
          <t>GROW Youth</t>
        </is>
      </c>
      <c r="D2671" s="37" t="inlineStr">
        <is>
          <t>2026-07-08</t>
        </is>
      </c>
      <c r="E2671" s="37" t="inlineStr">
        <is>
          <t>Process Check</t>
        </is>
      </c>
      <c r="F2671" s="37" t="inlineStr">
        <is>
          <t>Confirm ESA is done (in GROW full ESA and in Technical courses relevant sections of Core Employability Part).</t>
        </is>
      </c>
      <c r="G2671" s="37" t="inlineStr">
        <is>
          <t>All is Well</t>
        </is>
      </c>
    </row>
    <row r="2672">
      <c r="A2672" s="37" t="inlineStr">
        <is>
          <t>S Jakir</t>
        </is>
      </c>
      <c r="B2672" s="37" t="inlineStr">
        <is>
          <t>Hubli</t>
        </is>
      </c>
      <c r="C2672" s="37" t="inlineStr">
        <is>
          <t>GROW Youth</t>
        </is>
      </c>
      <c r="D2672" s="37" t="inlineStr">
        <is>
          <t>2026-07-08</t>
        </is>
      </c>
      <c r="E2672" s="37" t="inlineStr">
        <is>
          <t>Process Check</t>
        </is>
      </c>
      <c r="F2672" s="37" t="inlineStr">
        <is>
          <t>Check is AH giving capstone project in GROW Tech.</t>
        </is>
      </c>
      <c r="G2672" s="37" t="inlineStr">
        <is>
          <t>Not Applicable</t>
        </is>
      </c>
    </row>
    <row r="2673">
      <c r="A2673" s="37" t="inlineStr">
        <is>
          <t>S Jakir</t>
        </is>
      </c>
      <c r="B2673" s="37" t="inlineStr">
        <is>
          <t>Hubli</t>
        </is>
      </c>
      <c r="C2673" s="37" t="inlineStr">
        <is>
          <t>GROW Youth</t>
        </is>
      </c>
      <c r="D2673" s="37" t="inlineStr">
        <is>
          <t>2026-07-08</t>
        </is>
      </c>
      <c r="E2673" s="37" t="inlineStr">
        <is>
          <t>Process Check</t>
        </is>
      </c>
      <c r="F2673" s="37" t="inlineStr">
        <is>
          <t>Check is AH planning OJT as per guidelines and proofs are collected for technical courses.</t>
        </is>
      </c>
      <c r="G2673" s="37" t="inlineStr">
        <is>
          <t>Not Applicable</t>
        </is>
      </c>
    </row>
    <row r="2674">
      <c r="A2674" s="37" t="inlineStr">
        <is>
          <t>S Jakir</t>
        </is>
      </c>
      <c r="B2674" s="37" t="inlineStr">
        <is>
          <t>Hubli</t>
        </is>
      </c>
      <c r="C2674" s="37" t="inlineStr">
        <is>
          <t>GROW Youth</t>
        </is>
      </c>
      <c r="D2674" s="37" t="inlineStr">
        <is>
          <t>2026-07-08</t>
        </is>
      </c>
      <c r="E2674" s="37" t="inlineStr">
        <is>
          <t>Process Check</t>
        </is>
      </c>
      <c r="F2674" s="37" t="inlineStr">
        <is>
          <t>Check are trainers contacting aspirants to find reason for their absenteeism of more than 1 day.</t>
        </is>
      </c>
      <c r="G2674" s="37" t="inlineStr">
        <is>
          <t>All is Well</t>
        </is>
      </c>
    </row>
    <row r="2675">
      <c r="A2675" s="37" t="inlineStr">
        <is>
          <t>S Jakir</t>
        </is>
      </c>
      <c r="B2675" s="37" t="inlineStr">
        <is>
          <t>Hubli</t>
        </is>
      </c>
      <c r="C2675" s="37" t="inlineStr">
        <is>
          <t>GROW Youth</t>
        </is>
      </c>
      <c r="D2675" s="37" t="inlineStr">
        <is>
          <t>2026-07-08</t>
        </is>
      </c>
      <c r="E2675" s="37" t="inlineStr">
        <is>
          <t>Process Check</t>
        </is>
      </c>
      <c r="F2675" s="37" t="inlineStr">
        <is>
          <t>Check the AH plans monthly enrolment and placement numbers by the 3rd of each month and shares them with second level managers.</t>
        </is>
      </c>
      <c r="G2675" s="37" t="inlineStr">
        <is>
          <t>All is Well</t>
        </is>
      </c>
    </row>
    <row r="2676">
      <c r="A2676" s="37" t="inlineStr">
        <is>
          <t>S Jakir</t>
        </is>
      </c>
      <c r="B2676" s="37" t="inlineStr">
        <is>
          <t>Hubli</t>
        </is>
      </c>
      <c r="C2676" s="37" t="inlineStr">
        <is>
          <t>GROW Youth</t>
        </is>
      </c>
      <c r="D2676" s="37" t="inlineStr">
        <is>
          <t>2026-07-08</t>
        </is>
      </c>
      <c r="E2676" s="37" t="inlineStr">
        <is>
          <t>Process Check</t>
        </is>
      </c>
      <c r="F2676" s="37" t="inlineStr">
        <is>
          <t>Check trainers submit aspirants’ placement interest areas to the AH by the batch’s 25th day (in GROW).</t>
        </is>
      </c>
      <c r="G2676" s="37" t="inlineStr">
        <is>
          <t>All is Well</t>
        </is>
      </c>
    </row>
    <row r="2677">
      <c r="A2677" s="37" t="inlineStr">
        <is>
          <t>S Jakir</t>
        </is>
      </c>
      <c r="B2677" s="37" t="inlineStr">
        <is>
          <t>Hubli</t>
        </is>
      </c>
      <c r="C2677" s="37" t="inlineStr">
        <is>
          <t>GROW Youth</t>
        </is>
      </c>
      <c r="D2677" s="37" t="inlineStr">
        <is>
          <t>2026-07-08</t>
        </is>
      </c>
      <c r="E2677" s="37" t="inlineStr">
        <is>
          <t>Process Check</t>
        </is>
      </c>
      <c r="F2677" s="37" t="inlineStr">
        <is>
          <t>Ckeck For technical programs, placement is done only in technical jobs,on which aspirants are trained and relevant emplyers are identified by 45th day.</t>
        </is>
      </c>
      <c r="G2677" s="37" t="inlineStr">
        <is>
          <t>Not Applicable</t>
        </is>
      </c>
    </row>
    <row r="2678">
      <c r="A2678" s="37" t="inlineStr">
        <is>
          <t>S Jakir</t>
        </is>
      </c>
      <c r="B2678" s="37" t="inlineStr">
        <is>
          <t>Hubli</t>
        </is>
      </c>
      <c r="C2678" s="37" t="inlineStr">
        <is>
          <t>GROW Youth</t>
        </is>
      </c>
      <c r="D2678" s="37" t="inlineStr">
        <is>
          <t>2026-07-08</t>
        </is>
      </c>
      <c r="E2678" s="37" t="inlineStr">
        <is>
          <t>Process Check</t>
        </is>
      </c>
      <c r="F2678" s="37" t="inlineStr">
        <is>
          <t>Check the AH follows EP guidelines and minimum benchmark salary guidelines.</t>
        </is>
      </c>
      <c r="G2678" s="37" t="inlineStr">
        <is>
          <t>Need Improvement</t>
        </is>
      </c>
    </row>
    <row r="2679">
      <c r="A2679" s="37" t="inlineStr">
        <is>
          <t>S Jakir</t>
        </is>
      </c>
      <c r="B2679" s="37" t="inlineStr">
        <is>
          <t>Hubli</t>
        </is>
      </c>
      <c r="C2679" s="37" t="inlineStr">
        <is>
          <t>GROW Youth</t>
        </is>
      </c>
      <c r="D2679" s="37" t="inlineStr">
        <is>
          <t>2026-07-08</t>
        </is>
      </c>
      <c r="E2679" s="37" t="inlineStr">
        <is>
          <t>Process Check</t>
        </is>
      </c>
      <c r="F2679" s="37" t="inlineStr">
        <is>
          <t>Check that AH is enrolling only the right traget group in the program -as per the defined target.</t>
        </is>
      </c>
      <c r="G2679" s="37" t="inlineStr">
        <is>
          <t>All is Well</t>
        </is>
      </c>
    </row>
    <row r="2680">
      <c r="A2680" s="37" t="inlineStr">
        <is>
          <t>S Jakir</t>
        </is>
      </c>
      <c r="B2680" s="37" t="inlineStr">
        <is>
          <t>Hubli</t>
        </is>
      </c>
      <c r="C2680" s="37" t="inlineStr">
        <is>
          <t>GROW Youth</t>
        </is>
      </c>
      <c r="D2680" s="37" t="inlineStr">
        <is>
          <t>2026-07-08</t>
        </is>
      </c>
      <c r="E2680" s="37" t="inlineStr">
        <is>
          <t>Process Check</t>
        </is>
      </c>
      <c r="F2680" s="37" t="inlineStr">
        <is>
          <t>Check the AH announces the next batch-start date by the 3rd of the month on all notice boards — focus on Zero-Day start.</t>
        </is>
      </c>
      <c r="G2680" s="37" t="inlineStr">
        <is>
          <t>All is Well</t>
        </is>
      </c>
    </row>
    <row r="2681">
      <c r="A2681" s="37" t="inlineStr">
        <is>
          <t>S Jakir</t>
        </is>
      </c>
      <c r="B2681" s="37" t="inlineStr">
        <is>
          <t>Hubli</t>
        </is>
      </c>
      <c r="C2681" s="37" t="inlineStr">
        <is>
          <t>GROW Youth</t>
        </is>
      </c>
      <c r="D2681" s="37" t="inlineStr">
        <is>
          <t>2026-07-08</t>
        </is>
      </c>
      <c r="E2681" s="37" t="inlineStr">
        <is>
          <t>Process Check</t>
        </is>
      </c>
      <c r="F2681" s="37" t="inlineStr">
        <is>
          <t>Check the Aspirant Mock Interview Score Tracker is updated after every mock interview in the L&amp;D Google Sheet.</t>
        </is>
      </c>
      <c r="G2681" s="37" t="inlineStr">
        <is>
          <t>All is Well</t>
        </is>
      </c>
    </row>
    <row r="2682">
      <c r="A2682" s="37" t="inlineStr">
        <is>
          <t>S Jakir</t>
        </is>
      </c>
      <c r="B2682" s="37" t="inlineStr">
        <is>
          <t>Hubli</t>
        </is>
      </c>
      <c r="C2682" s="37" t="inlineStr">
        <is>
          <t>GROW Youth</t>
        </is>
      </c>
      <c r="D2682" s="37" t="inlineStr">
        <is>
          <t>2026-07-08</t>
        </is>
      </c>
      <c r="E2682" s="37" t="inlineStr">
        <is>
          <t>Process Check</t>
        </is>
      </c>
      <c r="F2682" s="37" t="inlineStr">
        <is>
          <t>Confirm NPS (Net Promoter Score) is collected at MSDF centres.</t>
        </is>
      </c>
      <c r="G2682" s="37" t="inlineStr">
        <is>
          <t>Not Applicable</t>
        </is>
      </c>
    </row>
    <row r="2683">
      <c r="A2683" s="37" t="inlineStr">
        <is>
          <t>S Jakir</t>
        </is>
      </c>
      <c r="B2683" s="37" t="inlineStr">
        <is>
          <t>Hubli</t>
        </is>
      </c>
      <c r="C2683" s="37" t="inlineStr">
        <is>
          <t>GROW Youth</t>
        </is>
      </c>
      <c r="D2683" s="37" t="inlineStr">
        <is>
          <t>2026-07-08</t>
        </is>
      </c>
      <c r="E2683" s="37" t="inlineStr">
        <is>
          <t>Process Check</t>
        </is>
      </c>
      <c r="F2683" s="37" t="inlineStr">
        <is>
          <t>Confirm that QAE is collecting student feedback for every batch.</t>
        </is>
      </c>
      <c r="G2683" s="37" t="inlineStr">
        <is>
          <t>All is Well</t>
        </is>
      </c>
    </row>
    <row r="2684">
      <c r="A2684" s="37" t="inlineStr">
        <is>
          <t>S Jakir</t>
        </is>
      </c>
      <c r="B2684" s="37" t="inlineStr">
        <is>
          <t>Hubli</t>
        </is>
      </c>
      <c r="C2684" s="37" t="inlineStr">
        <is>
          <t>GROW Youth</t>
        </is>
      </c>
      <c r="D2684" s="37" t="inlineStr">
        <is>
          <t>2026-07-08</t>
        </is>
      </c>
      <c r="E2684" s="37" t="inlineStr">
        <is>
          <t>Process Check</t>
        </is>
      </c>
      <c r="F2684" s="37" t="inlineStr">
        <is>
          <t>Confirm all centre teams have completed the GROW Manual Course on Skillfy — ask for achievement certificates.</t>
        </is>
      </c>
      <c r="G2684" s="37" t="inlineStr">
        <is>
          <t>All is Well</t>
        </is>
      </c>
    </row>
    <row r="2685">
      <c r="A2685" s="37" t="inlineStr">
        <is>
          <t>S Jakir</t>
        </is>
      </c>
      <c r="B2685" s="37" t="inlineStr">
        <is>
          <t>Hubli</t>
        </is>
      </c>
      <c r="C2685" s="37" t="inlineStr">
        <is>
          <t>GROW Youth</t>
        </is>
      </c>
      <c r="D2685" s="37" t="inlineStr">
        <is>
          <t>2026-07-08</t>
        </is>
      </c>
      <c r="E2685" s="37" t="inlineStr">
        <is>
          <t>Process Check</t>
        </is>
      </c>
      <c r="F2685" s="37" t="inlineStr">
        <is>
          <t>Check AH holds a quality weekly team meeting, documents action points in the weekly meeting format, and sends you a photo on WhatsApp.</t>
        </is>
      </c>
      <c r="G2685" s="37" t="inlineStr">
        <is>
          <t>All is Well</t>
        </is>
      </c>
    </row>
    <row r="2686">
      <c r="A2686" s="37" t="inlineStr">
        <is>
          <t>S Jakir</t>
        </is>
      </c>
      <c r="B2686" s="37" t="inlineStr">
        <is>
          <t>Hubli</t>
        </is>
      </c>
      <c r="C2686" s="37" t="inlineStr">
        <is>
          <t>GROW Youth</t>
        </is>
      </c>
      <c r="D2686" s="37" t="inlineStr">
        <is>
          <t>2026-07-08</t>
        </is>
      </c>
      <c r="E2686" s="37" t="inlineStr">
        <is>
          <t>Aspirant Interaction</t>
        </is>
      </c>
      <c r="F2686" s="37" t="inlineStr">
        <is>
          <t>Ask aspirants about the session plan — confirm training is happening as planned?</t>
        </is>
      </c>
      <c r="G2686" s="37" t="inlineStr">
        <is>
          <t>All is Well</t>
        </is>
      </c>
    </row>
    <row r="2687">
      <c r="A2687" s="37" t="inlineStr">
        <is>
          <t>S Jakir</t>
        </is>
      </c>
      <c r="B2687" s="37" t="inlineStr">
        <is>
          <t>Hubli</t>
        </is>
      </c>
      <c r="C2687" s="37" t="inlineStr">
        <is>
          <t>GROW Youth</t>
        </is>
      </c>
      <c r="D2687" s="37" t="inlineStr">
        <is>
          <t>2026-07-08</t>
        </is>
      </c>
      <c r="E2687" s="37" t="inlineStr">
        <is>
          <t>Aspirant Interaction</t>
        </is>
      </c>
      <c r="F2687" s="37" t="inlineStr">
        <is>
          <t>Ask about the quality of Core Employability component delivery (technical centres) and who delivers it.</t>
        </is>
      </c>
      <c r="G2687" s="37" t="inlineStr">
        <is>
          <t>All is Well</t>
        </is>
      </c>
    </row>
    <row r="2688">
      <c r="A2688" s="37" t="inlineStr">
        <is>
          <t>S Jakir</t>
        </is>
      </c>
      <c r="B2688" s="37" t="inlineStr">
        <is>
          <t>Hubli</t>
        </is>
      </c>
      <c r="C2688" s="37" t="inlineStr">
        <is>
          <t>GROW Youth</t>
        </is>
      </c>
      <c r="D2688" s="37" t="inlineStr">
        <is>
          <t>2026-07-08</t>
        </is>
      </c>
      <c r="E2688" s="37" t="inlineStr">
        <is>
          <t>Aspirant Interaction</t>
        </is>
      </c>
      <c r="F2688" s="37" t="inlineStr">
        <is>
          <t>Ask whether they are aware of the referral scheme?</t>
        </is>
      </c>
      <c r="G2688" s="37" t="inlineStr">
        <is>
          <t>All is Well</t>
        </is>
      </c>
    </row>
    <row r="2689">
      <c r="A2689" s="37" t="inlineStr">
        <is>
          <t>S Jakir</t>
        </is>
      </c>
      <c r="B2689" s="37" t="inlineStr">
        <is>
          <t>Hubli</t>
        </is>
      </c>
      <c r="C2689" s="37" t="inlineStr">
        <is>
          <t>GROW Youth</t>
        </is>
      </c>
      <c r="D2689" s="37" t="inlineStr">
        <is>
          <t>2026-07-08</t>
        </is>
      </c>
      <c r="E2689" s="37" t="inlineStr">
        <is>
          <t>Aspirant Interaction</t>
        </is>
      </c>
      <c r="F2689" s="37" t="inlineStr">
        <is>
          <t>Ask whether the AH explained the importance of the offer letter and sharing it with us once received for reporting purposes?</t>
        </is>
      </c>
      <c r="G2689" s="37" t="inlineStr">
        <is>
          <t>All is Well</t>
        </is>
      </c>
    </row>
    <row r="2690">
      <c r="A2690" s="37" t="inlineStr">
        <is>
          <t>S Jakir</t>
        </is>
      </c>
      <c r="B2690" s="37" t="inlineStr">
        <is>
          <t>Hubli</t>
        </is>
      </c>
      <c r="C2690" s="37" t="inlineStr">
        <is>
          <t>GROW Youth</t>
        </is>
      </c>
      <c r="D2690" s="37" t="inlineStr">
        <is>
          <t>2026-07-08</t>
        </is>
      </c>
      <c r="E2690" s="37" t="inlineStr">
        <is>
          <t>Aspirant Interaction</t>
        </is>
      </c>
      <c r="F2690" s="37" t="inlineStr">
        <is>
          <t>Ask how many are not interested in jobs — and if so, why they enrolled in the programme?</t>
        </is>
      </c>
      <c r="G2690" s="37" t="inlineStr">
        <is>
          <t>All is Well</t>
        </is>
      </c>
    </row>
    <row r="2691">
      <c r="A2691" s="37" t="inlineStr">
        <is>
          <t>S Jakir</t>
        </is>
      </c>
      <c r="B2691" s="37" t="inlineStr">
        <is>
          <t>Hubli</t>
        </is>
      </c>
      <c r="C2691" s="37" t="inlineStr">
        <is>
          <t>GROW Youth</t>
        </is>
      </c>
      <c r="D2691" s="37" t="inlineStr">
        <is>
          <t>2026-07-08</t>
        </is>
      </c>
      <c r="E2691" s="37" t="inlineStr">
        <is>
          <t>Aspirant Interaction</t>
        </is>
      </c>
      <c r="F2691" s="37" t="inlineStr">
        <is>
          <t>Ask whether they were told the kind of job they would get during counselling?</t>
        </is>
      </c>
      <c r="G2691" s="37" t="inlineStr">
        <is>
          <t>All is Well</t>
        </is>
      </c>
    </row>
    <row r="2692">
      <c r="A2692" s="37" t="inlineStr">
        <is>
          <t>S Jakir</t>
        </is>
      </c>
      <c r="B2692" s="37" t="inlineStr">
        <is>
          <t>Hubli</t>
        </is>
      </c>
      <c r="C2692" s="37" t="inlineStr">
        <is>
          <t>GROW Youth</t>
        </is>
      </c>
      <c r="D2692" s="37" t="inlineStr">
        <is>
          <t>2026-07-08</t>
        </is>
      </c>
      <c r="E2692" s="37" t="inlineStr">
        <is>
          <t>Aspirant Interaction</t>
        </is>
      </c>
      <c r="F2692" s="37" t="inlineStr">
        <is>
          <t>Ask whether they have been given LMS access?</t>
        </is>
      </c>
      <c r="G2692" s="37" t="inlineStr">
        <is>
          <t>All is Well</t>
        </is>
      </c>
    </row>
    <row r="2693">
      <c r="A2693" s="37" t="inlineStr">
        <is>
          <t>S Jakir</t>
        </is>
      </c>
      <c r="B2693" s="37" t="inlineStr">
        <is>
          <t>Hubli</t>
        </is>
      </c>
      <c r="C2693" s="37" t="inlineStr">
        <is>
          <t>GROW Youth</t>
        </is>
      </c>
      <c r="D2693" s="37" t="inlineStr">
        <is>
          <t>2026-07-08</t>
        </is>
      </c>
      <c r="E2693" s="37" t="inlineStr">
        <is>
          <t>Aspirant Interaction</t>
        </is>
      </c>
      <c r="F2693" s="37" t="inlineStr">
        <is>
          <t>Ask whether anyone asked them for money for training or placement?</t>
        </is>
      </c>
      <c r="G2693" s="37" t="inlineStr">
        <is>
          <t>All is Well</t>
        </is>
      </c>
    </row>
    <row r="2694">
      <c r="A2694" s="37" t="inlineStr">
        <is>
          <t>S Jakir</t>
        </is>
      </c>
      <c r="B2694" s="37" t="inlineStr">
        <is>
          <t>Hubli</t>
        </is>
      </c>
      <c r="C2694" s="37" t="inlineStr">
        <is>
          <t>GROW Youth</t>
        </is>
      </c>
      <c r="D2694" s="37" t="inlineStr">
        <is>
          <t>2026-07-08</t>
        </is>
      </c>
      <c r="E2694" s="37" t="inlineStr">
        <is>
          <t>Aspirant Interaction</t>
        </is>
      </c>
      <c r="F2694" s="37" t="inlineStr">
        <is>
          <t>Ask to show their mobile phones — are they enrolled on Skillfy? If not, get them enrolled and give written feedback to trainers and the AH in your presence.</t>
        </is>
      </c>
      <c r="G2694" s="37" t="inlineStr">
        <is>
          <t>All is Well</t>
        </is>
      </c>
    </row>
    <row r="2695">
      <c r="A2695" s="37" t="inlineStr">
        <is>
          <t>S Jakir</t>
        </is>
      </c>
      <c r="B2695" s="37" t="inlineStr">
        <is>
          <t>Hubli</t>
        </is>
      </c>
      <c r="C2695" s="37" t="inlineStr">
        <is>
          <t>GROW Youth</t>
        </is>
      </c>
      <c r="D2695" s="37" t="inlineStr">
        <is>
          <t>2026-07-08</t>
        </is>
      </c>
      <c r="E2695" s="37" t="inlineStr">
        <is>
          <t>Aspirant Interaction</t>
        </is>
      </c>
      <c r="F2695" s="37" t="inlineStr">
        <is>
          <t>Ask about the quality of the hostel and any issues they face.</t>
        </is>
      </c>
      <c r="G2695" s="37" t="inlineStr">
        <is>
          <t>All is Well</t>
        </is>
      </c>
    </row>
    <row r="2696">
      <c r="A2696" s="37" t="inlineStr">
        <is>
          <t>S Jakir</t>
        </is>
      </c>
      <c r="B2696" s="37" t="inlineStr">
        <is>
          <t>Hubli</t>
        </is>
      </c>
      <c r="C2696" s="37" t="inlineStr">
        <is>
          <t>GROW Youth</t>
        </is>
      </c>
      <c r="D2696" s="37" t="inlineStr">
        <is>
          <t>2026-07-08</t>
        </is>
      </c>
      <c r="E2696" s="37" t="inlineStr">
        <is>
          <t>Aspirant Interaction</t>
        </is>
      </c>
      <c r="F2696" s="37" t="inlineStr">
        <is>
          <t>Ask a few relevant screening questions to support the 10th-day report and remove non-serious candidates, explaining to them the reasons.</t>
        </is>
      </c>
      <c r="G2696" s="37" t="inlineStr">
        <is>
          <t>All is Well</t>
        </is>
      </c>
    </row>
    <row r="2697">
      <c r="A2697" s="37" t="inlineStr">
        <is>
          <t>S Jakir</t>
        </is>
      </c>
      <c r="B2697" s="37" t="inlineStr">
        <is>
          <t>Hoskote</t>
        </is>
      </c>
      <c r="C2697" s="37" t="inlineStr">
        <is>
          <t>HHQCS</t>
        </is>
      </c>
      <c r="D2697" s="37" t="inlineStr">
        <is>
          <t>2026-07-15</t>
        </is>
      </c>
      <c r="E2697" s="37" t="inlineStr">
        <is>
          <t>Data Check</t>
        </is>
      </c>
      <c r="F2697" s="37" t="inlineStr">
        <is>
          <t>Reach the centre on time (unannounced) — confirm the centre opened on time.</t>
        </is>
      </c>
      <c r="G2697" s="37" t="inlineStr">
        <is>
          <t>All is Well</t>
        </is>
      </c>
    </row>
    <row r="2698">
      <c r="A2698" s="37" t="inlineStr">
        <is>
          <t>S Jakir</t>
        </is>
      </c>
      <c r="B2698" s="37" t="inlineStr">
        <is>
          <t>Hoskote</t>
        </is>
      </c>
      <c r="C2698" s="37" t="inlineStr">
        <is>
          <t>HHQCS</t>
        </is>
      </c>
      <c r="D2698" s="37" t="inlineStr">
        <is>
          <t>2026-07-15</t>
        </is>
      </c>
      <c r="E2698" s="37" t="inlineStr">
        <is>
          <t>Data Check</t>
        </is>
      </c>
      <c r="F2698" s="37" t="inlineStr">
        <is>
          <t>Check the staff attendance register, the Google Sheet, and geo-tagged photos for aspirants.</t>
        </is>
      </c>
      <c r="G2698" s="37" t="inlineStr">
        <is>
          <t>All is Well</t>
        </is>
      </c>
    </row>
    <row r="2699">
      <c r="A2699" s="37" t="inlineStr">
        <is>
          <t>S Jakir</t>
        </is>
      </c>
      <c r="B2699" s="37" t="inlineStr">
        <is>
          <t>Hoskote</t>
        </is>
      </c>
      <c r="C2699" s="37" t="inlineStr">
        <is>
          <t>HHQCS</t>
        </is>
      </c>
      <c r="D2699" s="37" t="inlineStr">
        <is>
          <t>2026-07-15</t>
        </is>
      </c>
      <c r="E2699" s="37" t="inlineStr">
        <is>
          <t>Data Check</t>
        </is>
      </c>
      <c r="F2699" s="37" t="inlineStr">
        <is>
          <t>Check Counselling and Screening Forms of recently started batches.</t>
        </is>
      </c>
      <c r="G2699" s="37" t="inlineStr">
        <is>
          <t>All is Well</t>
        </is>
      </c>
    </row>
    <row r="2700">
      <c r="A2700" s="37" t="inlineStr">
        <is>
          <t>S Jakir</t>
        </is>
      </c>
      <c r="B2700" s="37" t="inlineStr">
        <is>
          <t>Hoskote</t>
        </is>
      </c>
      <c r="C2700" s="37" t="inlineStr">
        <is>
          <t>HHQCS</t>
        </is>
      </c>
      <c r="D2700" s="37" t="inlineStr">
        <is>
          <t>2026-07-15</t>
        </is>
      </c>
      <c r="E2700" s="37" t="inlineStr">
        <is>
          <t>Data Check</t>
        </is>
      </c>
      <c r="F2700" s="37" t="inlineStr">
        <is>
          <t>Check Aspirant Registration Forms and related documents.</t>
        </is>
      </c>
      <c r="G2700" s="37" t="inlineStr">
        <is>
          <t>Need Improvement</t>
        </is>
      </c>
    </row>
    <row r="2701">
      <c r="A2701" s="37" t="inlineStr">
        <is>
          <t>S Jakir</t>
        </is>
      </c>
      <c r="B2701" s="37" t="inlineStr">
        <is>
          <t>Hoskote</t>
        </is>
      </c>
      <c r="C2701" s="37" t="inlineStr">
        <is>
          <t>HHQCS</t>
        </is>
      </c>
      <c r="D2701" s="37" t="inlineStr">
        <is>
          <t>2026-07-15</t>
        </is>
      </c>
      <c r="E2701" s="37" t="inlineStr">
        <is>
          <t>Data Check</t>
        </is>
      </c>
      <c r="F2701" s="37" t="inlineStr">
        <is>
          <t>On the GROW portal, confirm all student profile details and batch updates are currect.</t>
        </is>
      </c>
      <c r="G2701" s="37" t="inlineStr">
        <is>
          <t>All is Well</t>
        </is>
      </c>
    </row>
    <row r="2702">
      <c r="A2702" s="37" t="inlineStr">
        <is>
          <t>S Jakir</t>
        </is>
      </c>
      <c r="B2702" s="37" t="inlineStr">
        <is>
          <t>Hoskote</t>
        </is>
      </c>
      <c r="C2702" s="37" t="inlineStr">
        <is>
          <t>HHQCS</t>
        </is>
      </c>
      <c r="D2702" s="37" t="inlineStr">
        <is>
          <t>2026-07-15</t>
        </is>
      </c>
      <c r="E2702" s="37" t="inlineStr">
        <is>
          <t>Data Check</t>
        </is>
      </c>
      <c r="F2702" s="37" t="inlineStr">
        <is>
          <t>Verify placement data — randomly call 3–4 alumni placed in the last 3 months to confirm veracity (random selection is essential).</t>
        </is>
      </c>
      <c r="G2702" s="37" t="inlineStr">
        <is>
          <t>All is Well</t>
        </is>
      </c>
    </row>
    <row r="2703">
      <c r="A2703" s="37" t="inlineStr">
        <is>
          <t>S Jakir</t>
        </is>
      </c>
      <c r="B2703" s="37" t="inlineStr">
        <is>
          <t>Hoskote</t>
        </is>
      </c>
      <c r="C2703" s="37" t="inlineStr">
        <is>
          <t>HHQCS</t>
        </is>
      </c>
      <c r="D2703" s="37" t="inlineStr">
        <is>
          <t>2026-07-15</t>
        </is>
      </c>
      <c r="E2703" s="37" t="inlineStr">
        <is>
          <t>Data Check</t>
        </is>
      </c>
      <c r="F2703" s="37" t="inlineStr">
        <is>
          <t>Verify retention — check the Alumni Hand-holding Format is being updated as designed.</t>
        </is>
      </c>
      <c r="G2703" s="37" t="inlineStr">
        <is>
          <t>All is Well</t>
        </is>
      </c>
    </row>
    <row r="2704">
      <c r="A2704" s="37" t="inlineStr">
        <is>
          <t>S Jakir</t>
        </is>
      </c>
      <c r="B2704" s="37" t="inlineStr">
        <is>
          <t>Hoskote</t>
        </is>
      </c>
      <c r="C2704" s="37" t="inlineStr">
        <is>
          <t>HHQCS</t>
        </is>
      </c>
      <c r="D2704" s="37" t="inlineStr">
        <is>
          <t>2026-07-15</t>
        </is>
      </c>
      <c r="E2704" s="37" t="inlineStr">
        <is>
          <t>Data Check</t>
        </is>
      </c>
      <c r="F2704" s="37" t="inlineStr">
        <is>
          <t>Check aspirant Hostel Forms are properly filled or not.</t>
        </is>
      </c>
      <c r="G2704" s="37" t="inlineStr">
        <is>
          <t>Need Improvement</t>
        </is>
      </c>
    </row>
    <row r="2705">
      <c r="A2705" s="37" t="inlineStr">
        <is>
          <t>S Jakir</t>
        </is>
      </c>
      <c r="B2705" s="37" t="inlineStr">
        <is>
          <t>Hoskote</t>
        </is>
      </c>
      <c r="C2705" s="37" t="inlineStr">
        <is>
          <t>HHQCS</t>
        </is>
      </c>
      <c r="D2705" s="37" t="inlineStr">
        <is>
          <t>2026-07-15</t>
        </is>
      </c>
      <c r="E2705" s="37" t="inlineStr">
        <is>
          <t>Infra Check</t>
        </is>
      </c>
      <c r="F2705" s="37" t="inlineStr">
        <is>
          <t>Check all CCTV cameras; if any are not working, ask the AH to troubleshoot or call the vendor.</t>
        </is>
      </c>
      <c r="G2705" s="37" t="inlineStr">
        <is>
          <t>Need Improvement</t>
        </is>
      </c>
    </row>
    <row r="2706">
      <c r="A2706" s="37" t="inlineStr">
        <is>
          <t>S Jakir</t>
        </is>
      </c>
      <c r="B2706" s="37" t="inlineStr">
        <is>
          <t>Hoskote</t>
        </is>
      </c>
      <c r="C2706" s="37" t="inlineStr">
        <is>
          <t>HHQCS</t>
        </is>
      </c>
      <c r="D2706" s="37" t="inlineStr">
        <is>
          <t>2026-07-15</t>
        </is>
      </c>
      <c r="E2706" s="37" t="inlineStr">
        <is>
          <t>Infra Check</t>
        </is>
      </c>
      <c r="F2706" s="37" t="inlineStr">
        <is>
          <t>Check for any scrap material and get it cleared, with support of Admin</t>
        </is>
      </c>
      <c r="G2706" s="37" t="inlineStr">
        <is>
          <t>All is Well</t>
        </is>
      </c>
    </row>
    <row r="2707">
      <c r="A2707" s="37" t="inlineStr">
        <is>
          <t>S Jakir</t>
        </is>
      </c>
      <c r="B2707" s="37" t="inlineStr">
        <is>
          <t>Hoskote</t>
        </is>
      </c>
      <c r="C2707" s="37" t="inlineStr">
        <is>
          <t>HHQCS</t>
        </is>
      </c>
      <c r="D2707" s="37" t="inlineStr">
        <is>
          <t>2026-07-15</t>
        </is>
      </c>
      <c r="E2707" s="37" t="inlineStr">
        <is>
          <t>Infra Check</t>
        </is>
      </c>
      <c r="F2707" s="37" t="inlineStr">
        <is>
          <t>Check for any pending infra repairs.</t>
        </is>
      </c>
      <c r="G2707" s="37" t="inlineStr">
        <is>
          <t>All is Well</t>
        </is>
      </c>
    </row>
    <row r="2708">
      <c r="A2708" s="37" t="inlineStr">
        <is>
          <t>S Jakir</t>
        </is>
      </c>
      <c r="B2708" s="37" t="inlineStr">
        <is>
          <t>Hoskote</t>
        </is>
      </c>
      <c r="C2708" s="37" t="inlineStr">
        <is>
          <t>HHQCS</t>
        </is>
      </c>
      <c r="D2708" s="37" t="inlineStr">
        <is>
          <t>2026-07-15</t>
        </is>
      </c>
      <c r="E2708" s="37" t="inlineStr">
        <is>
          <t>Infra Check</t>
        </is>
      </c>
      <c r="F2708" s="37" t="inlineStr">
        <is>
          <t>Check whether any fire extinguishers have expired (check the needle and expiry date both).</t>
        </is>
      </c>
      <c r="G2708" s="37" t="inlineStr">
        <is>
          <t>All is Well</t>
        </is>
      </c>
    </row>
    <row r="2709">
      <c r="A2709" s="37" t="inlineStr">
        <is>
          <t>S Jakir</t>
        </is>
      </c>
      <c r="B2709" s="37" t="inlineStr">
        <is>
          <t>Hoskote</t>
        </is>
      </c>
      <c r="C2709" s="37" t="inlineStr">
        <is>
          <t>HHQCS</t>
        </is>
      </c>
      <c r="D2709" s="37" t="inlineStr">
        <is>
          <t>2026-07-15</t>
        </is>
      </c>
      <c r="E2709" s="37" t="inlineStr">
        <is>
          <t>Infra Check</t>
        </is>
      </c>
      <c r="F2709" s="37" t="inlineStr">
        <is>
          <t>Check basic cleanliness of the washrooms and the centre.</t>
        </is>
      </c>
      <c r="G2709" s="37" t="inlineStr">
        <is>
          <t>All is Well</t>
        </is>
      </c>
    </row>
    <row r="2710">
      <c r="A2710" s="37" t="inlineStr">
        <is>
          <t>S Jakir</t>
        </is>
      </c>
      <c r="B2710" s="37" t="inlineStr">
        <is>
          <t>Hoskote</t>
        </is>
      </c>
      <c r="C2710" s="37" t="inlineStr">
        <is>
          <t>HHQCS</t>
        </is>
      </c>
      <c r="D2710" s="37" t="inlineStr">
        <is>
          <t>2026-07-15</t>
        </is>
      </c>
      <c r="E2710" s="37" t="inlineStr">
        <is>
          <t>Infra Check</t>
        </is>
      </c>
      <c r="F2710" s="37" t="inlineStr">
        <is>
          <t>Confirm the correct program and partner logos are displayed.</t>
        </is>
      </c>
      <c r="G2710" s="37" t="inlineStr">
        <is>
          <t>All is Well</t>
        </is>
      </c>
    </row>
    <row r="2711">
      <c r="A2711" s="37" t="inlineStr">
        <is>
          <t>S Jakir</t>
        </is>
      </c>
      <c r="B2711" s="37" t="inlineStr">
        <is>
          <t>Hoskote</t>
        </is>
      </c>
      <c r="C2711" s="37" t="inlineStr">
        <is>
          <t>HHQCS</t>
        </is>
      </c>
      <c r="D2711" s="37" t="inlineStr">
        <is>
          <t>2026-07-15</t>
        </is>
      </c>
      <c r="E2711" s="37" t="inlineStr">
        <is>
          <t>Infra Check</t>
        </is>
      </c>
      <c r="F2711" s="37" t="inlineStr">
        <is>
          <t>Check the status of digital infra — PCs, smartboards, tablets, laptops, etc.</t>
        </is>
      </c>
      <c r="G2711" s="37" t="inlineStr">
        <is>
          <t>Need Improvement</t>
        </is>
      </c>
    </row>
    <row r="2712">
      <c r="A2712" s="37" t="inlineStr">
        <is>
          <t>S Jakir</t>
        </is>
      </c>
      <c r="B2712" s="37" t="inlineStr">
        <is>
          <t>Hoskote</t>
        </is>
      </c>
      <c r="C2712" s="37" t="inlineStr">
        <is>
          <t>HHQCS</t>
        </is>
      </c>
      <c r="D2712" s="37" t="inlineStr">
        <is>
          <t>2026-07-15</t>
        </is>
      </c>
      <c r="E2712" s="37" t="inlineStr">
        <is>
          <t>Infra Check</t>
        </is>
      </c>
      <c r="F2712" s="37" t="inlineStr">
        <is>
          <t>Make a quick hostel visit; have lunch there if possible to test the food quality.</t>
        </is>
      </c>
      <c r="G2712" s="37" t="inlineStr">
        <is>
          <t>All is Well</t>
        </is>
      </c>
    </row>
    <row r="2713">
      <c r="A2713" s="37" t="inlineStr">
        <is>
          <t>S Jakir</t>
        </is>
      </c>
      <c r="B2713" s="37" t="inlineStr">
        <is>
          <t>Hoskote</t>
        </is>
      </c>
      <c r="C2713" s="37" t="inlineStr">
        <is>
          <t>HHQCS</t>
        </is>
      </c>
      <c r="D2713" s="37" t="inlineStr">
        <is>
          <t>2026-07-15</t>
        </is>
      </c>
      <c r="E2713" s="37" t="inlineStr">
        <is>
          <t>Process Check</t>
        </is>
      </c>
      <c r="F2713" s="37" t="inlineStr">
        <is>
          <t>Refer to the activity planner — check if any activities are delayed.</t>
        </is>
      </c>
      <c r="G2713" s="37" t="inlineStr">
        <is>
          <t>Need Improvement</t>
        </is>
      </c>
    </row>
    <row r="2714">
      <c r="A2714" s="37" t="inlineStr">
        <is>
          <t>S Jakir</t>
        </is>
      </c>
      <c r="B2714" s="37" t="inlineStr">
        <is>
          <t>Hoskote</t>
        </is>
      </c>
      <c r="C2714" s="37" t="inlineStr">
        <is>
          <t>HHQCS</t>
        </is>
      </c>
      <c r="D2714" s="37" t="inlineStr">
        <is>
          <t>2026-07-15</t>
        </is>
      </c>
      <c r="E2714" s="37" t="inlineStr">
        <is>
          <t>Process Check</t>
        </is>
      </c>
      <c r="F2714" s="37" t="inlineStr">
        <is>
          <t>Check planning for the next batch-start announcement.</t>
        </is>
      </c>
      <c r="G2714" s="37" t="inlineStr">
        <is>
          <t>Need Improvement</t>
        </is>
      </c>
    </row>
    <row r="2715">
      <c r="A2715" s="37" t="inlineStr">
        <is>
          <t>S Jakir</t>
        </is>
      </c>
      <c r="B2715" s="37" t="inlineStr">
        <is>
          <t>Hoskote</t>
        </is>
      </c>
      <c r="C2715" s="37" t="inlineStr">
        <is>
          <t>HHQCS</t>
        </is>
      </c>
      <c r="D2715" s="37" t="inlineStr">
        <is>
          <t>2026-07-15</t>
        </is>
      </c>
      <c r="E2715" s="37" t="inlineStr">
        <is>
          <t>Process Check</t>
        </is>
      </c>
      <c r="F2715" s="37" t="inlineStr">
        <is>
          <t>Check if any hiring is delayed and plan a resolution.</t>
        </is>
      </c>
      <c r="G2715" s="37" t="inlineStr">
        <is>
          <t>Need Improvement</t>
        </is>
      </c>
    </row>
    <row r="2716">
      <c r="A2716" s="37" t="inlineStr">
        <is>
          <t>S Jakir</t>
        </is>
      </c>
      <c r="B2716" s="37" t="inlineStr">
        <is>
          <t>Hoskote</t>
        </is>
      </c>
      <c r="C2716" s="37" t="inlineStr">
        <is>
          <t>HHQCS</t>
        </is>
      </c>
      <c r="D2716" s="37" t="inlineStr">
        <is>
          <t>2026-07-15</t>
        </is>
      </c>
      <c r="E2716" s="37" t="inlineStr">
        <is>
          <t>Process Check</t>
        </is>
      </c>
      <c r="F2716" s="37" t="inlineStr">
        <is>
          <t>Check the CA’s diary — is CA guided daily by the AH during planning days?</t>
        </is>
      </c>
      <c r="G2716" s="37" t="inlineStr">
        <is>
          <t>All is Well</t>
        </is>
      </c>
    </row>
    <row r="2717">
      <c r="A2717" s="37" t="inlineStr">
        <is>
          <t>S Jakir</t>
        </is>
      </c>
      <c r="B2717" s="37" t="inlineStr">
        <is>
          <t>Hoskote</t>
        </is>
      </c>
      <c r="C2717" s="37" t="inlineStr">
        <is>
          <t>HHQCS</t>
        </is>
      </c>
      <c r="D2717" s="37" t="inlineStr">
        <is>
          <t>2026-07-15</t>
        </is>
      </c>
      <c r="E2717" s="37" t="inlineStr">
        <is>
          <t>Process Check</t>
        </is>
      </c>
      <c r="F2717" s="37" t="inlineStr">
        <is>
          <t>Check the AH is regularly meeting employers (in person and online) and updating the centre’s Top 20 Employer format.</t>
        </is>
      </c>
      <c r="G2717" s="37" t="inlineStr">
        <is>
          <t>All is Well</t>
        </is>
      </c>
    </row>
    <row r="2718">
      <c r="A2718" s="37" t="inlineStr">
        <is>
          <t>S Jakir</t>
        </is>
      </c>
      <c r="B2718" s="37" t="inlineStr">
        <is>
          <t>Hoskote</t>
        </is>
      </c>
      <c r="C2718" s="37" t="inlineStr">
        <is>
          <t>HHQCS</t>
        </is>
      </c>
      <c r="D2718" s="37" t="inlineStr">
        <is>
          <t>2026-07-15</t>
        </is>
      </c>
      <c r="E2718" s="37" t="inlineStr">
        <is>
          <t>Process Check</t>
        </is>
      </c>
      <c r="F2718" s="37" t="inlineStr">
        <is>
          <t>Confirm all new employers are registered on portal as per new process.</t>
        </is>
      </c>
      <c r="G2718" s="37" t="inlineStr">
        <is>
          <t>All is Well</t>
        </is>
      </c>
    </row>
    <row r="2719">
      <c r="A2719" s="37" t="inlineStr">
        <is>
          <t>S Jakir</t>
        </is>
      </c>
      <c r="B2719" s="37" t="inlineStr">
        <is>
          <t>Hoskote</t>
        </is>
      </c>
      <c r="C2719" s="37" t="inlineStr">
        <is>
          <t>HHQCS</t>
        </is>
      </c>
      <c r="D2719" s="37" t="inlineStr">
        <is>
          <t>2026-07-15</t>
        </is>
      </c>
      <c r="E2719" s="37" t="inlineStr">
        <is>
          <t>Process Check</t>
        </is>
      </c>
      <c r="F2719" s="37" t="inlineStr">
        <is>
          <t>Confirm 100% of enrolled students undergone screening (for technical courses).</t>
        </is>
      </c>
      <c r="G2719" s="37" t="inlineStr">
        <is>
          <t>Not Applicable</t>
        </is>
      </c>
    </row>
    <row r="2720">
      <c r="A2720" s="37" t="inlineStr">
        <is>
          <t>S Jakir</t>
        </is>
      </c>
      <c r="B2720" s="37" t="inlineStr">
        <is>
          <t>Hoskote</t>
        </is>
      </c>
      <c r="C2720" s="37" t="inlineStr">
        <is>
          <t>HHQCS</t>
        </is>
      </c>
      <c r="D2720" s="37" t="inlineStr">
        <is>
          <t>2026-07-15</t>
        </is>
      </c>
      <c r="E2720" s="37" t="inlineStr">
        <is>
          <t>Process Check</t>
        </is>
      </c>
      <c r="F2720" s="37" t="inlineStr">
        <is>
          <t>Confirm ESA is done (in GROW full ESA and in Technical courses relevant sections of Core Employability Part).</t>
        </is>
      </c>
      <c r="G2720" s="37" t="inlineStr">
        <is>
          <t>Not Applicable</t>
        </is>
      </c>
    </row>
    <row r="2721">
      <c r="A2721" s="37" t="inlineStr">
        <is>
          <t>S Jakir</t>
        </is>
      </c>
      <c r="B2721" s="37" t="inlineStr">
        <is>
          <t>Hoskote</t>
        </is>
      </c>
      <c r="C2721" s="37" t="inlineStr">
        <is>
          <t>HHQCS</t>
        </is>
      </c>
      <c r="D2721" s="37" t="inlineStr">
        <is>
          <t>2026-07-15</t>
        </is>
      </c>
      <c r="E2721" s="37" t="inlineStr">
        <is>
          <t>Process Check</t>
        </is>
      </c>
      <c r="F2721" s="37" t="inlineStr">
        <is>
          <t>Check is AH giving capstone project in GROW Tech.</t>
        </is>
      </c>
      <c r="G2721" s="37" t="inlineStr">
        <is>
          <t>Not Applicable</t>
        </is>
      </c>
    </row>
    <row r="2722">
      <c r="A2722" s="37" t="inlineStr">
        <is>
          <t>S Jakir</t>
        </is>
      </c>
      <c r="B2722" s="37" t="inlineStr">
        <is>
          <t>Hoskote</t>
        </is>
      </c>
      <c r="C2722" s="37" t="inlineStr">
        <is>
          <t>HHQCS</t>
        </is>
      </c>
      <c r="D2722" s="37" t="inlineStr">
        <is>
          <t>2026-07-15</t>
        </is>
      </c>
      <c r="E2722" s="37" t="inlineStr">
        <is>
          <t>Process Check</t>
        </is>
      </c>
      <c r="F2722" s="37" t="inlineStr">
        <is>
          <t>Check is AH planning OJT as per guidelines and proofs are collected for technical courses.</t>
        </is>
      </c>
      <c r="G2722" s="37" t="inlineStr">
        <is>
          <t>Need Improvement</t>
        </is>
      </c>
    </row>
    <row r="2723">
      <c r="A2723" s="37" t="inlineStr">
        <is>
          <t>S Jakir</t>
        </is>
      </c>
      <c r="B2723" s="37" t="inlineStr">
        <is>
          <t>Hoskote</t>
        </is>
      </c>
      <c r="C2723" s="37" t="inlineStr">
        <is>
          <t>HHQCS</t>
        </is>
      </c>
      <c r="D2723" s="37" t="inlineStr">
        <is>
          <t>2026-07-15</t>
        </is>
      </c>
      <c r="E2723" s="37" t="inlineStr">
        <is>
          <t>Process Check</t>
        </is>
      </c>
      <c r="F2723" s="37" t="inlineStr">
        <is>
          <t>Check are trainers contacting aspirants to find reason for their absenteeism of more than 1 day.</t>
        </is>
      </c>
      <c r="G2723" s="37" t="inlineStr">
        <is>
          <t>All is Well</t>
        </is>
      </c>
    </row>
    <row r="2724">
      <c r="A2724" s="37" t="inlineStr">
        <is>
          <t>S Jakir</t>
        </is>
      </c>
      <c r="B2724" s="37" t="inlineStr">
        <is>
          <t>Hoskote</t>
        </is>
      </c>
      <c r="C2724" s="37" t="inlineStr">
        <is>
          <t>HHQCS</t>
        </is>
      </c>
      <c r="D2724" s="37" t="inlineStr">
        <is>
          <t>2026-07-15</t>
        </is>
      </c>
      <c r="E2724" s="37" t="inlineStr">
        <is>
          <t>Process Check</t>
        </is>
      </c>
      <c r="F2724" s="37" t="inlineStr">
        <is>
          <t>Check the AH plans monthly enrolment and placement numbers by the 3rd of each month and shares them with second level managers.</t>
        </is>
      </c>
      <c r="G2724" s="37" t="inlineStr">
        <is>
          <t>All is Well</t>
        </is>
      </c>
    </row>
    <row r="2725">
      <c r="A2725" s="37" t="inlineStr">
        <is>
          <t>S Jakir</t>
        </is>
      </c>
      <c r="B2725" s="37" t="inlineStr">
        <is>
          <t>Hoskote</t>
        </is>
      </c>
      <c r="C2725" s="37" t="inlineStr">
        <is>
          <t>HHQCS</t>
        </is>
      </c>
      <c r="D2725" s="37" t="inlineStr">
        <is>
          <t>2026-07-15</t>
        </is>
      </c>
      <c r="E2725" s="37" t="inlineStr">
        <is>
          <t>Process Check</t>
        </is>
      </c>
      <c r="F2725" s="37" t="inlineStr">
        <is>
          <t>Check trainers submit aspirants’ placement interest areas to the AH by the batch’s 25th day (in GROW).</t>
        </is>
      </c>
      <c r="G2725" s="37" t="inlineStr">
        <is>
          <t>Not Applicable</t>
        </is>
      </c>
    </row>
    <row r="2726">
      <c r="A2726" s="37" t="inlineStr">
        <is>
          <t>S Jakir</t>
        </is>
      </c>
      <c r="B2726" s="37" t="inlineStr">
        <is>
          <t>Hoskote</t>
        </is>
      </c>
      <c r="C2726" s="37" t="inlineStr">
        <is>
          <t>HHQCS</t>
        </is>
      </c>
      <c r="D2726" s="37" t="inlineStr">
        <is>
          <t>2026-07-15</t>
        </is>
      </c>
      <c r="E2726" s="37" t="inlineStr">
        <is>
          <t>Process Check</t>
        </is>
      </c>
      <c r="F2726" s="37" t="inlineStr">
        <is>
          <t>Ckeck For technical programs, placement is done only in technical jobs,on which aspirants are trained and relevant emplyers are identified by 45th day.</t>
        </is>
      </c>
      <c r="G2726" s="37" t="inlineStr">
        <is>
          <t>All is Well</t>
        </is>
      </c>
    </row>
    <row r="2727">
      <c r="A2727" s="37" t="inlineStr">
        <is>
          <t>S Jakir</t>
        </is>
      </c>
      <c r="B2727" s="37" t="inlineStr">
        <is>
          <t>Hoskote</t>
        </is>
      </c>
      <c r="C2727" s="37" t="inlineStr">
        <is>
          <t>HHQCS</t>
        </is>
      </c>
      <c r="D2727" s="37" t="inlineStr">
        <is>
          <t>2026-07-15</t>
        </is>
      </c>
      <c r="E2727" s="37" t="inlineStr">
        <is>
          <t>Process Check</t>
        </is>
      </c>
      <c r="F2727" s="37" t="inlineStr">
        <is>
          <t>Check the AH follows EP guidelines and minimum benchmark salary guidelines.</t>
        </is>
      </c>
      <c r="G2727" s="37" t="inlineStr">
        <is>
          <t>All is Well</t>
        </is>
      </c>
    </row>
    <row r="2728">
      <c r="A2728" s="37" t="inlineStr">
        <is>
          <t>S Jakir</t>
        </is>
      </c>
      <c r="B2728" s="37" t="inlineStr">
        <is>
          <t>Hoskote</t>
        </is>
      </c>
      <c r="C2728" s="37" t="inlineStr">
        <is>
          <t>HHQCS</t>
        </is>
      </c>
      <c r="D2728" s="37" t="inlineStr">
        <is>
          <t>2026-07-15</t>
        </is>
      </c>
      <c r="E2728" s="37" t="inlineStr">
        <is>
          <t>Process Check</t>
        </is>
      </c>
      <c r="F2728" s="37" t="inlineStr">
        <is>
          <t>Check that AH is enrolling only the right traget group in the program -as per the defined target.</t>
        </is>
      </c>
      <c r="G2728" s="37" t="inlineStr">
        <is>
          <t>All is Well</t>
        </is>
      </c>
    </row>
    <row r="2729">
      <c r="A2729" s="37" t="inlineStr">
        <is>
          <t>S Jakir</t>
        </is>
      </c>
      <c r="B2729" s="37" t="inlineStr">
        <is>
          <t>Hoskote</t>
        </is>
      </c>
      <c r="C2729" s="37" t="inlineStr">
        <is>
          <t>HHQCS</t>
        </is>
      </c>
      <c r="D2729" s="37" t="inlineStr">
        <is>
          <t>2026-07-15</t>
        </is>
      </c>
      <c r="E2729" s="37" t="inlineStr">
        <is>
          <t>Process Check</t>
        </is>
      </c>
      <c r="F2729" s="37" t="inlineStr">
        <is>
          <t>Check the AH announces the next batch-start date by the 3rd of the month on all notice boards — focus on Zero-Day start.</t>
        </is>
      </c>
      <c r="G2729" s="37" t="inlineStr">
        <is>
          <t>All is Well</t>
        </is>
      </c>
    </row>
    <row r="2730">
      <c r="A2730" s="37" t="inlineStr">
        <is>
          <t>S Jakir</t>
        </is>
      </c>
      <c r="B2730" s="37" t="inlineStr">
        <is>
          <t>Hoskote</t>
        </is>
      </c>
      <c r="C2730" s="37" t="inlineStr">
        <is>
          <t>HHQCS</t>
        </is>
      </c>
      <c r="D2730" s="37" t="inlineStr">
        <is>
          <t>2026-07-15</t>
        </is>
      </c>
      <c r="E2730" s="37" t="inlineStr">
        <is>
          <t>Process Check</t>
        </is>
      </c>
      <c r="F2730" s="37" t="inlineStr">
        <is>
          <t>Check the Aspirant Mock Interview Score Tracker is updated after every mock interview in the L&amp;D Google Sheet.</t>
        </is>
      </c>
      <c r="G2730" s="37" t="inlineStr">
        <is>
          <t>All is Well</t>
        </is>
      </c>
    </row>
    <row r="2731">
      <c r="A2731" s="37" t="inlineStr">
        <is>
          <t>S Jakir</t>
        </is>
      </c>
      <c r="B2731" s="37" t="inlineStr">
        <is>
          <t>Hoskote</t>
        </is>
      </c>
      <c r="C2731" s="37" t="inlineStr">
        <is>
          <t>HHQCS</t>
        </is>
      </c>
      <c r="D2731" s="37" t="inlineStr">
        <is>
          <t>2026-07-15</t>
        </is>
      </c>
      <c r="E2731" s="37" t="inlineStr">
        <is>
          <t>Process Check</t>
        </is>
      </c>
      <c r="F2731" s="37" t="inlineStr">
        <is>
          <t>Confirm NPS (Net Promoter Score) is collected at MSDF centres.</t>
        </is>
      </c>
      <c r="G2731" s="37" t="inlineStr">
        <is>
          <t>Not Applicable</t>
        </is>
      </c>
    </row>
    <row r="2732">
      <c r="A2732" s="37" t="inlineStr">
        <is>
          <t>S Jakir</t>
        </is>
      </c>
      <c r="B2732" s="37" t="inlineStr">
        <is>
          <t>Hoskote</t>
        </is>
      </c>
      <c r="C2732" s="37" t="inlineStr">
        <is>
          <t>HHQCS</t>
        </is>
      </c>
      <c r="D2732" s="37" t="inlineStr">
        <is>
          <t>2026-07-15</t>
        </is>
      </c>
      <c r="E2732" s="37" t="inlineStr">
        <is>
          <t>Process Check</t>
        </is>
      </c>
      <c r="F2732" s="37" t="inlineStr">
        <is>
          <t>Confirm that QAE is collecting student feedback for every batch.</t>
        </is>
      </c>
      <c r="G2732" s="37" t="inlineStr">
        <is>
          <t>All is Well</t>
        </is>
      </c>
    </row>
    <row r="2733">
      <c r="A2733" s="37" t="inlineStr">
        <is>
          <t>S Jakir</t>
        </is>
      </c>
      <c r="B2733" s="37" t="inlineStr">
        <is>
          <t>Hoskote</t>
        </is>
      </c>
      <c r="C2733" s="37" t="inlineStr">
        <is>
          <t>HHQCS</t>
        </is>
      </c>
      <c r="D2733" s="37" t="inlineStr">
        <is>
          <t>2026-07-15</t>
        </is>
      </c>
      <c r="E2733" s="37" t="inlineStr">
        <is>
          <t>Process Check</t>
        </is>
      </c>
      <c r="F2733" s="37" t="inlineStr">
        <is>
          <t>Confirm all centre teams have completed the GROW Manual Course on Skillfy — ask for achievement certificates.</t>
        </is>
      </c>
      <c r="G2733" s="37" t="inlineStr">
        <is>
          <t>All is Well</t>
        </is>
      </c>
    </row>
    <row r="2734">
      <c r="A2734" s="37" t="inlineStr">
        <is>
          <t>S Jakir</t>
        </is>
      </c>
      <c r="B2734" s="37" t="inlineStr">
        <is>
          <t>Hoskote</t>
        </is>
      </c>
      <c r="C2734" s="37" t="inlineStr">
        <is>
          <t>HHQCS</t>
        </is>
      </c>
      <c r="D2734" s="37" t="inlineStr">
        <is>
          <t>2026-07-15</t>
        </is>
      </c>
      <c r="E2734" s="37" t="inlineStr">
        <is>
          <t>Process Check</t>
        </is>
      </c>
      <c r="F2734" s="37" t="inlineStr">
        <is>
          <t>Check AH holds a quality weekly team meeting, documents action points in the weekly meeting format, and sends you a photo on WhatsApp.</t>
        </is>
      </c>
      <c r="G2734" s="37" t="inlineStr">
        <is>
          <t>Need Improvement</t>
        </is>
      </c>
    </row>
    <row r="2735">
      <c r="A2735" s="37" t="inlineStr">
        <is>
          <t>S Jakir</t>
        </is>
      </c>
      <c r="B2735" s="37" t="inlineStr">
        <is>
          <t>Hoskote</t>
        </is>
      </c>
      <c r="C2735" s="37" t="inlineStr">
        <is>
          <t>HHQCS</t>
        </is>
      </c>
      <c r="D2735" s="37" t="inlineStr">
        <is>
          <t>2026-07-15</t>
        </is>
      </c>
      <c r="E2735" s="37" t="inlineStr">
        <is>
          <t>Aspirant Interaction</t>
        </is>
      </c>
      <c r="F2735" s="37" t="inlineStr">
        <is>
          <t>Ask aspirants about the session plan — confirm training is happening as planned?</t>
        </is>
      </c>
      <c r="G2735" s="37" t="inlineStr">
        <is>
          <t>Need Improvement</t>
        </is>
      </c>
    </row>
    <row r="2736">
      <c r="A2736" s="37" t="inlineStr">
        <is>
          <t>S Jakir</t>
        </is>
      </c>
      <c r="B2736" s="37" t="inlineStr">
        <is>
          <t>Hoskote</t>
        </is>
      </c>
      <c r="C2736" s="37" t="inlineStr">
        <is>
          <t>HHQCS</t>
        </is>
      </c>
      <c r="D2736" s="37" t="inlineStr">
        <is>
          <t>2026-07-15</t>
        </is>
      </c>
      <c r="E2736" s="37" t="inlineStr">
        <is>
          <t>Aspirant Interaction</t>
        </is>
      </c>
      <c r="F2736" s="37" t="inlineStr">
        <is>
          <t>Ask about the quality of Core Employability component delivery (technical centres) and who delivers it.</t>
        </is>
      </c>
      <c r="G2736" s="37" t="inlineStr">
        <is>
          <t>All is Well</t>
        </is>
      </c>
    </row>
    <row r="2737">
      <c r="A2737" s="37" t="inlineStr">
        <is>
          <t>S Jakir</t>
        </is>
      </c>
      <c r="B2737" s="37" t="inlineStr">
        <is>
          <t>Hoskote</t>
        </is>
      </c>
      <c r="C2737" s="37" t="inlineStr">
        <is>
          <t>HHQCS</t>
        </is>
      </c>
      <c r="D2737" s="37" t="inlineStr">
        <is>
          <t>2026-07-15</t>
        </is>
      </c>
      <c r="E2737" s="37" t="inlineStr">
        <is>
          <t>Aspirant Interaction</t>
        </is>
      </c>
      <c r="F2737" s="37" t="inlineStr">
        <is>
          <t>Ask whether they are aware of the referral scheme?</t>
        </is>
      </c>
      <c r="G2737" s="37" t="inlineStr">
        <is>
          <t>Not Applicable</t>
        </is>
      </c>
    </row>
    <row r="2738">
      <c r="A2738" s="37" t="inlineStr">
        <is>
          <t>S Jakir</t>
        </is>
      </c>
      <c r="B2738" s="37" t="inlineStr">
        <is>
          <t>Hoskote</t>
        </is>
      </c>
      <c r="C2738" s="37" t="inlineStr">
        <is>
          <t>HHQCS</t>
        </is>
      </c>
      <c r="D2738" s="37" t="inlineStr">
        <is>
          <t>2026-07-15</t>
        </is>
      </c>
      <c r="E2738" s="37" t="inlineStr">
        <is>
          <t>Aspirant Interaction</t>
        </is>
      </c>
      <c r="F2738" s="37" t="inlineStr">
        <is>
          <t>Ask whether the AH explained the importance of the offer letter and sharing it with us once received for reporting purposes?</t>
        </is>
      </c>
      <c r="G2738" s="37" t="inlineStr">
        <is>
          <t>All is Well</t>
        </is>
      </c>
    </row>
    <row r="2739">
      <c r="A2739" s="37" t="inlineStr">
        <is>
          <t>S Jakir</t>
        </is>
      </c>
      <c r="B2739" s="37" t="inlineStr">
        <is>
          <t>Hoskote</t>
        </is>
      </c>
      <c r="C2739" s="37" t="inlineStr">
        <is>
          <t>HHQCS</t>
        </is>
      </c>
      <c r="D2739" s="37" t="inlineStr">
        <is>
          <t>2026-07-15</t>
        </is>
      </c>
      <c r="E2739" s="37" t="inlineStr">
        <is>
          <t>Aspirant Interaction</t>
        </is>
      </c>
      <c r="F2739" s="37" t="inlineStr">
        <is>
          <t>Ask how many are not interested in jobs — and if so, why they enrolled in the programme?</t>
        </is>
      </c>
      <c r="G2739" s="37" t="inlineStr">
        <is>
          <t>All is Well</t>
        </is>
      </c>
    </row>
    <row r="2740">
      <c r="A2740" s="37" t="inlineStr">
        <is>
          <t>S Jakir</t>
        </is>
      </c>
      <c r="B2740" s="37" t="inlineStr">
        <is>
          <t>Hoskote</t>
        </is>
      </c>
      <c r="C2740" s="37" t="inlineStr">
        <is>
          <t>HHQCS</t>
        </is>
      </c>
      <c r="D2740" s="37" t="inlineStr">
        <is>
          <t>2026-07-15</t>
        </is>
      </c>
      <c r="E2740" s="37" t="inlineStr">
        <is>
          <t>Aspirant Interaction</t>
        </is>
      </c>
      <c r="F2740" s="37" t="inlineStr">
        <is>
          <t>Ask whether they were told the kind of job they would get during counselling?</t>
        </is>
      </c>
      <c r="G2740" s="37" t="inlineStr">
        <is>
          <t>All is Well</t>
        </is>
      </c>
    </row>
    <row r="2741">
      <c r="A2741" s="37" t="inlineStr">
        <is>
          <t>S Jakir</t>
        </is>
      </c>
      <c r="B2741" s="37" t="inlineStr">
        <is>
          <t>Hoskote</t>
        </is>
      </c>
      <c r="C2741" s="37" t="inlineStr">
        <is>
          <t>HHQCS</t>
        </is>
      </c>
      <c r="D2741" s="37" t="inlineStr">
        <is>
          <t>2026-07-15</t>
        </is>
      </c>
      <c r="E2741" s="37" t="inlineStr">
        <is>
          <t>Aspirant Interaction</t>
        </is>
      </c>
      <c r="F2741" s="37" t="inlineStr">
        <is>
          <t>Ask whether they have been given LMS access?</t>
        </is>
      </c>
      <c r="G2741" s="37" t="inlineStr">
        <is>
          <t>All is Well</t>
        </is>
      </c>
    </row>
    <row r="2742">
      <c r="A2742" s="37" t="inlineStr">
        <is>
          <t>S Jakir</t>
        </is>
      </c>
      <c r="B2742" s="37" t="inlineStr">
        <is>
          <t>Hoskote</t>
        </is>
      </c>
      <c r="C2742" s="37" t="inlineStr">
        <is>
          <t>HHQCS</t>
        </is>
      </c>
      <c r="D2742" s="37" t="inlineStr">
        <is>
          <t>2026-07-15</t>
        </is>
      </c>
      <c r="E2742" s="37" t="inlineStr">
        <is>
          <t>Aspirant Interaction</t>
        </is>
      </c>
      <c r="F2742" s="37" t="inlineStr">
        <is>
          <t>Ask whether anyone asked them for money for training or placement?</t>
        </is>
      </c>
      <c r="G2742" s="37" t="inlineStr">
        <is>
          <t>All is Well</t>
        </is>
      </c>
    </row>
    <row r="2743">
      <c r="A2743" s="37" t="inlineStr">
        <is>
          <t>S Jakir</t>
        </is>
      </c>
      <c r="B2743" s="37" t="inlineStr">
        <is>
          <t>Hoskote</t>
        </is>
      </c>
      <c r="C2743" s="37" t="inlineStr">
        <is>
          <t>HHQCS</t>
        </is>
      </c>
      <c r="D2743" s="37" t="inlineStr">
        <is>
          <t>2026-07-15</t>
        </is>
      </c>
      <c r="E2743" s="37" t="inlineStr">
        <is>
          <t>Aspirant Interaction</t>
        </is>
      </c>
      <c r="F2743" s="37" t="inlineStr">
        <is>
          <t>Ask to show their mobile phones — are they enrolled on Skillfy? If not, get them enrolled and give written feedback to trainers and the AH in your presence.</t>
        </is>
      </c>
      <c r="G2743" s="37" t="inlineStr">
        <is>
          <t>Need Improvement</t>
        </is>
      </c>
    </row>
    <row r="2744">
      <c r="A2744" s="37" t="inlineStr">
        <is>
          <t>S Jakir</t>
        </is>
      </c>
      <c r="B2744" s="37" t="inlineStr">
        <is>
          <t>Hoskote</t>
        </is>
      </c>
      <c r="C2744" s="37" t="inlineStr">
        <is>
          <t>HHQCS</t>
        </is>
      </c>
      <c r="D2744" s="37" t="inlineStr">
        <is>
          <t>2026-07-15</t>
        </is>
      </c>
      <c r="E2744" s="37" t="inlineStr">
        <is>
          <t>Aspirant Interaction</t>
        </is>
      </c>
      <c r="F2744" s="37" t="inlineStr">
        <is>
          <t>Ask about the quality of the hostel and any issues they face.</t>
        </is>
      </c>
      <c r="G2744" s="37" t="inlineStr">
        <is>
          <t>All is Well</t>
        </is>
      </c>
    </row>
    <row r="2745">
      <c r="A2745" s="37" t="inlineStr">
        <is>
          <t>S Jakir</t>
        </is>
      </c>
      <c r="B2745" s="37" t="inlineStr">
        <is>
          <t>Hoskote</t>
        </is>
      </c>
      <c r="C2745" s="37" t="inlineStr">
        <is>
          <t>HHQCS</t>
        </is>
      </c>
      <c r="D2745" s="37" t="inlineStr">
        <is>
          <t>2026-07-15</t>
        </is>
      </c>
      <c r="E2745" s="37" t="inlineStr">
        <is>
          <t>Aspirant Interaction</t>
        </is>
      </c>
      <c r="F2745" s="37" t="inlineStr">
        <is>
          <t>Ask a few relevant screening questions to support the 10th-day report and remove non-serious candidates, explaining to them the reasons.</t>
        </is>
      </c>
      <c r="G2745" s="37" t="inlineStr">
        <is>
          <t>All is Well</t>
        </is>
      </c>
    </row>
    <row r="2746">
      <c r="A2746" s="37" t="inlineStr">
        <is>
          <t>S Jakir</t>
        </is>
      </c>
      <c r="B2746" s="37" t="inlineStr">
        <is>
          <t>Thanisandra</t>
        </is>
      </c>
      <c r="C2746" s="37" t="inlineStr">
        <is>
          <t>GROW Youth</t>
        </is>
      </c>
      <c r="D2746" s="37" t="inlineStr">
        <is>
          <t>2026-07-14</t>
        </is>
      </c>
      <c r="E2746" s="37" t="inlineStr">
        <is>
          <t>Data Check</t>
        </is>
      </c>
      <c r="F2746" s="37" t="inlineStr">
        <is>
          <t>Reach the centre on time (unannounced) — confirm the centre opened on time.</t>
        </is>
      </c>
      <c r="G2746" s="37" t="inlineStr">
        <is>
          <t>All is Well</t>
        </is>
      </c>
    </row>
    <row r="2747">
      <c r="A2747" s="37" t="inlineStr">
        <is>
          <t>S Jakir</t>
        </is>
      </c>
      <c r="B2747" s="37" t="inlineStr">
        <is>
          <t>Thanisandra</t>
        </is>
      </c>
      <c r="C2747" s="37" t="inlineStr">
        <is>
          <t>GROW Youth</t>
        </is>
      </c>
      <c r="D2747" s="37" t="inlineStr">
        <is>
          <t>2026-07-14</t>
        </is>
      </c>
      <c r="E2747" s="37" t="inlineStr">
        <is>
          <t>Data Check</t>
        </is>
      </c>
      <c r="F2747" s="37" t="inlineStr">
        <is>
          <t>Check the staff attendance register, the Google Sheet, and geo-tagged photos for aspirants.</t>
        </is>
      </c>
      <c r="G2747" s="37" t="inlineStr">
        <is>
          <t>Need Improvement</t>
        </is>
      </c>
    </row>
    <row r="2748">
      <c r="A2748" s="37" t="inlineStr">
        <is>
          <t>S Jakir</t>
        </is>
      </c>
      <c r="B2748" s="37" t="inlineStr">
        <is>
          <t>Thanisandra</t>
        </is>
      </c>
      <c r="C2748" s="37" t="inlineStr">
        <is>
          <t>GROW Youth</t>
        </is>
      </c>
      <c r="D2748" s="37" t="inlineStr">
        <is>
          <t>2026-07-14</t>
        </is>
      </c>
      <c r="E2748" s="37" t="inlineStr">
        <is>
          <t>Data Check</t>
        </is>
      </c>
      <c r="F2748" s="37" t="inlineStr">
        <is>
          <t>Check Counselling and Screening Forms of recently started batches.</t>
        </is>
      </c>
      <c r="G2748" s="37" t="inlineStr">
        <is>
          <t>All is Well</t>
        </is>
      </c>
    </row>
    <row r="2749">
      <c r="A2749" s="37" t="inlineStr">
        <is>
          <t>S Jakir</t>
        </is>
      </c>
      <c r="B2749" s="37" t="inlineStr">
        <is>
          <t>Thanisandra</t>
        </is>
      </c>
      <c r="C2749" s="37" t="inlineStr">
        <is>
          <t>GROW Youth</t>
        </is>
      </c>
      <c r="D2749" s="37" t="inlineStr">
        <is>
          <t>2026-07-14</t>
        </is>
      </c>
      <c r="E2749" s="37" t="inlineStr">
        <is>
          <t>Data Check</t>
        </is>
      </c>
      <c r="F2749" s="37" t="inlineStr">
        <is>
          <t>Check Aspirant Registration Forms and related documents.</t>
        </is>
      </c>
      <c r="G2749" s="37" t="inlineStr">
        <is>
          <t>All is Well</t>
        </is>
      </c>
    </row>
    <row r="2750">
      <c r="A2750" s="37" t="inlineStr">
        <is>
          <t>S Jakir</t>
        </is>
      </c>
      <c r="B2750" s="37" t="inlineStr">
        <is>
          <t>Thanisandra</t>
        </is>
      </c>
      <c r="C2750" s="37" t="inlineStr">
        <is>
          <t>GROW Youth</t>
        </is>
      </c>
      <c r="D2750" s="37" t="inlineStr">
        <is>
          <t>2026-07-14</t>
        </is>
      </c>
      <c r="E2750" s="37" t="inlineStr">
        <is>
          <t>Data Check</t>
        </is>
      </c>
      <c r="F2750" s="37" t="inlineStr">
        <is>
          <t>On the GROW portal, confirm all student profile details and batch updates are currect.</t>
        </is>
      </c>
      <c r="G2750" s="37" t="inlineStr">
        <is>
          <t>All is Well</t>
        </is>
      </c>
    </row>
    <row r="2751">
      <c r="A2751" s="37" t="inlineStr">
        <is>
          <t>S Jakir</t>
        </is>
      </c>
      <c r="B2751" s="37" t="inlineStr">
        <is>
          <t>Thanisandra</t>
        </is>
      </c>
      <c r="C2751" s="37" t="inlineStr">
        <is>
          <t>GROW Youth</t>
        </is>
      </c>
      <c r="D2751" s="37" t="inlineStr">
        <is>
          <t>2026-07-14</t>
        </is>
      </c>
      <c r="E2751" s="37" t="inlineStr">
        <is>
          <t>Data Check</t>
        </is>
      </c>
      <c r="F2751" s="37" t="inlineStr">
        <is>
          <t>Verify placement data — randomly call 3–4 alumni placed in the last 3 months to confirm veracity (random selection is essential).</t>
        </is>
      </c>
      <c r="G2751" s="37" t="inlineStr">
        <is>
          <t>All is Well</t>
        </is>
      </c>
    </row>
    <row r="2752">
      <c r="A2752" s="37" t="inlineStr">
        <is>
          <t>S Jakir</t>
        </is>
      </c>
      <c r="B2752" s="37" t="inlineStr">
        <is>
          <t>Thanisandra</t>
        </is>
      </c>
      <c r="C2752" s="37" t="inlineStr">
        <is>
          <t>GROW Youth</t>
        </is>
      </c>
      <c r="D2752" s="37" t="inlineStr">
        <is>
          <t>2026-07-14</t>
        </is>
      </c>
      <c r="E2752" s="37" t="inlineStr">
        <is>
          <t>Data Check</t>
        </is>
      </c>
      <c r="F2752" s="37" t="inlineStr">
        <is>
          <t>Verify retention — check the Alumni Hand-holding Format is being updated as designed.</t>
        </is>
      </c>
      <c r="G2752" s="37" t="inlineStr">
        <is>
          <t>Need Improvement</t>
        </is>
      </c>
    </row>
    <row r="2753">
      <c r="A2753" s="37" t="inlineStr">
        <is>
          <t>S Jakir</t>
        </is>
      </c>
      <c r="B2753" s="37" t="inlineStr">
        <is>
          <t>Thanisandra</t>
        </is>
      </c>
      <c r="C2753" s="37" t="inlineStr">
        <is>
          <t>GROW Youth</t>
        </is>
      </c>
      <c r="D2753" s="37" t="inlineStr">
        <is>
          <t>2026-07-14</t>
        </is>
      </c>
      <c r="E2753" s="37" t="inlineStr">
        <is>
          <t>Data Check</t>
        </is>
      </c>
      <c r="F2753" s="37" t="inlineStr">
        <is>
          <t>Check aspirant Hostel Forms are properly filled or not.</t>
        </is>
      </c>
      <c r="G2753" s="37" t="inlineStr">
        <is>
          <t>Not Applicable</t>
        </is>
      </c>
    </row>
    <row r="2754">
      <c r="A2754" s="37" t="inlineStr">
        <is>
          <t>S Jakir</t>
        </is>
      </c>
      <c r="B2754" s="37" t="inlineStr">
        <is>
          <t>Thanisandra</t>
        </is>
      </c>
      <c r="C2754" s="37" t="inlineStr">
        <is>
          <t>GROW Youth</t>
        </is>
      </c>
      <c r="D2754" s="37" t="inlineStr">
        <is>
          <t>2026-07-14</t>
        </is>
      </c>
      <c r="E2754" s="37" t="inlineStr">
        <is>
          <t>Infra Check</t>
        </is>
      </c>
      <c r="F2754" s="37" t="inlineStr">
        <is>
          <t>Check all CCTV cameras; if any are not working, ask the AH to troubleshoot or call the vendor.</t>
        </is>
      </c>
      <c r="G2754" s="37" t="inlineStr">
        <is>
          <t>All is Well</t>
        </is>
      </c>
    </row>
    <row r="2755">
      <c r="A2755" s="37" t="inlineStr">
        <is>
          <t>S Jakir</t>
        </is>
      </c>
      <c r="B2755" s="37" t="inlineStr">
        <is>
          <t>Thanisandra</t>
        </is>
      </c>
      <c r="C2755" s="37" t="inlineStr">
        <is>
          <t>GROW Youth</t>
        </is>
      </c>
      <c r="D2755" s="37" t="inlineStr">
        <is>
          <t>2026-07-14</t>
        </is>
      </c>
      <c r="E2755" s="37" t="inlineStr">
        <is>
          <t>Infra Check</t>
        </is>
      </c>
      <c r="F2755" s="37" t="inlineStr">
        <is>
          <t>Check for any scrap material and get it cleared, with support of Admin</t>
        </is>
      </c>
      <c r="G2755" s="37" t="inlineStr">
        <is>
          <t>All is Well</t>
        </is>
      </c>
    </row>
    <row r="2756">
      <c r="A2756" s="37" t="inlineStr">
        <is>
          <t>S Jakir</t>
        </is>
      </c>
      <c r="B2756" s="37" t="inlineStr">
        <is>
          <t>Thanisandra</t>
        </is>
      </c>
      <c r="C2756" s="37" t="inlineStr">
        <is>
          <t>GROW Youth</t>
        </is>
      </c>
      <c r="D2756" s="37" t="inlineStr">
        <is>
          <t>2026-07-14</t>
        </is>
      </c>
      <c r="E2756" s="37" t="inlineStr">
        <is>
          <t>Infra Check</t>
        </is>
      </c>
      <c r="F2756" s="37" t="inlineStr">
        <is>
          <t>Check for any pending infra repairs.</t>
        </is>
      </c>
      <c r="G2756" s="37" t="inlineStr">
        <is>
          <t>All is Well</t>
        </is>
      </c>
    </row>
    <row r="2757">
      <c r="A2757" s="37" t="inlineStr">
        <is>
          <t>S Jakir</t>
        </is>
      </c>
      <c r="B2757" s="37" t="inlineStr">
        <is>
          <t>Thanisandra</t>
        </is>
      </c>
      <c r="C2757" s="37" t="inlineStr">
        <is>
          <t>GROW Youth</t>
        </is>
      </c>
      <c r="D2757" s="37" t="inlineStr">
        <is>
          <t>2026-07-14</t>
        </is>
      </c>
      <c r="E2757" s="37" t="inlineStr">
        <is>
          <t>Infra Check</t>
        </is>
      </c>
      <c r="F2757" s="37" t="inlineStr">
        <is>
          <t>Check whether any fire extinguishers have expired (check the needle and expiry date both).</t>
        </is>
      </c>
      <c r="G2757" s="37" t="inlineStr">
        <is>
          <t>All is Well</t>
        </is>
      </c>
    </row>
    <row r="2758">
      <c r="A2758" s="37" t="inlineStr">
        <is>
          <t>S Jakir</t>
        </is>
      </c>
      <c r="B2758" s="37" t="inlineStr">
        <is>
          <t>Thanisandra</t>
        </is>
      </c>
      <c r="C2758" s="37" t="inlineStr">
        <is>
          <t>GROW Youth</t>
        </is>
      </c>
      <c r="D2758" s="37" t="inlineStr">
        <is>
          <t>2026-07-14</t>
        </is>
      </c>
      <c r="E2758" s="37" t="inlineStr">
        <is>
          <t>Infra Check</t>
        </is>
      </c>
      <c r="F2758" s="37" t="inlineStr">
        <is>
          <t>Check basic cleanliness of the washrooms and the centre.</t>
        </is>
      </c>
      <c r="G2758" s="37" t="inlineStr">
        <is>
          <t>All is Well</t>
        </is>
      </c>
    </row>
    <row r="2759">
      <c r="A2759" s="37" t="inlineStr">
        <is>
          <t>S Jakir</t>
        </is>
      </c>
      <c r="B2759" s="37" t="inlineStr">
        <is>
          <t>Thanisandra</t>
        </is>
      </c>
      <c r="C2759" s="37" t="inlineStr">
        <is>
          <t>GROW Youth</t>
        </is>
      </c>
      <c r="D2759" s="37" t="inlineStr">
        <is>
          <t>2026-07-14</t>
        </is>
      </c>
      <c r="E2759" s="37" t="inlineStr">
        <is>
          <t>Infra Check</t>
        </is>
      </c>
      <c r="F2759" s="37" t="inlineStr">
        <is>
          <t>Confirm the correct program and partner logos are displayed.</t>
        </is>
      </c>
      <c r="G2759" s="37" t="inlineStr">
        <is>
          <t>All is Well</t>
        </is>
      </c>
    </row>
    <row r="2760">
      <c r="A2760" s="37" t="inlineStr">
        <is>
          <t>S Jakir</t>
        </is>
      </c>
      <c r="B2760" s="37" t="inlineStr">
        <is>
          <t>Thanisandra</t>
        </is>
      </c>
      <c r="C2760" s="37" t="inlineStr">
        <is>
          <t>GROW Youth</t>
        </is>
      </c>
      <c r="D2760" s="37" t="inlineStr">
        <is>
          <t>2026-07-14</t>
        </is>
      </c>
      <c r="E2760" s="37" t="inlineStr">
        <is>
          <t>Infra Check</t>
        </is>
      </c>
      <c r="F2760" s="37" t="inlineStr">
        <is>
          <t>Check the status of digital infra — PCs, smartboards, tablets, laptops, etc.</t>
        </is>
      </c>
      <c r="G2760" s="37" t="inlineStr">
        <is>
          <t>Need Improvement</t>
        </is>
      </c>
    </row>
    <row r="2761">
      <c r="A2761" s="37" t="inlineStr">
        <is>
          <t>S Jakir</t>
        </is>
      </c>
      <c r="B2761" s="37" t="inlineStr">
        <is>
          <t>Thanisandra</t>
        </is>
      </c>
      <c r="C2761" s="37" t="inlineStr">
        <is>
          <t>GROW Youth</t>
        </is>
      </c>
      <c r="D2761" s="37" t="inlineStr">
        <is>
          <t>2026-07-14</t>
        </is>
      </c>
      <c r="E2761" s="37" t="inlineStr">
        <is>
          <t>Infra Check</t>
        </is>
      </c>
      <c r="F2761" s="37" t="inlineStr">
        <is>
          <t>Make a quick hostel visit; have lunch there if possible to test the food quality.</t>
        </is>
      </c>
      <c r="G2761" s="37" t="inlineStr">
        <is>
          <t>Not Applicable</t>
        </is>
      </c>
    </row>
    <row r="2762">
      <c r="A2762" s="37" t="inlineStr">
        <is>
          <t>S Jakir</t>
        </is>
      </c>
      <c r="B2762" s="37" t="inlineStr">
        <is>
          <t>Thanisandra</t>
        </is>
      </c>
      <c r="C2762" s="37" t="inlineStr">
        <is>
          <t>GROW Youth</t>
        </is>
      </c>
      <c r="D2762" s="37" t="inlineStr">
        <is>
          <t>2026-07-14</t>
        </is>
      </c>
      <c r="E2762" s="37" t="inlineStr">
        <is>
          <t>Process Check</t>
        </is>
      </c>
      <c r="F2762" s="37" t="inlineStr">
        <is>
          <t>Refer to the activity planner — check if any activities are delayed.</t>
        </is>
      </c>
      <c r="G2762" s="37" t="inlineStr">
        <is>
          <t>Need Improvement</t>
        </is>
      </c>
    </row>
    <row r="2763">
      <c r="A2763" s="37" t="inlineStr">
        <is>
          <t>S Jakir</t>
        </is>
      </c>
      <c r="B2763" s="37" t="inlineStr">
        <is>
          <t>Thanisandra</t>
        </is>
      </c>
      <c r="C2763" s="37" t="inlineStr">
        <is>
          <t>GROW Youth</t>
        </is>
      </c>
      <c r="D2763" s="37" t="inlineStr">
        <is>
          <t>2026-07-14</t>
        </is>
      </c>
      <c r="E2763" s="37" t="inlineStr">
        <is>
          <t>Process Check</t>
        </is>
      </c>
      <c r="F2763" s="37" t="inlineStr">
        <is>
          <t>Check planning for the next batch-start announcement.</t>
        </is>
      </c>
      <c r="G2763" s="37" t="inlineStr">
        <is>
          <t>All is Well</t>
        </is>
      </c>
    </row>
    <row r="2764">
      <c r="A2764" s="37" t="inlineStr">
        <is>
          <t>S Jakir</t>
        </is>
      </c>
      <c r="B2764" s="37" t="inlineStr">
        <is>
          <t>Thanisandra</t>
        </is>
      </c>
      <c r="C2764" s="37" t="inlineStr">
        <is>
          <t>GROW Youth</t>
        </is>
      </c>
      <c r="D2764" s="37" t="inlineStr">
        <is>
          <t>2026-07-14</t>
        </is>
      </c>
      <c r="E2764" s="37" t="inlineStr">
        <is>
          <t>Process Check</t>
        </is>
      </c>
      <c r="F2764" s="37" t="inlineStr">
        <is>
          <t>Check if any hiring is delayed and plan a resolution.</t>
        </is>
      </c>
      <c r="G2764" s="37" t="inlineStr">
        <is>
          <t>All is Well</t>
        </is>
      </c>
    </row>
    <row r="2765">
      <c r="A2765" s="37" t="inlineStr">
        <is>
          <t>S Jakir</t>
        </is>
      </c>
      <c r="B2765" s="37" t="inlineStr">
        <is>
          <t>Thanisandra</t>
        </is>
      </c>
      <c r="C2765" s="37" t="inlineStr">
        <is>
          <t>GROW Youth</t>
        </is>
      </c>
      <c r="D2765" s="37" t="inlineStr">
        <is>
          <t>2026-07-14</t>
        </is>
      </c>
      <c r="E2765" s="37" t="inlineStr">
        <is>
          <t>Process Check</t>
        </is>
      </c>
      <c r="F2765" s="37" t="inlineStr">
        <is>
          <t>Check the CA’s diary — is CA guided daily by the AH during planning days?</t>
        </is>
      </c>
      <c r="G2765" s="37" t="inlineStr">
        <is>
          <t>All is Well</t>
        </is>
      </c>
    </row>
    <row r="2766">
      <c r="A2766" s="37" t="inlineStr">
        <is>
          <t>S Jakir</t>
        </is>
      </c>
      <c r="B2766" s="37" t="inlineStr">
        <is>
          <t>Thanisandra</t>
        </is>
      </c>
      <c r="C2766" s="37" t="inlineStr">
        <is>
          <t>GROW Youth</t>
        </is>
      </c>
      <c r="D2766" s="37" t="inlineStr">
        <is>
          <t>2026-07-14</t>
        </is>
      </c>
      <c r="E2766" s="37" t="inlineStr">
        <is>
          <t>Process Check</t>
        </is>
      </c>
      <c r="F2766" s="37" t="inlineStr">
        <is>
          <t>Check the AH is regularly meeting employers (in person and online) and updating the centre’s Top 20 Employer format.</t>
        </is>
      </c>
      <c r="G2766" s="37" t="inlineStr">
        <is>
          <t>Need Improvement</t>
        </is>
      </c>
    </row>
    <row r="2767">
      <c r="A2767" s="37" t="inlineStr">
        <is>
          <t>S Jakir</t>
        </is>
      </c>
      <c r="B2767" s="37" t="inlineStr">
        <is>
          <t>Thanisandra</t>
        </is>
      </c>
      <c r="C2767" s="37" t="inlineStr">
        <is>
          <t>GROW Youth</t>
        </is>
      </c>
      <c r="D2767" s="37" t="inlineStr">
        <is>
          <t>2026-07-14</t>
        </is>
      </c>
      <c r="E2767" s="37" t="inlineStr">
        <is>
          <t>Process Check</t>
        </is>
      </c>
      <c r="F2767" s="37" t="inlineStr">
        <is>
          <t>Confirm all new employers are registered on portal as per new process.</t>
        </is>
      </c>
      <c r="G2767" s="37" t="inlineStr">
        <is>
          <t>All is Well</t>
        </is>
      </c>
    </row>
    <row r="2768">
      <c r="A2768" s="37" t="inlineStr">
        <is>
          <t>S Jakir</t>
        </is>
      </c>
      <c r="B2768" s="37" t="inlineStr">
        <is>
          <t>Thanisandra</t>
        </is>
      </c>
      <c r="C2768" s="37" t="inlineStr">
        <is>
          <t>GROW Youth</t>
        </is>
      </c>
      <c r="D2768" s="37" t="inlineStr">
        <is>
          <t>2026-07-14</t>
        </is>
      </c>
      <c r="E2768" s="37" t="inlineStr">
        <is>
          <t>Process Check</t>
        </is>
      </c>
      <c r="F2768" s="37" t="inlineStr">
        <is>
          <t>Confirm 100% of enrolled students undergone screening (for technical courses).</t>
        </is>
      </c>
      <c r="G2768" s="37" t="inlineStr">
        <is>
          <t>All is Well</t>
        </is>
      </c>
    </row>
    <row r="2769">
      <c r="A2769" s="37" t="inlineStr">
        <is>
          <t>S Jakir</t>
        </is>
      </c>
      <c r="B2769" s="37" t="inlineStr">
        <is>
          <t>Thanisandra</t>
        </is>
      </c>
      <c r="C2769" s="37" t="inlineStr">
        <is>
          <t>GROW Youth</t>
        </is>
      </c>
      <c r="D2769" s="37" t="inlineStr">
        <is>
          <t>2026-07-14</t>
        </is>
      </c>
      <c r="E2769" s="37" t="inlineStr">
        <is>
          <t>Process Check</t>
        </is>
      </c>
      <c r="F2769" s="37" t="inlineStr">
        <is>
          <t>Confirm ESA is done (in GROW full ESA and in Technical courses relevant sections of Core Employability Part).</t>
        </is>
      </c>
      <c r="G2769" s="37" t="inlineStr">
        <is>
          <t>All is Well</t>
        </is>
      </c>
    </row>
    <row r="2770">
      <c r="A2770" s="37" t="inlineStr">
        <is>
          <t>S Jakir</t>
        </is>
      </c>
      <c r="B2770" s="37" t="inlineStr">
        <is>
          <t>Thanisandra</t>
        </is>
      </c>
      <c r="C2770" s="37" t="inlineStr">
        <is>
          <t>GROW Youth</t>
        </is>
      </c>
      <c r="D2770" s="37" t="inlineStr">
        <is>
          <t>2026-07-14</t>
        </is>
      </c>
      <c r="E2770" s="37" t="inlineStr">
        <is>
          <t>Process Check</t>
        </is>
      </c>
      <c r="F2770" s="37" t="inlineStr">
        <is>
          <t>Check is AH giving capstone project in GROW Tech.</t>
        </is>
      </c>
      <c r="G2770" s="37" t="inlineStr">
        <is>
          <t>Not Applicable</t>
        </is>
      </c>
    </row>
    <row r="2771">
      <c r="A2771" s="37" t="inlineStr">
        <is>
          <t>S Jakir</t>
        </is>
      </c>
      <c r="B2771" s="37" t="inlineStr">
        <is>
          <t>Thanisandra</t>
        </is>
      </c>
      <c r="C2771" s="37" t="inlineStr">
        <is>
          <t>GROW Youth</t>
        </is>
      </c>
      <c r="D2771" s="37" t="inlineStr">
        <is>
          <t>2026-07-14</t>
        </is>
      </c>
      <c r="E2771" s="37" t="inlineStr">
        <is>
          <t>Process Check</t>
        </is>
      </c>
      <c r="F2771" s="37" t="inlineStr">
        <is>
          <t>Check is AH planning OJT as per guidelines and proofs are collected for technical courses.</t>
        </is>
      </c>
      <c r="G2771" s="37" t="inlineStr">
        <is>
          <t>Not Applicable</t>
        </is>
      </c>
    </row>
    <row r="2772">
      <c r="A2772" s="37" t="inlineStr">
        <is>
          <t>S Jakir</t>
        </is>
      </c>
      <c r="B2772" s="37" t="inlineStr">
        <is>
          <t>Thanisandra</t>
        </is>
      </c>
      <c r="C2772" s="37" t="inlineStr">
        <is>
          <t>GROW Youth</t>
        </is>
      </c>
      <c r="D2772" s="37" t="inlineStr">
        <is>
          <t>2026-07-14</t>
        </is>
      </c>
      <c r="E2772" s="37" t="inlineStr">
        <is>
          <t>Process Check</t>
        </is>
      </c>
      <c r="F2772" s="37" t="inlineStr">
        <is>
          <t>Check are trainers contacting aspirants to find reason for their absenteeism of more than 1 day.</t>
        </is>
      </c>
      <c r="G2772" s="37" t="inlineStr">
        <is>
          <t>All is Well</t>
        </is>
      </c>
    </row>
    <row r="2773">
      <c r="A2773" s="37" t="inlineStr">
        <is>
          <t>S Jakir</t>
        </is>
      </c>
      <c r="B2773" s="37" t="inlineStr">
        <is>
          <t>Thanisandra</t>
        </is>
      </c>
      <c r="C2773" s="37" t="inlineStr">
        <is>
          <t>GROW Youth</t>
        </is>
      </c>
      <c r="D2773" s="37" t="inlineStr">
        <is>
          <t>2026-07-14</t>
        </is>
      </c>
      <c r="E2773" s="37" t="inlineStr">
        <is>
          <t>Process Check</t>
        </is>
      </c>
      <c r="F2773" s="37" t="inlineStr">
        <is>
          <t>Check the AH plans monthly enrolment and placement numbers by the 3rd of each month and shares them with second level managers.</t>
        </is>
      </c>
      <c r="G2773" s="37" t="inlineStr">
        <is>
          <t>All is Well</t>
        </is>
      </c>
    </row>
    <row r="2774">
      <c r="A2774" s="37" t="inlineStr">
        <is>
          <t>S Jakir</t>
        </is>
      </c>
      <c r="B2774" s="37" t="inlineStr">
        <is>
          <t>Thanisandra</t>
        </is>
      </c>
      <c r="C2774" s="37" t="inlineStr">
        <is>
          <t>GROW Youth</t>
        </is>
      </c>
      <c r="D2774" s="37" t="inlineStr">
        <is>
          <t>2026-07-14</t>
        </is>
      </c>
      <c r="E2774" s="37" t="inlineStr">
        <is>
          <t>Process Check</t>
        </is>
      </c>
      <c r="F2774" s="37" t="inlineStr">
        <is>
          <t>Check trainers submit aspirants’ placement interest areas to the AH by the batch’s 25th day (in GROW).</t>
        </is>
      </c>
      <c r="G2774" s="37" t="inlineStr">
        <is>
          <t>Need Improvement</t>
        </is>
      </c>
    </row>
    <row r="2775">
      <c r="A2775" s="37" t="inlineStr">
        <is>
          <t>S Jakir</t>
        </is>
      </c>
      <c r="B2775" s="37" t="inlineStr">
        <is>
          <t>Thanisandra</t>
        </is>
      </c>
      <c r="C2775" s="37" t="inlineStr">
        <is>
          <t>GROW Youth</t>
        </is>
      </c>
      <c r="D2775" s="37" t="inlineStr">
        <is>
          <t>2026-07-14</t>
        </is>
      </c>
      <c r="E2775" s="37" t="inlineStr">
        <is>
          <t>Process Check</t>
        </is>
      </c>
      <c r="F2775" s="37" t="inlineStr">
        <is>
          <t>Ckeck For technical programs, placement is done only in technical jobs,on which aspirants are trained and relevant emplyers are identified by 45th day.</t>
        </is>
      </c>
      <c r="G2775" s="37" t="inlineStr">
        <is>
          <t>Not Applicable</t>
        </is>
      </c>
    </row>
    <row r="2776">
      <c r="A2776" s="37" t="inlineStr">
        <is>
          <t>S Jakir</t>
        </is>
      </c>
      <c r="B2776" s="37" t="inlineStr">
        <is>
          <t>Thanisandra</t>
        </is>
      </c>
      <c r="C2776" s="37" t="inlineStr">
        <is>
          <t>GROW Youth</t>
        </is>
      </c>
      <c r="D2776" s="37" t="inlineStr">
        <is>
          <t>2026-07-14</t>
        </is>
      </c>
      <c r="E2776" s="37" t="inlineStr">
        <is>
          <t>Process Check</t>
        </is>
      </c>
      <c r="F2776" s="37" t="inlineStr">
        <is>
          <t>Check the AH follows EP guidelines and minimum benchmark salary guidelines.</t>
        </is>
      </c>
      <c r="G2776" s="37" t="inlineStr">
        <is>
          <t>All is Well</t>
        </is>
      </c>
    </row>
    <row r="2777">
      <c r="A2777" s="37" t="inlineStr">
        <is>
          <t>S Jakir</t>
        </is>
      </c>
      <c r="B2777" s="37" t="inlineStr">
        <is>
          <t>Thanisandra</t>
        </is>
      </c>
      <c r="C2777" s="37" t="inlineStr">
        <is>
          <t>GROW Youth</t>
        </is>
      </c>
      <c r="D2777" s="37" t="inlineStr">
        <is>
          <t>2026-07-14</t>
        </is>
      </c>
      <c r="E2777" s="37" t="inlineStr">
        <is>
          <t>Process Check</t>
        </is>
      </c>
      <c r="F2777" s="37" t="inlineStr">
        <is>
          <t>Check that AH is enrolling only the right traget group in the program -as per the defined target.</t>
        </is>
      </c>
      <c r="G2777" s="37" t="inlineStr">
        <is>
          <t>All is Well</t>
        </is>
      </c>
    </row>
    <row r="2778">
      <c r="A2778" s="37" t="inlineStr">
        <is>
          <t>S Jakir</t>
        </is>
      </c>
      <c r="B2778" s="37" t="inlineStr">
        <is>
          <t>Thanisandra</t>
        </is>
      </c>
      <c r="C2778" s="37" t="inlineStr">
        <is>
          <t>GROW Youth</t>
        </is>
      </c>
      <c r="D2778" s="37" t="inlineStr">
        <is>
          <t>2026-07-14</t>
        </is>
      </c>
      <c r="E2778" s="37" t="inlineStr">
        <is>
          <t>Process Check</t>
        </is>
      </c>
      <c r="F2778" s="37" t="inlineStr">
        <is>
          <t>Check the AH announces the next batch-start date by the 3rd of the month on all notice boards — focus on Zero-Day start.</t>
        </is>
      </c>
      <c r="G2778" s="37" t="inlineStr">
        <is>
          <t>All is Well</t>
        </is>
      </c>
    </row>
    <row r="2779">
      <c r="A2779" s="37" t="inlineStr">
        <is>
          <t>S Jakir</t>
        </is>
      </c>
      <c r="B2779" s="37" t="inlineStr">
        <is>
          <t>Thanisandra</t>
        </is>
      </c>
      <c r="C2779" s="37" t="inlineStr">
        <is>
          <t>GROW Youth</t>
        </is>
      </c>
      <c r="D2779" s="37" t="inlineStr">
        <is>
          <t>2026-07-14</t>
        </is>
      </c>
      <c r="E2779" s="37" t="inlineStr">
        <is>
          <t>Process Check</t>
        </is>
      </c>
      <c r="F2779" s="37" t="inlineStr">
        <is>
          <t>Check the Aspirant Mock Interview Score Tracker is updated after every mock interview in the L&amp;D Google Sheet.</t>
        </is>
      </c>
      <c r="G2779" s="37" t="inlineStr">
        <is>
          <t>All is Well</t>
        </is>
      </c>
    </row>
    <row r="2780">
      <c r="A2780" s="37" t="inlineStr">
        <is>
          <t>S Jakir</t>
        </is>
      </c>
      <c r="B2780" s="37" t="inlineStr">
        <is>
          <t>Thanisandra</t>
        </is>
      </c>
      <c r="C2780" s="37" t="inlineStr">
        <is>
          <t>GROW Youth</t>
        </is>
      </c>
      <c r="D2780" s="37" t="inlineStr">
        <is>
          <t>2026-07-14</t>
        </is>
      </c>
      <c r="E2780" s="37" t="inlineStr">
        <is>
          <t>Process Check</t>
        </is>
      </c>
      <c r="F2780" s="37" t="inlineStr">
        <is>
          <t>Confirm NPS (Net Promoter Score) is collected at MSDF centres.</t>
        </is>
      </c>
      <c r="G2780" s="37" t="inlineStr">
        <is>
          <t>Not Applicable</t>
        </is>
      </c>
    </row>
    <row r="2781">
      <c r="A2781" s="37" t="inlineStr">
        <is>
          <t>S Jakir</t>
        </is>
      </c>
      <c r="B2781" s="37" t="inlineStr">
        <is>
          <t>Thanisandra</t>
        </is>
      </c>
      <c r="C2781" s="37" t="inlineStr">
        <is>
          <t>GROW Youth</t>
        </is>
      </c>
      <c r="D2781" s="37" t="inlineStr">
        <is>
          <t>2026-07-14</t>
        </is>
      </c>
      <c r="E2781" s="37" t="inlineStr">
        <is>
          <t>Process Check</t>
        </is>
      </c>
      <c r="F2781" s="37" t="inlineStr">
        <is>
          <t>Confirm that QAE is collecting student feedback for every batch.</t>
        </is>
      </c>
      <c r="G2781" s="37" t="inlineStr">
        <is>
          <t>All is Well</t>
        </is>
      </c>
    </row>
    <row r="2782">
      <c r="A2782" s="37" t="inlineStr">
        <is>
          <t>S Jakir</t>
        </is>
      </c>
      <c r="B2782" s="37" t="inlineStr">
        <is>
          <t>Thanisandra</t>
        </is>
      </c>
      <c r="C2782" s="37" t="inlineStr">
        <is>
          <t>GROW Youth</t>
        </is>
      </c>
      <c r="D2782" s="37" t="inlineStr">
        <is>
          <t>2026-07-14</t>
        </is>
      </c>
      <c r="E2782" s="37" t="inlineStr">
        <is>
          <t>Process Check</t>
        </is>
      </c>
      <c r="F2782" s="37" t="inlineStr">
        <is>
          <t>Confirm all centre teams have completed the GROW Manual Course on Skillfy — ask for achievement certificates.</t>
        </is>
      </c>
      <c r="G2782" s="37" t="inlineStr">
        <is>
          <t>All is Well</t>
        </is>
      </c>
    </row>
    <row r="2783">
      <c r="A2783" s="37" t="inlineStr">
        <is>
          <t>S Jakir</t>
        </is>
      </c>
      <c r="B2783" s="37" t="inlineStr">
        <is>
          <t>Thanisandra</t>
        </is>
      </c>
      <c r="C2783" s="37" t="inlineStr">
        <is>
          <t>GROW Youth</t>
        </is>
      </c>
      <c r="D2783" s="37" t="inlineStr">
        <is>
          <t>2026-07-14</t>
        </is>
      </c>
      <c r="E2783" s="37" t="inlineStr">
        <is>
          <t>Process Check</t>
        </is>
      </c>
      <c r="F2783" s="37" t="inlineStr">
        <is>
          <t>Check AH holds a quality weekly team meeting, documents action points in the weekly meeting format, and sends you a photo on WhatsApp.</t>
        </is>
      </c>
      <c r="G2783" s="37" t="inlineStr">
        <is>
          <t>Need Improvement</t>
        </is>
      </c>
    </row>
    <row r="2784">
      <c r="A2784" s="37" t="inlineStr">
        <is>
          <t>S Jakir</t>
        </is>
      </c>
      <c r="B2784" s="37" t="inlineStr">
        <is>
          <t>Thanisandra</t>
        </is>
      </c>
      <c r="C2784" s="37" t="inlineStr">
        <is>
          <t>GROW Youth</t>
        </is>
      </c>
      <c r="D2784" s="37" t="inlineStr">
        <is>
          <t>2026-07-14</t>
        </is>
      </c>
      <c r="E2784" s="37" t="inlineStr">
        <is>
          <t>Aspirant Interaction</t>
        </is>
      </c>
      <c r="F2784" s="37" t="inlineStr">
        <is>
          <t>Ask aspirants about the session plan — confirm training is happening as planned?</t>
        </is>
      </c>
      <c r="G2784" s="37" t="inlineStr">
        <is>
          <t>All is Well</t>
        </is>
      </c>
    </row>
    <row r="2785">
      <c r="A2785" s="37" t="inlineStr">
        <is>
          <t>S Jakir</t>
        </is>
      </c>
      <c r="B2785" s="37" t="inlineStr">
        <is>
          <t>Thanisandra</t>
        </is>
      </c>
      <c r="C2785" s="37" t="inlineStr">
        <is>
          <t>GROW Youth</t>
        </is>
      </c>
      <c r="D2785" s="37" t="inlineStr">
        <is>
          <t>2026-07-14</t>
        </is>
      </c>
      <c r="E2785" s="37" t="inlineStr">
        <is>
          <t>Aspirant Interaction</t>
        </is>
      </c>
      <c r="F2785" s="37" t="inlineStr">
        <is>
          <t>Ask about the quality of Core Employability component delivery (technical centres) and who delivers it.</t>
        </is>
      </c>
      <c r="G2785" s="37" t="inlineStr">
        <is>
          <t>All is Well</t>
        </is>
      </c>
    </row>
    <row r="2786">
      <c r="A2786" s="37" t="inlineStr">
        <is>
          <t>S Jakir</t>
        </is>
      </c>
      <c r="B2786" s="37" t="inlineStr">
        <is>
          <t>Thanisandra</t>
        </is>
      </c>
      <c r="C2786" s="37" t="inlineStr">
        <is>
          <t>GROW Youth</t>
        </is>
      </c>
      <c r="D2786" s="37" t="inlineStr">
        <is>
          <t>2026-07-14</t>
        </is>
      </c>
      <c r="E2786" s="37" t="inlineStr">
        <is>
          <t>Aspirant Interaction</t>
        </is>
      </c>
      <c r="F2786" s="37" t="inlineStr">
        <is>
          <t>Ask whether they are aware of the referral scheme?</t>
        </is>
      </c>
      <c r="G2786" s="37" t="inlineStr">
        <is>
          <t>All is Well</t>
        </is>
      </c>
    </row>
    <row r="2787">
      <c r="A2787" s="37" t="inlineStr">
        <is>
          <t>S Jakir</t>
        </is>
      </c>
      <c r="B2787" s="37" t="inlineStr">
        <is>
          <t>Thanisandra</t>
        </is>
      </c>
      <c r="C2787" s="37" t="inlineStr">
        <is>
          <t>GROW Youth</t>
        </is>
      </c>
      <c r="D2787" s="37" t="inlineStr">
        <is>
          <t>2026-07-14</t>
        </is>
      </c>
      <c r="E2787" s="37" t="inlineStr">
        <is>
          <t>Aspirant Interaction</t>
        </is>
      </c>
      <c r="F2787" s="37" t="inlineStr">
        <is>
          <t>Ask whether the AH explained the importance of the offer letter and sharing it with us once received for reporting purposes?</t>
        </is>
      </c>
      <c r="G2787" s="37" t="inlineStr">
        <is>
          <t>All is Well</t>
        </is>
      </c>
    </row>
    <row r="2788">
      <c r="A2788" s="37" t="inlineStr">
        <is>
          <t>S Jakir</t>
        </is>
      </c>
      <c r="B2788" s="37" t="inlineStr">
        <is>
          <t>Thanisandra</t>
        </is>
      </c>
      <c r="C2788" s="37" t="inlineStr">
        <is>
          <t>GROW Youth</t>
        </is>
      </c>
      <c r="D2788" s="37" t="inlineStr">
        <is>
          <t>2026-07-14</t>
        </is>
      </c>
      <c r="E2788" s="37" t="inlineStr">
        <is>
          <t>Aspirant Interaction</t>
        </is>
      </c>
      <c r="F2788" s="37" t="inlineStr">
        <is>
          <t>Ask how many are not interested in jobs — and if so, why they enrolled in the programme?</t>
        </is>
      </c>
      <c r="G2788" s="37" t="inlineStr">
        <is>
          <t>All is Well</t>
        </is>
      </c>
    </row>
    <row r="2789">
      <c r="A2789" s="37" t="inlineStr">
        <is>
          <t>S Jakir</t>
        </is>
      </c>
      <c r="B2789" s="37" t="inlineStr">
        <is>
          <t>Thanisandra</t>
        </is>
      </c>
      <c r="C2789" s="37" t="inlineStr">
        <is>
          <t>GROW Youth</t>
        </is>
      </c>
      <c r="D2789" s="37" t="inlineStr">
        <is>
          <t>2026-07-14</t>
        </is>
      </c>
      <c r="E2789" s="37" t="inlineStr">
        <is>
          <t>Aspirant Interaction</t>
        </is>
      </c>
      <c r="F2789" s="37" t="inlineStr">
        <is>
          <t>Ask whether they were told the kind of job they would get during counselling?</t>
        </is>
      </c>
      <c r="G2789" s="37" t="inlineStr">
        <is>
          <t>All is Well</t>
        </is>
      </c>
    </row>
    <row r="2790">
      <c r="A2790" s="37" t="inlineStr">
        <is>
          <t>S Jakir</t>
        </is>
      </c>
      <c r="B2790" s="37" t="inlineStr">
        <is>
          <t>Thanisandra</t>
        </is>
      </c>
      <c r="C2790" s="37" t="inlineStr">
        <is>
          <t>GROW Youth</t>
        </is>
      </c>
      <c r="D2790" s="37" t="inlineStr">
        <is>
          <t>2026-07-14</t>
        </is>
      </c>
      <c r="E2790" s="37" t="inlineStr">
        <is>
          <t>Aspirant Interaction</t>
        </is>
      </c>
      <c r="F2790" s="37" t="inlineStr">
        <is>
          <t>Ask whether they have been given LMS access?</t>
        </is>
      </c>
      <c r="G2790" s="37" t="inlineStr">
        <is>
          <t>All is Well</t>
        </is>
      </c>
    </row>
    <row r="2791">
      <c r="A2791" s="37" t="inlineStr">
        <is>
          <t>S Jakir</t>
        </is>
      </c>
      <c r="B2791" s="37" t="inlineStr">
        <is>
          <t>Thanisandra</t>
        </is>
      </c>
      <c r="C2791" s="37" t="inlineStr">
        <is>
          <t>GROW Youth</t>
        </is>
      </c>
      <c r="D2791" s="37" t="inlineStr">
        <is>
          <t>2026-07-14</t>
        </is>
      </c>
      <c r="E2791" s="37" t="inlineStr">
        <is>
          <t>Aspirant Interaction</t>
        </is>
      </c>
      <c r="F2791" s="37" t="inlineStr">
        <is>
          <t>Ask whether anyone asked them for money for training or placement?</t>
        </is>
      </c>
      <c r="G2791" s="37" t="inlineStr">
        <is>
          <t>All is Well</t>
        </is>
      </c>
    </row>
    <row r="2792">
      <c r="A2792" s="37" t="inlineStr">
        <is>
          <t>S Jakir</t>
        </is>
      </c>
      <c r="B2792" s="37" t="inlineStr">
        <is>
          <t>Thanisandra</t>
        </is>
      </c>
      <c r="C2792" s="37" t="inlineStr">
        <is>
          <t>GROW Youth</t>
        </is>
      </c>
      <c r="D2792" s="37" t="inlineStr">
        <is>
          <t>2026-07-14</t>
        </is>
      </c>
      <c r="E2792" s="37" t="inlineStr">
        <is>
          <t>Aspirant Interaction</t>
        </is>
      </c>
      <c r="F2792" s="37" t="inlineStr">
        <is>
          <t>Ask to show their mobile phones — are they enrolled on Skillfy? If not, get them enrolled and give written feedback to trainers and the AH in your presence.</t>
        </is>
      </c>
      <c r="G2792" s="37" t="inlineStr">
        <is>
          <t>All is Well</t>
        </is>
      </c>
    </row>
    <row r="2793">
      <c r="A2793" s="37" t="inlineStr">
        <is>
          <t>S Jakir</t>
        </is>
      </c>
      <c r="B2793" s="37" t="inlineStr">
        <is>
          <t>Thanisandra</t>
        </is>
      </c>
      <c r="C2793" s="37" t="inlineStr">
        <is>
          <t>GROW Youth</t>
        </is>
      </c>
      <c r="D2793" s="37" t="inlineStr">
        <is>
          <t>2026-07-14</t>
        </is>
      </c>
      <c r="E2793" s="37" t="inlineStr">
        <is>
          <t>Aspirant Interaction</t>
        </is>
      </c>
      <c r="F2793" s="37" t="inlineStr">
        <is>
          <t>Ask about the quality of the hostel and any issues they face.</t>
        </is>
      </c>
      <c r="G2793" s="37" t="inlineStr">
        <is>
          <t>Not Applicable</t>
        </is>
      </c>
    </row>
    <row r="2794">
      <c r="A2794" s="37" t="inlineStr">
        <is>
          <t>S Jakir</t>
        </is>
      </c>
      <c r="B2794" s="37" t="inlineStr">
        <is>
          <t>Thanisandra</t>
        </is>
      </c>
      <c r="C2794" s="37" t="inlineStr">
        <is>
          <t>GROW Youth</t>
        </is>
      </c>
      <c r="D2794" s="37" t="inlineStr">
        <is>
          <t>2026-07-14</t>
        </is>
      </c>
      <c r="E2794" s="37" t="inlineStr">
        <is>
          <t>Aspirant Interaction</t>
        </is>
      </c>
      <c r="F2794" s="37" t="inlineStr">
        <is>
          <t>Ask a few relevant screening questions to support the 10th-day report and remove non-serious candidates, explaining to them the reasons.</t>
        </is>
      </c>
      <c r="G2794" s="37" t="inlineStr">
        <is>
          <t>All is Well</t>
        </is>
      </c>
    </row>
    <row r="2795">
      <c r="A2795" s="37" t="inlineStr">
        <is>
          <t>S Jakir</t>
        </is>
      </c>
      <c r="B2795" s="37" t="inlineStr">
        <is>
          <t xml:space="preserve">K R Puram </t>
        </is>
      </c>
      <c r="C2795" s="37" t="inlineStr">
        <is>
          <t>GROW Youth</t>
        </is>
      </c>
      <c r="D2795" s="37" t="inlineStr">
        <is>
          <t>2026-07-07</t>
        </is>
      </c>
      <c r="E2795" s="37" t="inlineStr">
        <is>
          <t>Data Check</t>
        </is>
      </c>
      <c r="F2795" s="37" t="inlineStr">
        <is>
          <t>Reach the centre on time (unannounced) — confirm the centre opened on time.</t>
        </is>
      </c>
      <c r="G2795" s="37" t="inlineStr">
        <is>
          <t>All is Well</t>
        </is>
      </c>
    </row>
    <row r="2796">
      <c r="A2796" s="37" t="inlineStr">
        <is>
          <t>S Jakir</t>
        </is>
      </c>
      <c r="B2796" s="37" t="inlineStr">
        <is>
          <t xml:space="preserve">K R Puram </t>
        </is>
      </c>
      <c r="C2796" s="37" t="inlineStr">
        <is>
          <t>GROW Youth</t>
        </is>
      </c>
      <c r="D2796" s="37" t="inlineStr">
        <is>
          <t>2026-07-07</t>
        </is>
      </c>
      <c r="E2796" s="37" t="inlineStr">
        <is>
          <t>Data Check</t>
        </is>
      </c>
      <c r="F2796" s="37" t="inlineStr">
        <is>
          <t>Check the staff attendance register, the Google Sheet, and geo-tagged photos for aspirants.</t>
        </is>
      </c>
      <c r="G2796" s="37" t="inlineStr">
        <is>
          <t>All is Well</t>
        </is>
      </c>
    </row>
    <row r="2797">
      <c r="A2797" s="37" t="inlineStr">
        <is>
          <t>S Jakir</t>
        </is>
      </c>
      <c r="B2797" s="37" t="inlineStr">
        <is>
          <t xml:space="preserve">K R Puram </t>
        </is>
      </c>
      <c r="C2797" s="37" t="inlineStr">
        <is>
          <t>GROW Youth</t>
        </is>
      </c>
      <c r="D2797" s="37" t="inlineStr">
        <is>
          <t>2026-07-07</t>
        </is>
      </c>
      <c r="E2797" s="37" t="inlineStr">
        <is>
          <t>Data Check</t>
        </is>
      </c>
      <c r="F2797" s="37" t="inlineStr">
        <is>
          <t>Check Counselling and Screening Forms of recently started batches.</t>
        </is>
      </c>
      <c r="G2797" s="37" t="inlineStr">
        <is>
          <t>All is Well</t>
        </is>
      </c>
    </row>
    <row r="2798">
      <c r="A2798" s="37" t="inlineStr">
        <is>
          <t>S Jakir</t>
        </is>
      </c>
      <c r="B2798" s="37" t="inlineStr">
        <is>
          <t xml:space="preserve">K R Puram </t>
        </is>
      </c>
      <c r="C2798" s="37" t="inlineStr">
        <is>
          <t>GROW Youth</t>
        </is>
      </c>
      <c r="D2798" s="37" t="inlineStr">
        <is>
          <t>2026-07-07</t>
        </is>
      </c>
      <c r="E2798" s="37" t="inlineStr">
        <is>
          <t>Data Check</t>
        </is>
      </c>
      <c r="F2798" s="37" t="inlineStr">
        <is>
          <t>Check Aspirant Registration Forms and related documents.</t>
        </is>
      </c>
      <c r="G2798" s="37" t="inlineStr">
        <is>
          <t>All is Well</t>
        </is>
      </c>
    </row>
    <row r="2799">
      <c r="A2799" s="37" t="inlineStr">
        <is>
          <t>S Jakir</t>
        </is>
      </c>
      <c r="B2799" s="37" t="inlineStr">
        <is>
          <t xml:space="preserve">K R Puram </t>
        </is>
      </c>
      <c r="C2799" s="37" t="inlineStr">
        <is>
          <t>GROW Youth</t>
        </is>
      </c>
      <c r="D2799" s="37" t="inlineStr">
        <is>
          <t>2026-07-07</t>
        </is>
      </c>
      <c r="E2799" s="37" t="inlineStr">
        <is>
          <t>Data Check</t>
        </is>
      </c>
      <c r="F2799" s="37" t="inlineStr">
        <is>
          <t>On the GROW portal, confirm all student profile details and batch updates are currect.</t>
        </is>
      </c>
      <c r="G2799" s="37" t="inlineStr">
        <is>
          <t>All is Well</t>
        </is>
      </c>
    </row>
    <row r="2800">
      <c r="A2800" s="37" t="inlineStr">
        <is>
          <t>S Jakir</t>
        </is>
      </c>
      <c r="B2800" s="37" t="inlineStr">
        <is>
          <t xml:space="preserve">K R Puram </t>
        </is>
      </c>
      <c r="C2800" s="37" t="inlineStr">
        <is>
          <t>GROW Youth</t>
        </is>
      </c>
      <c r="D2800" s="37" t="inlineStr">
        <is>
          <t>2026-07-07</t>
        </is>
      </c>
      <c r="E2800" s="37" t="inlineStr">
        <is>
          <t>Data Check</t>
        </is>
      </c>
      <c r="F2800" s="37" t="inlineStr">
        <is>
          <t>Verify placement data — randomly call 3–4 alumni placed in the last 3 months to confirm veracity (random selection is essential).</t>
        </is>
      </c>
      <c r="G2800" s="37" t="inlineStr">
        <is>
          <t>All is Well</t>
        </is>
      </c>
    </row>
    <row r="2801">
      <c r="A2801" s="37" t="inlineStr">
        <is>
          <t>S Jakir</t>
        </is>
      </c>
      <c r="B2801" s="37" t="inlineStr">
        <is>
          <t xml:space="preserve">K R Puram </t>
        </is>
      </c>
      <c r="C2801" s="37" t="inlineStr">
        <is>
          <t>GROW Youth</t>
        </is>
      </c>
      <c r="D2801" s="37" t="inlineStr">
        <is>
          <t>2026-07-07</t>
        </is>
      </c>
      <c r="E2801" s="37" t="inlineStr">
        <is>
          <t>Data Check</t>
        </is>
      </c>
      <c r="F2801" s="37" t="inlineStr">
        <is>
          <t>Verify retention — check the Alumni Hand-holding Format is being updated as designed.</t>
        </is>
      </c>
      <c r="G2801" s="37" t="inlineStr">
        <is>
          <t>Need Improvement</t>
        </is>
      </c>
    </row>
    <row r="2802">
      <c r="A2802" s="37" t="inlineStr">
        <is>
          <t>S Jakir</t>
        </is>
      </c>
      <c r="B2802" s="37" t="inlineStr">
        <is>
          <t xml:space="preserve">K R Puram </t>
        </is>
      </c>
      <c r="C2802" s="37" t="inlineStr">
        <is>
          <t>GROW Youth</t>
        </is>
      </c>
      <c r="D2802" s="37" t="inlineStr">
        <is>
          <t>2026-07-07</t>
        </is>
      </c>
      <c r="E2802" s="37" t="inlineStr">
        <is>
          <t>Data Check</t>
        </is>
      </c>
      <c r="F2802" s="37" t="inlineStr">
        <is>
          <t>Check aspirant Hostel Forms are properly filled or not.</t>
        </is>
      </c>
      <c r="G2802" s="37" t="inlineStr">
        <is>
          <t>Not Applicable</t>
        </is>
      </c>
    </row>
    <row r="2803">
      <c r="A2803" s="37" t="inlineStr">
        <is>
          <t>S Jakir</t>
        </is>
      </c>
      <c r="B2803" s="37" t="inlineStr">
        <is>
          <t xml:space="preserve">K R Puram </t>
        </is>
      </c>
      <c r="C2803" s="37" t="inlineStr">
        <is>
          <t>GROW Youth</t>
        </is>
      </c>
      <c r="D2803" s="37" t="inlineStr">
        <is>
          <t>2026-07-07</t>
        </is>
      </c>
      <c r="E2803" s="37" t="inlineStr">
        <is>
          <t>Infra Check</t>
        </is>
      </c>
      <c r="F2803" s="37" t="inlineStr">
        <is>
          <t>Check all CCTV cameras; if any are not working, ask the AH to troubleshoot or call the vendor.</t>
        </is>
      </c>
      <c r="G2803" s="37" t="inlineStr">
        <is>
          <t>Not Applicable</t>
        </is>
      </c>
    </row>
    <row r="2804">
      <c r="A2804" s="37" t="inlineStr">
        <is>
          <t>S Jakir</t>
        </is>
      </c>
      <c r="B2804" s="37" t="inlineStr">
        <is>
          <t xml:space="preserve">K R Puram </t>
        </is>
      </c>
      <c r="C2804" s="37" t="inlineStr">
        <is>
          <t>GROW Youth</t>
        </is>
      </c>
      <c r="D2804" s="37" t="inlineStr">
        <is>
          <t>2026-07-07</t>
        </is>
      </c>
      <c r="E2804" s="37" t="inlineStr">
        <is>
          <t>Infra Check</t>
        </is>
      </c>
      <c r="F2804" s="37" t="inlineStr">
        <is>
          <t>Check for any scrap material and get it cleared, with support of Admin</t>
        </is>
      </c>
      <c r="G2804" s="37" t="inlineStr">
        <is>
          <t>Need Improvement</t>
        </is>
      </c>
    </row>
    <row r="2805">
      <c r="A2805" s="37" t="inlineStr">
        <is>
          <t>S Jakir</t>
        </is>
      </c>
      <c r="B2805" s="37" t="inlineStr">
        <is>
          <t xml:space="preserve">K R Puram </t>
        </is>
      </c>
      <c r="C2805" s="37" t="inlineStr">
        <is>
          <t>GROW Youth</t>
        </is>
      </c>
      <c r="D2805" s="37" t="inlineStr">
        <is>
          <t>2026-07-07</t>
        </is>
      </c>
      <c r="E2805" s="37" t="inlineStr">
        <is>
          <t>Infra Check</t>
        </is>
      </c>
      <c r="F2805" s="37" t="inlineStr">
        <is>
          <t>Check for any pending infra repairs.</t>
        </is>
      </c>
      <c r="G2805" s="37" t="inlineStr">
        <is>
          <t>All is Well</t>
        </is>
      </c>
    </row>
    <row r="2806">
      <c r="A2806" s="37" t="inlineStr">
        <is>
          <t>S Jakir</t>
        </is>
      </c>
      <c r="B2806" s="37" t="inlineStr">
        <is>
          <t xml:space="preserve">K R Puram </t>
        </is>
      </c>
      <c r="C2806" s="37" t="inlineStr">
        <is>
          <t>GROW Youth</t>
        </is>
      </c>
      <c r="D2806" s="37" t="inlineStr">
        <is>
          <t>2026-07-07</t>
        </is>
      </c>
      <c r="E2806" s="37" t="inlineStr">
        <is>
          <t>Infra Check</t>
        </is>
      </c>
      <c r="F2806" s="37" t="inlineStr">
        <is>
          <t>Check whether any fire extinguishers have expired (check the needle and expiry date both).</t>
        </is>
      </c>
      <c r="G2806" s="37" t="inlineStr">
        <is>
          <t>All is Well</t>
        </is>
      </c>
    </row>
    <row r="2807">
      <c r="A2807" s="37" t="inlineStr">
        <is>
          <t>S Jakir</t>
        </is>
      </c>
      <c r="B2807" s="37" t="inlineStr">
        <is>
          <t xml:space="preserve">K R Puram </t>
        </is>
      </c>
      <c r="C2807" s="37" t="inlineStr">
        <is>
          <t>GROW Youth</t>
        </is>
      </c>
      <c r="D2807" s="37" t="inlineStr">
        <is>
          <t>2026-07-07</t>
        </is>
      </c>
      <c r="E2807" s="37" t="inlineStr">
        <is>
          <t>Infra Check</t>
        </is>
      </c>
      <c r="F2807" s="37" t="inlineStr">
        <is>
          <t>Check basic cleanliness of the washrooms and the centre.</t>
        </is>
      </c>
      <c r="G2807" s="37" t="inlineStr">
        <is>
          <t>Need Improvement</t>
        </is>
      </c>
    </row>
    <row r="2808">
      <c r="A2808" s="37" t="inlineStr">
        <is>
          <t>S Jakir</t>
        </is>
      </c>
      <c r="B2808" s="37" t="inlineStr">
        <is>
          <t xml:space="preserve">K R Puram </t>
        </is>
      </c>
      <c r="C2808" s="37" t="inlineStr">
        <is>
          <t>GROW Youth</t>
        </is>
      </c>
      <c r="D2808" s="37" t="inlineStr">
        <is>
          <t>2026-07-07</t>
        </is>
      </c>
      <c r="E2808" s="37" t="inlineStr">
        <is>
          <t>Infra Check</t>
        </is>
      </c>
      <c r="F2808" s="37" t="inlineStr">
        <is>
          <t>Confirm the correct program and partner logos are displayed.</t>
        </is>
      </c>
      <c r="G2808" s="37" t="inlineStr">
        <is>
          <t>All is Well</t>
        </is>
      </c>
    </row>
    <row r="2809">
      <c r="A2809" s="37" t="inlineStr">
        <is>
          <t>S Jakir</t>
        </is>
      </c>
      <c r="B2809" s="37" t="inlineStr">
        <is>
          <t xml:space="preserve">K R Puram </t>
        </is>
      </c>
      <c r="C2809" s="37" t="inlineStr">
        <is>
          <t>GROW Youth</t>
        </is>
      </c>
      <c r="D2809" s="37" t="inlineStr">
        <is>
          <t>2026-07-07</t>
        </is>
      </c>
      <c r="E2809" s="37" t="inlineStr">
        <is>
          <t>Infra Check</t>
        </is>
      </c>
      <c r="F2809" s="37" t="inlineStr">
        <is>
          <t>Check the status of digital infra — PCs, smartboards, tablets, laptops, etc.</t>
        </is>
      </c>
      <c r="G2809" s="37" t="inlineStr">
        <is>
          <t>All is Well</t>
        </is>
      </c>
    </row>
    <row r="2810">
      <c r="A2810" s="37" t="inlineStr">
        <is>
          <t>S Jakir</t>
        </is>
      </c>
      <c r="B2810" s="37" t="inlineStr">
        <is>
          <t xml:space="preserve">K R Puram </t>
        </is>
      </c>
      <c r="C2810" s="37" t="inlineStr">
        <is>
          <t>GROW Youth</t>
        </is>
      </c>
      <c r="D2810" s="37" t="inlineStr">
        <is>
          <t>2026-07-07</t>
        </is>
      </c>
      <c r="E2810" s="37" t="inlineStr">
        <is>
          <t>Infra Check</t>
        </is>
      </c>
      <c r="F2810" s="37" t="inlineStr">
        <is>
          <t>Make a quick hostel visit; have lunch there if possible to test the food quality.</t>
        </is>
      </c>
      <c r="G2810" s="37" t="inlineStr">
        <is>
          <t>Not Applicable</t>
        </is>
      </c>
    </row>
    <row r="2811">
      <c r="A2811" s="37" t="inlineStr">
        <is>
          <t>S Jakir</t>
        </is>
      </c>
      <c r="B2811" s="37" t="inlineStr">
        <is>
          <t xml:space="preserve">K R Puram </t>
        </is>
      </c>
      <c r="C2811" s="37" t="inlineStr">
        <is>
          <t>GROW Youth</t>
        </is>
      </c>
      <c r="D2811" s="37" t="inlineStr">
        <is>
          <t>2026-07-07</t>
        </is>
      </c>
      <c r="E2811" s="37" t="inlineStr">
        <is>
          <t>Process Check</t>
        </is>
      </c>
      <c r="F2811" s="37" t="inlineStr">
        <is>
          <t>Refer to the activity planner — check if any activities are delayed.</t>
        </is>
      </c>
      <c r="G2811" s="37" t="inlineStr">
        <is>
          <t>Need Improvement</t>
        </is>
      </c>
    </row>
    <row r="2812">
      <c r="A2812" s="37" t="inlineStr">
        <is>
          <t>S Jakir</t>
        </is>
      </c>
      <c r="B2812" s="37" t="inlineStr">
        <is>
          <t xml:space="preserve">K R Puram </t>
        </is>
      </c>
      <c r="C2812" s="37" t="inlineStr">
        <is>
          <t>GROW Youth</t>
        </is>
      </c>
      <c r="D2812" s="37" t="inlineStr">
        <is>
          <t>2026-07-07</t>
        </is>
      </c>
      <c r="E2812" s="37" t="inlineStr">
        <is>
          <t>Process Check</t>
        </is>
      </c>
      <c r="F2812" s="37" t="inlineStr">
        <is>
          <t>Check planning for the next batch-start announcement.</t>
        </is>
      </c>
      <c r="G2812" s="37" t="inlineStr">
        <is>
          <t>All is Well</t>
        </is>
      </c>
    </row>
    <row r="2813">
      <c r="A2813" s="37" t="inlineStr">
        <is>
          <t>S Jakir</t>
        </is>
      </c>
      <c r="B2813" s="37" t="inlineStr">
        <is>
          <t xml:space="preserve">K R Puram </t>
        </is>
      </c>
      <c r="C2813" s="37" t="inlineStr">
        <is>
          <t>GROW Youth</t>
        </is>
      </c>
      <c r="D2813" s="37" t="inlineStr">
        <is>
          <t>2026-07-07</t>
        </is>
      </c>
      <c r="E2813" s="37" t="inlineStr">
        <is>
          <t>Process Check</t>
        </is>
      </c>
      <c r="F2813" s="37" t="inlineStr">
        <is>
          <t>Check if any hiring is delayed and plan a resolution.</t>
        </is>
      </c>
      <c r="G2813" s="37" t="inlineStr">
        <is>
          <t>All is Well</t>
        </is>
      </c>
    </row>
    <row r="2814">
      <c r="A2814" s="37" t="inlineStr">
        <is>
          <t>S Jakir</t>
        </is>
      </c>
      <c r="B2814" s="37" t="inlineStr">
        <is>
          <t xml:space="preserve">K R Puram </t>
        </is>
      </c>
      <c r="C2814" s="37" t="inlineStr">
        <is>
          <t>GROW Youth</t>
        </is>
      </c>
      <c r="D2814" s="37" t="inlineStr">
        <is>
          <t>2026-07-07</t>
        </is>
      </c>
      <c r="E2814" s="37" t="inlineStr">
        <is>
          <t>Process Check</t>
        </is>
      </c>
      <c r="F2814" s="37" t="inlineStr">
        <is>
          <t>Check the CA’s diary — is CA guided daily by the AH during planning days?</t>
        </is>
      </c>
      <c r="G2814" s="37" t="inlineStr">
        <is>
          <t>All is Well</t>
        </is>
      </c>
    </row>
    <row r="2815">
      <c r="A2815" s="37" t="inlineStr">
        <is>
          <t>S Jakir</t>
        </is>
      </c>
      <c r="B2815" s="37" t="inlineStr">
        <is>
          <t xml:space="preserve">K R Puram </t>
        </is>
      </c>
      <c r="C2815" s="37" t="inlineStr">
        <is>
          <t>GROW Youth</t>
        </is>
      </c>
      <c r="D2815" s="37" t="inlineStr">
        <is>
          <t>2026-07-07</t>
        </is>
      </c>
      <c r="E2815" s="37" t="inlineStr">
        <is>
          <t>Process Check</t>
        </is>
      </c>
      <c r="F2815" s="37" t="inlineStr">
        <is>
          <t>Check the AH is regularly meeting employers (in person and online) and updating the centre’s Top 20 Employer format.</t>
        </is>
      </c>
      <c r="G2815" s="37" t="inlineStr">
        <is>
          <t>All is Well</t>
        </is>
      </c>
    </row>
    <row r="2816">
      <c r="A2816" s="37" t="inlineStr">
        <is>
          <t>S Jakir</t>
        </is>
      </c>
      <c r="B2816" s="37" t="inlineStr">
        <is>
          <t xml:space="preserve">K R Puram </t>
        </is>
      </c>
      <c r="C2816" s="37" t="inlineStr">
        <is>
          <t>GROW Youth</t>
        </is>
      </c>
      <c r="D2816" s="37" t="inlineStr">
        <is>
          <t>2026-07-07</t>
        </is>
      </c>
      <c r="E2816" s="37" t="inlineStr">
        <is>
          <t>Process Check</t>
        </is>
      </c>
      <c r="F2816" s="37" t="inlineStr">
        <is>
          <t>Confirm all new employers are registered on portal as per new process.</t>
        </is>
      </c>
      <c r="G2816" s="37" t="inlineStr">
        <is>
          <t>All is Well</t>
        </is>
      </c>
    </row>
    <row r="2817">
      <c r="A2817" s="37" t="inlineStr">
        <is>
          <t>S Jakir</t>
        </is>
      </c>
      <c r="B2817" s="37" t="inlineStr">
        <is>
          <t xml:space="preserve">K R Puram </t>
        </is>
      </c>
      <c r="C2817" s="37" t="inlineStr">
        <is>
          <t>GROW Youth</t>
        </is>
      </c>
      <c r="D2817" s="37" t="inlineStr">
        <is>
          <t>2026-07-07</t>
        </is>
      </c>
      <c r="E2817" s="37" t="inlineStr">
        <is>
          <t>Process Check</t>
        </is>
      </c>
      <c r="F2817" s="37" t="inlineStr">
        <is>
          <t>Confirm 100% of enrolled students undergone screening (for technical courses).</t>
        </is>
      </c>
      <c r="G2817" s="37" t="inlineStr">
        <is>
          <t>Not Applicable</t>
        </is>
      </c>
    </row>
    <row r="2818">
      <c r="A2818" s="37" t="inlineStr">
        <is>
          <t>S Jakir</t>
        </is>
      </c>
      <c r="B2818" s="37" t="inlineStr">
        <is>
          <t xml:space="preserve">K R Puram </t>
        </is>
      </c>
      <c r="C2818" s="37" t="inlineStr">
        <is>
          <t>GROW Youth</t>
        </is>
      </c>
      <c r="D2818" s="37" t="inlineStr">
        <is>
          <t>2026-07-07</t>
        </is>
      </c>
      <c r="E2818" s="37" t="inlineStr">
        <is>
          <t>Process Check</t>
        </is>
      </c>
      <c r="F2818" s="37" t="inlineStr">
        <is>
          <t>Confirm ESA is done (in GROW full ESA and in Technical courses relevant sections of Core Employability Part).</t>
        </is>
      </c>
      <c r="G2818" s="37" t="inlineStr">
        <is>
          <t>All is Well</t>
        </is>
      </c>
    </row>
    <row r="2819">
      <c r="A2819" s="37" t="inlineStr">
        <is>
          <t>S Jakir</t>
        </is>
      </c>
      <c r="B2819" s="37" t="inlineStr">
        <is>
          <t xml:space="preserve">K R Puram </t>
        </is>
      </c>
      <c r="C2819" s="37" t="inlineStr">
        <is>
          <t>GROW Youth</t>
        </is>
      </c>
      <c r="D2819" s="37" t="inlineStr">
        <is>
          <t>2026-07-07</t>
        </is>
      </c>
      <c r="E2819" s="37" t="inlineStr">
        <is>
          <t>Process Check</t>
        </is>
      </c>
      <c r="F2819" s="37" t="inlineStr">
        <is>
          <t>Check is AH giving capstone project in GROW Tech.</t>
        </is>
      </c>
      <c r="G2819" s="37" t="inlineStr">
        <is>
          <t>Not Applicable</t>
        </is>
      </c>
    </row>
    <row r="2820">
      <c r="A2820" s="37" t="inlineStr">
        <is>
          <t>S Jakir</t>
        </is>
      </c>
      <c r="B2820" s="37" t="inlineStr">
        <is>
          <t xml:space="preserve">K R Puram </t>
        </is>
      </c>
      <c r="C2820" s="37" t="inlineStr">
        <is>
          <t>GROW Youth</t>
        </is>
      </c>
      <c r="D2820" s="37" t="inlineStr">
        <is>
          <t>2026-07-07</t>
        </is>
      </c>
      <c r="E2820" s="37" t="inlineStr">
        <is>
          <t>Process Check</t>
        </is>
      </c>
      <c r="F2820" s="37" t="inlineStr">
        <is>
          <t>Check is AH planning OJT as per guidelines and proofs are collected for technical courses.</t>
        </is>
      </c>
      <c r="G2820" s="37" t="inlineStr">
        <is>
          <t>Not Applicable</t>
        </is>
      </c>
    </row>
    <row r="2821">
      <c r="A2821" s="37" t="inlineStr">
        <is>
          <t>S Jakir</t>
        </is>
      </c>
      <c r="B2821" s="37" t="inlineStr">
        <is>
          <t xml:space="preserve">K R Puram </t>
        </is>
      </c>
      <c r="C2821" s="37" t="inlineStr">
        <is>
          <t>GROW Youth</t>
        </is>
      </c>
      <c r="D2821" s="37" t="inlineStr">
        <is>
          <t>2026-07-07</t>
        </is>
      </c>
      <c r="E2821" s="37" t="inlineStr">
        <is>
          <t>Process Check</t>
        </is>
      </c>
      <c r="F2821" s="37" t="inlineStr">
        <is>
          <t>Check are trainers contacting aspirants to find reason for their absenteeism of more than 1 day.</t>
        </is>
      </c>
      <c r="G2821" s="37" t="inlineStr">
        <is>
          <t>All is Well</t>
        </is>
      </c>
    </row>
    <row r="2822">
      <c r="A2822" s="37" t="inlineStr">
        <is>
          <t>S Jakir</t>
        </is>
      </c>
      <c r="B2822" s="37" t="inlineStr">
        <is>
          <t xml:space="preserve">K R Puram </t>
        </is>
      </c>
      <c r="C2822" s="37" t="inlineStr">
        <is>
          <t>GROW Youth</t>
        </is>
      </c>
      <c r="D2822" s="37" t="inlineStr">
        <is>
          <t>2026-07-07</t>
        </is>
      </c>
      <c r="E2822" s="37" t="inlineStr">
        <is>
          <t>Process Check</t>
        </is>
      </c>
      <c r="F2822" s="37" t="inlineStr">
        <is>
          <t>Check the AH plans monthly enrolment and placement numbers by the 3rd of each month and shares them with second level managers.</t>
        </is>
      </c>
      <c r="G2822" s="37" t="inlineStr">
        <is>
          <t>All is Well</t>
        </is>
      </c>
    </row>
    <row r="2823">
      <c r="A2823" s="37" t="inlineStr">
        <is>
          <t>S Jakir</t>
        </is>
      </c>
      <c r="B2823" s="37" t="inlineStr">
        <is>
          <t xml:space="preserve">K R Puram </t>
        </is>
      </c>
      <c r="C2823" s="37" t="inlineStr">
        <is>
          <t>GROW Youth</t>
        </is>
      </c>
      <c r="D2823" s="37" t="inlineStr">
        <is>
          <t>2026-07-07</t>
        </is>
      </c>
      <c r="E2823" s="37" t="inlineStr">
        <is>
          <t>Process Check</t>
        </is>
      </c>
      <c r="F2823" s="37" t="inlineStr">
        <is>
          <t>Check trainers submit aspirants’ placement interest areas to the AH by the batch’s 25th day (in GROW).</t>
        </is>
      </c>
      <c r="G2823" s="37" t="inlineStr">
        <is>
          <t>All is Well</t>
        </is>
      </c>
    </row>
    <row r="2824">
      <c r="A2824" s="37" t="inlineStr">
        <is>
          <t>S Jakir</t>
        </is>
      </c>
      <c r="B2824" s="37" t="inlineStr">
        <is>
          <t xml:space="preserve">K R Puram </t>
        </is>
      </c>
      <c r="C2824" s="37" t="inlineStr">
        <is>
          <t>GROW Youth</t>
        </is>
      </c>
      <c r="D2824" s="37" t="inlineStr">
        <is>
          <t>2026-07-07</t>
        </is>
      </c>
      <c r="E2824" s="37" t="inlineStr">
        <is>
          <t>Process Check</t>
        </is>
      </c>
      <c r="F2824" s="37" t="inlineStr">
        <is>
          <t>Ckeck For technical programs, placement is done only in technical jobs,on which aspirants are trained and relevant emplyers are identified by 45th day.</t>
        </is>
      </c>
      <c r="G2824" s="37" t="inlineStr">
        <is>
          <t>Not Applicable</t>
        </is>
      </c>
    </row>
    <row r="2825">
      <c r="A2825" s="37" t="inlineStr">
        <is>
          <t>S Jakir</t>
        </is>
      </c>
      <c r="B2825" s="37" t="inlineStr">
        <is>
          <t xml:space="preserve">K R Puram </t>
        </is>
      </c>
      <c r="C2825" s="37" t="inlineStr">
        <is>
          <t>GROW Youth</t>
        </is>
      </c>
      <c r="D2825" s="37" t="inlineStr">
        <is>
          <t>2026-07-07</t>
        </is>
      </c>
      <c r="E2825" s="37" t="inlineStr">
        <is>
          <t>Process Check</t>
        </is>
      </c>
      <c r="F2825" s="37" t="inlineStr">
        <is>
          <t>Check the AH follows EP guidelines and minimum benchmark salary guidelines.</t>
        </is>
      </c>
      <c r="G2825" s="37" t="inlineStr">
        <is>
          <t>Need Improvement</t>
        </is>
      </c>
    </row>
    <row r="2826">
      <c r="A2826" s="37" t="inlineStr">
        <is>
          <t>S Jakir</t>
        </is>
      </c>
      <c r="B2826" s="37" t="inlineStr">
        <is>
          <t xml:space="preserve">K R Puram </t>
        </is>
      </c>
      <c r="C2826" s="37" t="inlineStr">
        <is>
          <t>GROW Youth</t>
        </is>
      </c>
      <c r="D2826" s="37" t="inlineStr">
        <is>
          <t>2026-07-07</t>
        </is>
      </c>
      <c r="E2826" s="37" t="inlineStr">
        <is>
          <t>Process Check</t>
        </is>
      </c>
      <c r="F2826" s="37" t="inlineStr">
        <is>
          <t>Check that AH is enrolling only the right traget group in the program -as per the defined target.</t>
        </is>
      </c>
      <c r="G2826" s="37" t="inlineStr">
        <is>
          <t>All is Well</t>
        </is>
      </c>
    </row>
    <row r="2827">
      <c r="A2827" s="37" t="inlineStr">
        <is>
          <t>S Jakir</t>
        </is>
      </c>
      <c r="B2827" s="37" t="inlineStr">
        <is>
          <t xml:space="preserve">K R Puram </t>
        </is>
      </c>
      <c r="C2827" s="37" t="inlineStr">
        <is>
          <t>GROW Youth</t>
        </is>
      </c>
      <c r="D2827" s="37" t="inlineStr">
        <is>
          <t>2026-07-07</t>
        </is>
      </c>
      <c r="E2827" s="37" t="inlineStr">
        <is>
          <t>Process Check</t>
        </is>
      </c>
      <c r="F2827" s="37" t="inlineStr">
        <is>
          <t>Check the AH announces the next batch-start date by the 3rd of the month on all notice boards — focus on Zero-Day start.</t>
        </is>
      </c>
      <c r="G2827" s="37" t="inlineStr">
        <is>
          <t>All is Well</t>
        </is>
      </c>
    </row>
    <row r="2828">
      <c r="A2828" s="37" t="inlineStr">
        <is>
          <t>S Jakir</t>
        </is>
      </c>
      <c r="B2828" s="37" t="inlineStr">
        <is>
          <t xml:space="preserve">K R Puram </t>
        </is>
      </c>
      <c r="C2828" s="37" t="inlineStr">
        <is>
          <t>GROW Youth</t>
        </is>
      </c>
      <c r="D2828" s="37" t="inlineStr">
        <is>
          <t>2026-07-07</t>
        </is>
      </c>
      <c r="E2828" s="37" t="inlineStr">
        <is>
          <t>Process Check</t>
        </is>
      </c>
      <c r="F2828" s="37" t="inlineStr">
        <is>
          <t>Check the Aspirant Mock Interview Score Tracker is updated after every mock interview in the L&amp;D Google Sheet.</t>
        </is>
      </c>
      <c r="G2828" s="37" t="inlineStr">
        <is>
          <t>All is Well</t>
        </is>
      </c>
    </row>
    <row r="2829">
      <c r="A2829" s="37" t="inlineStr">
        <is>
          <t>S Jakir</t>
        </is>
      </c>
      <c r="B2829" s="37" t="inlineStr">
        <is>
          <t xml:space="preserve">K R Puram </t>
        </is>
      </c>
      <c r="C2829" s="37" t="inlineStr">
        <is>
          <t>GROW Youth</t>
        </is>
      </c>
      <c r="D2829" s="37" t="inlineStr">
        <is>
          <t>2026-07-07</t>
        </is>
      </c>
      <c r="E2829" s="37" t="inlineStr">
        <is>
          <t>Process Check</t>
        </is>
      </c>
      <c r="F2829" s="37" t="inlineStr">
        <is>
          <t>Confirm NPS (Net Promoter Score) is collected at MSDF centres.</t>
        </is>
      </c>
      <c r="G2829" s="37" t="inlineStr">
        <is>
          <t>Not Applicable</t>
        </is>
      </c>
    </row>
    <row r="2830">
      <c r="A2830" s="37" t="inlineStr">
        <is>
          <t>S Jakir</t>
        </is>
      </c>
      <c r="B2830" s="37" t="inlineStr">
        <is>
          <t xml:space="preserve">K R Puram </t>
        </is>
      </c>
      <c r="C2830" s="37" t="inlineStr">
        <is>
          <t>GROW Youth</t>
        </is>
      </c>
      <c r="D2830" s="37" t="inlineStr">
        <is>
          <t>2026-07-07</t>
        </is>
      </c>
      <c r="E2830" s="37" t="inlineStr">
        <is>
          <t>Process Check</t>
        </is>
      </c>
      <c r="F2830" s="37" t="inlineStr">
        <is>
          <t>Confirm that QAE is collecting student feedback for every batch.</t>
        </is>
      </c>
      <c r="G2830" s="37" t="inlineStr">
        <is>
          <t>All is Well</t>
        </is>
      </c>
    </row>
    <row r="2831">
      <c r="A2831" s="37" t="inlineStr">
        <is>
          <t>S Jakir</t>
        </is>
      </c>
      <c r="B2831" s="37" t="inlineStr">
        <is>
          <t xml:space="preserve">K R Puram </t>
        </is>
      </c>
      <c r="C2831" s="37" t="inlineStr">
        <is>
          <t>GROW Youth</t>
        </is>
      </c>
      <c r="D2831" s="37" t="inlineStr">
        <is>
          <t>2026-07-07</t>
        </is>
      </c>
      <c r="E2831" s="37" t="inlineStr">
        <is>
          <t>Process Check</t>
        </is>
      </c>
      <c r="F2831" s="37" t="inlineStr">
        <is>
          <t>Confirm all centre teams have completed the GROW Manual Course on Skillfy — ask for achievement certificates.</t>
        </is>
      </c>
      <c r="G2831" s="37" t="inlineStr">
        <is>
          <t>All is Well</t>
        </is>
      </c>
    </row>
    <row r="2832">
      <c r="A2832" s="37" t="inlineStr">
        <is>
          <t>S Jakir</t>
        </is>
      </c>
      <c r="B2832" s="37" t="inlineStr">
        <is>
          <t xml:space="preserve">K R Puram </t>
        </is>
      </c>
      <c r="C2832" s="37" t="inlineStr">
        <is>
          <t>GROW Youth</t>
        </is>
      </c>
      <c r="D2832" s="37" t="inlineStr">
        <is>
          <t>2026-07-07</t>
        </is>
      </c>
      <c r="E2832" s="37" t="inlineStr">
        <is>
          <t>Process Check</t>
        </is>
      </c>
      <c r="F2832" s="37" t="inlineStr">
        <is>
          <t>Check AH holds a quality weekly team meeting, documents action points in the weekly meeting format, and sends you a photo on WhatsApp.</t>
        </is>
      </c>
      <c r="G2832" s="37" t="inlineStr">
        <is>
          <t>Need Improvement</t>
        </is>
      </c>
    </row>
    <row r="2833">
      <c r="A2833" s="37" t="inlineStr">
        <is>
          <t>S Jakir</t>
        </is>
      </c>
      <c r="B2833" s="37" t="inlineStr">
        <is>
          <t xml:space="preserve">K R Puram </t>
        </is>
      </c>
      <c r="C2833" s="37" t="inlineStr">
        <is>
          <t>GROW Youth</t>
        </is>
      </c>
      <c r="D2833" s="37" t="inlineStr">
        <is>
          <t>2026-07-07</t>
        </is>
      </c>
      <c r="E2833" s="37" t="inlineStr">
        <is>
          <t>Aspirant Interaction</t>
        </is>
      </c>
      <c r="F2833" s="37" t="inlineStr">
        <is>
          <t>Ask aspirants about the session plan — confirm training is happening as planned?</t>
        </is>
      </c>
      <c r="G2833" s="37" t="inlineStr">
        <is>
          <t>All is Well</t>
        </is>
      </c>
    </row>
    <row r="2834">
      <c r="A2834" s="37" t="inlineStr">
        <is>
          <t>S Jakir</t>
        </is>
      </c>
      <c r="B2834" s="37" t="inlineStr">
        <is>
          <t xml:space="preserve">K R Puram </t>
        </is>
      </c>
      <c r="C2834" s="37" t="inlineStr">
        <is>
          <t>GROW Youth</t>
        </is>
      </c>
      <c r="D2834" s="37" t="inlineStr">
        <is>
          <t>2026-07-07</t>
        </is>
      </c>
      <c r="E2834" s="37" t="inlineStr">
        <is>
          <t>Aspirant Interaction</t>
        </is>
      </c>
      <c r="F2834" s="37" t="inlineStr">
        <is>
          <t>Ask about the quality of Core Employability component delivery (technical centres) and who delivers it.</t>
        </is>
      </c>
      <c r="G2834" s="37" t="inlineStr">
        <is>
          <t>Not Applicable</t>
        </is>
      </c>
    </row>
    <row r="2835">
      <c r="A2835" s="37" t="inlineStr">
        <is>
          <t>S Jakir</t>
        </is>
      </c>
      <c r="B2835" s="37" t="inlineStr">
        <is>
          <t xml:space="preserve">K R Puram </t>
        </is>
      </c>
      <c r="C2835" s="37" t="inlineStr">
        <is>
          <t>GROW Youth</t>
        </is>
      </c>
      <c r="D2835" s="37" t="inlineStr">
        <is>
          <t>2026-07-07</t>
        </is>
      </c>
      <c r="E2835" s="37" t="inlineStr">
        <is>
          <t>Aspirant Interaction</t>
        </is>
      </c>
      <c r="F2835" s="37" t="inlineStr">
        <is>
          <t>Ask whether they are aware of the referral scheme?</t>
        </is>
      </c>
      <c r="G2835" s="37" t="inlineStr">
        <is>
          <t>All is Well</t>
        </is>
      </c>
    </row>
    <row r="2836">
      <c r="A2836" s="37" t="inlineStr">
        <is>
          <t>S Jakir</t>
        </is>
      </c>
      <c r="B2836" s="37" t="inlineStr">
        <is>
          <t xml:space="preserve">K R Puram </t>
        </is>
      </c>
      <c r="C2836" s="37" t="inlineStr">
        <is>
          <t>GROW Youth</t>
        </is>
      </c>
      <c r="D2836" s="37" t="inlineStr">
        <is>
          <t>2026-07-07</t>
        </is>
      </c>
      <c r="E2836" s="37" t="inlineStr">
        <is>
          <t>Aspirant Interaction</t>
        </is>
      </c>
      <c r="F2836" s="37" t="inlineStr">
        <is>
          <t>Ask whether the AH explained the importance of the offer letter and sharing it with us once received for reporting purposes?</t>
        </is>
      </c>
      <c r="G2836" s="37" t="inlineStr">
        <is>
          <t>All is Well</t>
        </is>
      </c>
    </row>
    <row r="2837">
      <c r="A2837" s="37" t="inlineStr">
        <is>
          <t>S Jakir</t>
        </is>
      </c>
      <c r="B2837" s="37" t="inlineStr">
        <is>
          <t xml:space="preserve">K R Puram </t>
        </is>
      </c>
      <c r="C2837" s="37" t="inlineStr">
        <is>
          <t>GROW Youth</t>
        </is>
      </c>
      <c r="D2837" s="37" t="inlineStr">
        <is>
          <t>2026-07-07</t>
        </is>
      </c>
      <c r="E2837" s="37" t="inlineStr">
        <is>
          <t>Aspirant Interaction</t>
        </is>
      </c>
      <c r="F2837" s="37" t="inlineStr">
        <is>
          <t>Ask how many are not interested in jobs — and if so, why they enrolled in the programme?</t>
        </is>
      </c>
      <c r="G2837" s="37" t="inlineStr">
        <is>
          <t>All is Well</t>
        </is>
      </c>
    </row>
    <row r="2838">
      <c r="A2838" s="37" t="inlineStr">
        <is>
          <t>S Jakir</t>
        </is>
      </c>
      <c r="B2838" s="37" t="inlineStr">
        <is>
          <t xml:space="preserve">K R Puram </t>
        </is>
      </c>
      <c r="C2838" s="37" t="inlineStr">
        <is>
          <t>GROW Youth</t>
        </is>
      </c>
      <c r="D2838" s="37" t="inlineStr">
        <is>
          <t>2026-07-07</t>
        </is>
      </c>
      <c r="E2838" s="37" t="inlineStr">
        <is>
          <t>Aspirant Interaction</t>
        </is>
      </c>
      <c r="F2838" s="37" t="inlineStr">
        <is>
          <t>Ask whether they were told the kind of job they would get during counselling?</t>
        </is>
      </c>
      <c r="G2838" s="37" t="inlineStr">
        <is>
          <t>All is Well</t>
        </is>
      </c>
    </row>
    <row r="2839">
      <c r="A2839" s="37" t="inlineStr">
        <is>
          <t>S Jakir</t>
        </is>
      </c>
      <c r="B2839" s="37" t="inlineStr">
        <is>
          <t xml:space="preserve">K R Puram </t>
        </is>
      </c>
      <c r="C2839" s="37" t="inlineStr">
        <is>
          <t>GROW Youth</t>
        </is>
      </c>
      <c r="D2839" s="37" t="inlineStr">
        <is>
          <t>2026-07-07</t>
        </is>
      </c>
      <c r="E2839" s="37" t="inlineStr">
        <is>
          <t>Aspirant Interaction</t>
        </is>
      </c>
      <c r="F2839" s="37" t="inlineStr">
        <is>
          <t>Ask whether they have been given LMS access?</t>
        </is>
      </c>
      <c r="G2839" s="37" t="inlineStr">
        <is>
          <t>All is Well</t>
        </is>
      </c>
    </row>
    <row r="2840">
      <c r="A2840" s="37" t="inlineStr">
        <is>
          <t>S Jakir</t>
        </is>
      </c>
      <c r="B2840" s="37" t="inlineStr">
        <is>
          <t xml:space="preserve">K R Puram </t>
        </is>
      </c>
      <c r="C2840" s="37" t="inlineStr">
        <is>
          <t>GROW Youth</t>
        </is>
      </c>
      <c r="D2840" s="37" t="inlineStr">
        <is>
          <t>2026-07-07</t>
        </is>
      </c>
      <c r="E2840" s="37" t="inlineStr">
        <is>
          <t>Aspirant Interaction</t>
        </is>
      </c>
      <c r="F2840" s="37" t="inlineStr">
        <is>
          <t>Ask whether anyone asked them for money for training or placement?</t>
        </is>
      </c>
      <c r="G2840" s="37" t="inlineStr">
        <is>
          <t>All is Well</t>
        </is>
      </c>
    </row>
    <row r="2841">
      <c r="A2841" s="37" t="inlineStr">
        <is>
          <t>S Jakir</t>
        </is>
      </c>
      <c r="B2841" s="37" t="inlineStr">
        <is>
          <t xml:space="preserve">K R Puram </t>
        </is>
      </c>
      <c r="C2841" s="37" t="inlineStr">
        <is>
          <t>GROW Youth</t>
        </is>
      </c>
      <c r="D2841" s="37" t="inlineStr">
        <is>
          <t>2026-07-07</t>
        </is>
      </c>
      <c r="E2841" s="37" t="inlineStr">
        <is>
          <t>Aspirant Interaction</t>
        </is>
      </c>
      <c r="F2841" s="37" t="inlineStr">
        <is>
          <t>Ask to show their mobile phones — are they enrolled on Skillfy? If not, get them enrolled and give written feedback to trainers and the AH in your presence.</t>
        </is>
      </c>
      <c r="G2841" s="37" t="inlineStr">
        <is>
          <t>All is Well</t>
        </is>
      </c>
    </row>
    <row r="2842">
      <c r="A2842" s="37" t="inlineStr">
        <is>
          <t>S Jakir</t>
        </is>
      </c>
      <c r="B2842" s="37" t="inlineStr">
        <is>
          <t xml:space="preserve">K R Puram </t>
        </is>
      </c>
      <c r="C2842" s="37" t="inlineStr">
        <is>
          <t>GROW Youth</t>
        </is>
      </c>
      <c r="D2842" s="37" t="inlineStr">
        <is>
          <t>2026-07-07</t>
        </is>
      </c>
      <c r="E2842" s="37" t="inlineStr">
        <is>
          <t>Aspirant Interaction</t>
        </is>
      </c>
      <c r="F2842" s="37" t="inlineStr">
        <is>
          <t>Ask about the quality of the hostel and any issues they face.</t>
        </is>
      </c>
      <c r="G2842" s="37" t="inlineStr">
        <is>
          <t>All is Well</t>
        </is>
      </c>
    </row>
    <row r="2843">
      <c r="A2843" s="37" t="inlineStr">
        <is>
          <t>S Jakir</t>
        </is>
      </c>
      <c r="B2843" s="37" t="inlineStr">
        <is>
          <t xml:space="preserve">K R Puram </t>
        </is>
      </c>
      <c r="C2843" s="37" t="inlineStr">
        <is>
          <t>GROW Youth</t>
        </is>
      </c>
      <c r="D2843" s="37" t="inlineStr">
        <is>
          <t>2026-07-07</t>
        </is>
      </c>
      <c r="E2843" s="37" t="inlineStr">
        <is>
          <t>Aspirant Interaction</t>
        </is>
      </c>
      <c r="F2843" s="37" t="inlineStr">
        <is>
          <t>Ask a few relevant screening questions to support the 10th-day report and remove non-serious candidates, explaining to them the reasons.</t>
        </is>
      </c>
      <c r="G2843" s="37" t="inlineStr">
        <is>
          <t>All is Well</t>
        </is>
      </c>
    </row>
    <row r="2844">
      <c r="A2844" s="37" t="inlineStr">
        <is>
          <t>S Jakir</t>
        </is>
      </c>
      <c r="B2844" s="37" t="inlineStr">
        <is>
          <t>Marathahalli</t>
        </is>
      </c>
      <c r="C2844" s="37" t="inlineStr">
        <is>
          <t>GROW Youth</t>
        </is>
      </c>
      <c r="D2844" s="37" t="inlineStr">
        <is>
          <t>2026-07-06</t>
        </is>
      </c>
      <c r="E2844" s="37" t="inlineStr">
        <is>
          <t>Data Check</t>
        </is>
      </c>
      <c r="F2844" s="37" t="inlineStr">
        <is>
          <t>Reach the centre on time (unannounced) — confirm the centre opened on time.</t>
        </is>
      </c>
      <c r="G2844" s="37" t="inlineStr">
        <is>
          <t>All is Well</t>
        </is>
      </c>
    </row>
    <row r="2845">
      <c r="A2845" s="37" t="inlineStr">
        <is>
          <t>S Jakir</t>
        </is>
      </c>
      <c r="B2845" s="37" t="inlineStr">
        <is>
          <t>Marathahalli</t>
        </is>
      </c>
      <c r="C2845" s="37" t="inlineStr">
        <is>
          <t>GROW Youth</t>
        </is>
      </c>
      <c r="D2845" s="37" t="inlineStr">
        <is>
          <t>2026-07-06</t>
        </is>
      </c>
      <c r="E2845" s="37" t="inlineStr">
        <is>
          <t>Data Check</t>
        </is>
      </c>
      <c r="F2845" s="37" t="inlineStr">
        <is>
          <t>Check the staff attendance register, the Google Sheet, and geo-tagged photos for aspirants.</t>
        </is>
      </c>
      <c r="G2845" s="37" t="inlineStr">
        <is>
          <t>Need Improvement</t>
        </is>
      </c>
    </row>
    <row r="2846">
      <c r="A2846" s="37" t="inlineStr">
        <is>
          <t>S Jakir</t>
        </is>
      </c>
      <c r="B2846" s="37" t="inlineStr">
        <is>
          <t>Marathahalli</t>
        </is>
      </c>
      <c r="C2846" s="37" t="inlineStr">
        <is>
          <t>GROW Youth</t>
        </is>
      </c>
      <c r="D2846" s="37" t="inlineStr">
        <is>
          <t>2026-07-06</t>
        </is>
      </c>
      <c r="E2846" s="37" t="inlineStr">
        <is>
          <t>Data Check</t>
        </is>
      </c>
      <c r="F2846" s="37" t="inlineStr">
        <is>
          <t>Check Counselling and Screening Forms of recently started batches.</t>
        </is>
      </c>
      <c r="G2846" s="37" t="inlineStr">
        <is>
          <t>All is Well</t>
        </is>
      </c>
    </row>
    <row r="2847">
      <c r="A2847" s="37" t="inlineStr">
        <is>
          <t>S Jakir</t>
        </is>
      </c>
      <c r="B2847" s="37" t="inlineStr">
        <is>
          <t>Marathahalli</t>
        </is>
      </c>
      <c r="C2847" s="37" t="inlineStr">
        <is>
          <t>GROW Youth</t>
        </is>
      </c>
      <c r="D2847" s="37" t="inlineStr">
        <is>
          <t>2026-07-06</t>
        </is>
      </c>
      <c r="E2847" s="37" t="inlineStr">
        <is>
          <t>Data Check</t>
        </is>
      </c>
      <c r="F2847" s="37" t="inlineStr">
        <is>
          <t>Check Aspirant Registration Forms and related documents.</t>
        </is>
      </c>
      <c r="G2847" s="37" t="inlineStr">
        <is>
          <t>All is Well</t>
        </is>
      </c>
    </row>
    <row r="2848">
      <c r="A2848" s="37" t="inlineStr">
        <is>
          <t>S Jakir</t>
        </is>
      </c>
      <c r="B2848" s="37" t="inlineStr">
        <is>
          <t>Marathahalli</t>
        </is>
      </c>
      <c r="C2848" s="37" t="inlineStr">
        <is>
          <t>GROW Youth</t>
        </is>
      </c>
      <c r="D2848" s="37" t="inlineStr">
        <is>
          <t>2026-07-06</t>
        </is>
      </c>
      <c r="E2848" s="37" t="inlineStr">
        <is>
          <t>Data Check</t>
        </is>
      </c>
      <c r="F2848" s="37" t="inlineStr">
        <is>
          <t>On the GROW portal, confirm all student profile details and batch updates are currect.</t>
        </is>
      </c>
      <c r="G2848" s="37" t="inlineStr">
        <is>
          <t>All is Well</t>
        </is>
      </c>
    </row>
    <row r="2849">
      <c r="A2849" s="37" t="inlineStr">
        <is>
          <t>S Jakir</t>
        </is>
      </c>
      <c r="B2849" s="37" t="inlineStr">
        <is>
          <t>Marathahalli</t>
        </is>
      </c>
      <c r="C2849" s="37" t="inlineStr">
        <is>
          <t>GROW Youth</t>
        </is>
      </c>
      <c r="D2849" s="37" t="inlineStr">
        <is>
          <t>2026-07-06</t>
        </is>
      </c>
      <c r="E2849" s="37" t="inlineStr">
        <is>
          <t>Data Check</t>
        </is>
      </c>
      <c r="F2849" s="37" t="inlineStr">
        <is>
          <t>Verify placement data — randomly call 3–4 alumni placed in the last 3 months to confirm veracity (random selection is essential).</t>
        </is>
      </c>
      <c r="G2849" s="37" t="inlineStr">
        <is>
          <t>All is Well</t>
        </is>
      </c>
    </row>
    <row r="2850">
      <c r="A2850" s="37" t="inlineStr">
        <is>
          <t>S Jakir</t>
        </is>
      </c>
      <c r="B2850" s="37" t="inlineStr">
        <is>
          <t>Marathahalli</t>
        </is>
      </c>
      <c r="C2850" s="37" t="inlineStr">
        <is>
          <t>GROW Youth</t>
        </is>
      </c>
      <c r="D2850" s="37" t="inlineStr">
        <is>
          <t>2026-07-06</t>
        </is>
      </c>
      <c r="E2850" s="37" t="inlineStr">
        <is>
          <t>Data Check</t>
        </is>
      </c>
      <c r="F2850" s="37" t="inlineStr">
        <is>
          <t>Verify retention — check the Alumni Hand-holding Format is being updated as designed.</t>
        </is>
      </c>
      <c r="G2850" s="37" t="inlineStr">
        <is>
          <t>Need Improvement</t>
        </is>
      </c>
    </row>
    <row r="2851">
      <c r="A2851" s="37" t="inlineStr">
        <is>
          <t>S Jakir</t>
        </is>
      </c>
      <c r="B2851" s="37" t="inlineStr">
        <is>
          <t>Marathahalli</t>
        </is>
      </c>
      <c r="C2851" s="37" t="inlineStr">
        <is>
          <t>GROW Youth</t>
        </is>
      </c>
      <c r="D2851" s="37" t="inlineStr">
        <is>
          <t>2026-07-06</t>
        </is>
      </c>
      <c r="E2851" s="37" t="inlineStr">
        <is>
          <t>Data Check</t>
        </is>
      </c>
      <c r="F2851" s="37" t="inlineStr">
        <is>
          <t>Check aspirant Hostel Forms are properly filled or not.</t>
        </is>
      </c>
      <c r="G2851" s="37" t="inlineStr">
        <is>
          <t>Not Applicable</t>
        </is>
      </c>
    </row>
    <row r="2852">
      <c r="A2852" s="37" t="inlineStr">
        <is>
          <t>S Jakir</t>
        </is>
      </c>
      <c r="B2852" s="37" t="inlineStr">
        <is>
          <t>Marathahalli</t>
        </is>
      </c>
      <c r="C2852" s="37" t="inlineStr">
        <is>
          <t>GROW Youth</t>
        </is>
      </c>
      <c r="D2852" s="37" t="inlineStr">
        <is>
          <t>2026-07-06</t>
        </is>
      </c>
      <c r="E2852" s="37" t="inlineStr">
        <is>
          <t>Infra Check</t>
        </is>
      </c>
      <c r="F2852" s="37" t="inlineStr">
        <is>
          <t>Check all CCTV cameras; if any are not working, ask the AH to troubleshoot or call the vendor.</t>
        </is>
      </c>
      <c r="G2852" s="37" t="inlineStr">
        <is>
          <t>Need Improvement</t>
        </is>
      </c>
    </row>
    <row r="2853">
      <c r="A2853" s="37" t="inlineStr">
        <is>
          <t>S Jakir</t>
        </is>
      </c>
      <c r="B2853" s="37" t="inlineStr">
        <is>
          <t>Marathahalli</t>
        </is>
      </c>
      <c r="C2853" s="37" t="inlineStr">
        <is>
          <t>GROW Youth</t>
        </is>
      </c>
      <c r="D2853" s="37" t="inlineStr">
        <is>
          <t>2026-07-06</t>
        </is>
      </c>
      <c r="E2853" s="37" t="inlineStr">
        <is>
          <t>Infra Check</t>
        </is>
      </c>
      <c r="F2853" s="37" t="inlineStr">
        <is>
          <t>Check for any scrap material and get it cleared, with support of Admin</t>
        </is>
      </c>
      <c r="G2853" s="37" t="inlineStr">
        <is>
          <t>All is Well</t>
        </is>
      </c>
    </row>
    <row r="2854">
      <c r="A2854" s="37" t="inlineStr">
        <is>
          <t>S Jakir</t>
        </is>
      </c>
      <c r="B2854" s="37" t="inlineStr">
        <is>
          <t>Marathahalli</t>
        </is>
      </c>
      <c r="C2854" s="37" t="inlineStr">
        <is>
          <t>GROW Youth</t>
        </is>
      </c>
      <c r="D2854" s="37" t="inlineStr">
        <is>
          <t>2026-07-06</t>
        </is>
      </c>
      <c r="E2854" s="37" t="inlineStr">
        <is>
          <t>Infra Check</t>
        </is>
      </c>
      <c r="F2854" s="37" t="inlineStr">
        <is>
          <t>Check for any pending infra repairs.</t>
        </is>
      </c>
      <c r="G2854" s="37" t="inlineStr">
        <is>
          <t>All is Well</t>
        </is>
      </c>
    </row>
    <row r="2855">
      <c r="A2855" s="37" t="inlineStr">
        <is>
          <t>S Jakir</t>
        </is>
      </c>
      <c r="B2855" s="37" t="inlineStr">
        <is>
          <t>Marathahalli</t>
        </is>
      </c>
      <c r="C2855" s="37" t="inlineStr">
        <is>
          <t>GROW Youth</t>
        </is>
      </c>
      <c r="D2855" s="37" t="inlineStr">
        <is>
          <t>2026-07-06</t>
        </is>
      </c>
      <c r="E2855" s="37" t="inlineStr">
        <is>
          <t>Infra Check</t>
        </is>
      </c>
      <c r="F2855" s="37" t="inlineStr">
        <is>
          <t>Check whether any fire extinguishers have expired (check the needle and expiry date both).</t>
        </is>
      </c>
      <c r="G2855" s="37" t="inlineStr">
        <is>
          <t>All is Well</t>
        </is>
      </c>
    </row>
    <row r="2856">
      <c r="A2856" s="37" t="inlineStr">
        <is>
          <t>S Jakir</t>
        </is>
      </c>
      <c r="B2856" s="37" t="inlineStr">
        <is>
          <t>Marathahalli</t>
        </is>
      </c>
      <c r="C2856" s="37" t="inlineStr">
        <is>
          <t>GROW Youth</t>
        </is>
      </c>
      <c r="D2856" s="37" t="inlineStr">
        <is>
          <t>2026-07-06</t>
        </is>
      </c>
      <c r="E2856" s="37" t="inlineStr">
        <is>
          <t>Infra Check</t>
        </is>
      </c>
      <c r="F2856" s="37" t="inlineStr">
        <is>
          <t>Check basic cleanliness of the washrooms and the centre.</t>
        </is>
      </c>
      <c r="G2856" s="37" t="inlineStr">
        <is>
          <t>All is Well</t>
        </is>
      </c>
    </row>
    <row r="2857">
      <c r="A2857" s="37" t="inlineStr">
        <is>
          <t>S Jakir</t>
        </is>
      </c>
      <c r="B2857" s="37" t="inlineStr">
        <is>
          <t>Marathahalli</t>
        </is>
      </c>
      <c r="C2857" s="37" t="inlineStr">
        <is>
          <t>GROW Youth</t>
        </is>
      </c>
      <c r="D2857" s="37" t="inlineStr">
        <is>
          <t>2026-07-06</t>
        </is>
      </c>
      <c r="E2857" s="37" t="inlineStr">
        <is>
          <t>Infra Check</t>
        </is>
      </c>
      <c r="F2857" s="37" t="inlineStr">
        <is>
          <t>Confirm the correct program and partner logos are displayed.</t>
        </is>
      </c>
      <c r="G2857" s="37" t="inlineStr">
        <is>
          <t>All is Well</t>
        </is>
      </c>
    </row>
    <row r="2858">
      <c r="A2858" s="37" t="inlineStr">
        <is>
          <t>S Jakir</t>
        </is>
      </c>
      <c r="B2858" s="37" t="inlineStr">
        <is>
          <t>Marathahalli</t>
        </is>
      </c>
      <c r="C2858" s="37" t="inlineStr">
        <is>
          <t>GROW Youth</t>
        </is>
      </c>
      <c r="D2858" s="37" t="inlineStr">
        <is>
          <t>2026-07-06</t>
        </is>
      </c>
      <c r="E2858" s="37" t="inlineStr">
        <is>
          <t>Infra Check</t>
        </is>
      </c>
      <c r="F2858" s="37" t="inlineStr">
        <is>
          <t>Check the status of digital infra — PCs, smartboards, tablets, laptops, etc.</t>
        </is>
      </c>
      <c r="G2858" s="37" t="inlineStr">
        <is>
          <t>Need Improvement</t>
        </is>
      </c>
    </row>
    <row r="2859">
      <c r="A2859" s="37" t="inlineStr">
        <is>
          <t>S Jakir</t>
        </is>
      </c>
      <c r="B2859" s="37" t="inlineStr">
        <is>
          <t>Marathahalli</t>
        </is>
      </c>
      <c r="C2859" s="37" t="inlineStr">
        <is>
          <t>GROW Youth</t>
        </is>
      </c>
      <c r="D2859" s="37" t="inlineStr">
        <is>
          <t>2026-07-06</t>
        </is>
      </c>
      <c r="E2859" s="37" t="inlineStr">
        <is>
          <t>Infra Check</t>
        </is>
      </c>
      <c r="F2859" s="37" t="inlineStr">
        <is>
          <t>Make a quick hostel visit; have lunch there if possible to test the food quality.</t>
        </is>
      </c>
      <c r="G2859" s="37" t="inlineStr">
        <is>
          <t>Not Applicable</t>
        </is>
      </c>
    </row>
    <row r="2860">
      <c r="A2860" s="37" t="inlineStr">
        <is>
          <t>S Jakir</t>
        </is>
      </c>
      <c r="B2860" s="37" t="inlineStr">
        <is>
          <t>Marathahalli</t>
        </is>
      </c>
      <c r="C2860" s="37" t="inlineStr">
        <is>
          <t>GROW Youth</t>
        </is>
      </c>
      <c r="D2860" s="37" t="inlineStr">
        <is>
          <t>2026-07-06</t>
        </is>
      </c>
      <c r="E2860" s="37" t="inlineStr">
        <is>
          <t>Process Check</t>
        </is>
      </c>
      <c r="F2860" s="37" t="inlineStr">
        <is>
          <t>Refer to the activity planner — check if any activities are delayed.</t>
        </is>
      </c>
      <c r="G2860" s="37" t="inlineStr">
        <is>
          <t>Need Improvement</t>
        </is>
      </c>
    </row>
    <row r="2861">
      <c r="A2861" s="37" t="inlineStr">
        <is>
          <t>S Jakir</t>
        </is>
      </c>
      <c r="B2861" s="37" t="inlineStr">
        <is>
          <t>Marathahalli</t>
        </is>
      </c>
      <c r="C2861" s="37" t="inlineStr">
        <is>
          <t>GROW Youth</t>
        </is>
      </c>
      <c r="D2861" s="37" t="inlineStr">
        <is>
          <t>2026-07-06</t>
        </is>
      </c>
      <c r="E2861" s="37" t="inlineStr">
        <is>
          <t>Process Check</t>
        </is>
      </c>
      <c r="F2861" s="37" t="inlineStr">
        <is>
          <t>Check planning for the next batch-start announcement.</t>
        </is>
      </c>
      <c r="G2861" s="37" t="inlineStr">
        <is>
          <t>All is Well</t>
        </is>
      </c>
    </row>
    <row r="2862">
      <c r="A2862" s="37" t="inlineStr">
        <is>
          <t>S Jakir</t>
        </is>
      </c>
      <c r="B2862" s="37" t="inlineStr">
        <is>
          <t>Marathahalli</t>
        </is>
      </c>
      <c r="C2862" s="37" t="inlineStr">
        <is>
          <t>GROW Youth</t>
        </is>
      </c>
      <c r="D2862" s="37" t="inlineStr">
        <is>
          <t>2026-07-06</t>
        </is>
      </c>
      <c r="E2862" s="37" t="inlineStr">
        <is>
          <t>Process Check</t>
        </is>
      </c>
      <c r="F2862" s="37" t="inlineStr">
        <is>
          <t>Check if any hiring is delayed and plan a resolution.</t>
        </is>
      </c>
      <c r="G2862" s="37" t="inlineStr">
        <is>
          <t>All is Well</t>
        </is>
      </c>
    </row>
    <row r="2863">
      <c r="A2863" s="37" t="inlineStr">
        <is>
          <t>S Jakir</t>
        </is>
      </c>
      <c r="B2863" s="37" t="inlineStr">
        <is>
          <t>Marathahalli</t>
        </is>
      </c>
      <c r="C2863" s="37" t="inlineStr">
        <is>
          <t>GROW Youth</t>
        </is>
      </c>
      <c r="D2863" s="37" t="inlineStr">
        <is>
          <t>2026-07-06</t>
        </is>
      </c>
      <c r="E2863" s="37" t="inlineStr">
        <is>
          <t>Process Check</t>
        </is>
      </c>
      <c r="F2863" s="37" t="inlineStr">
        <is>
          <t>Check the CA’s diary — is CA guided daily by the AH during planning days?</t>
        </is>
      </c>
      <c r="G2863" s="37" t="inlineStr">
        <is>
          <t>All is Well</t>
        </is>
      </c>
    </row>
    <row r="2864">
      <c r="A2864" s="37" t="inlineStr">
        <is>
          <t>S Jakir</t>
        </is>
      </c>
      <c r="B2864" s="37" t="inlineStr">
        <is>
          <t>Marathahalli</t>
        </is>
      </c>
      <c r="C2864" s="37" t="inlineStr">
        <is>
          <t>GROW Youth</t>
        </is>
      </c>
      <c r="D2864" s="37" t="inlineStr">
        <is>
          <t>2026-07-06</t>
        </is>
      </c>
      <c r="E2864" s="37" t="inlineStr">
        <is>
          <t>Process Check</t>
        </is>
      </c>
      <c r="F2864" s="37" t="inlineStr">
        <is>
          <t>Check the AH is regularly meeting employers (in person and online) and updating the centre’s Top 20 Employer format.</t>
        </is>
      </c>
      <c r="G2864" s="37" t="inlineStr">
        <is>
          <t>Need Improvement</t>
        </is>
      </c>
    </row>
    <row r="2865">
      <c r="A2865" s="37" t="inlineStr">
        <is>
          <t>S Jakir</t>
        </is>
      </c>
      <c r="B2865" s="37" t="inlineStr">
        <is>
          <t>Marathahalli</t>
        </is>
      </c>
      <c r="C2865" s="37" t="inlineStr">
        <is>
          <t>GROW Youth</t>
        </is>
      </c>
      <c r="D2865" s="37" t="inlineStr">
        <is>
          <t>2026-07-06</t>
        </is>
      </c>
      <c r="E2865" s="37" t="inlineStr">
        <is>
          <t>Process Check</t>
        </is>
      </c>
      <c r="F2865" s="37" t="inlineStr">
        <is>
          <t>Confirm all new employers are registered on portal as per new process.</t>
        </is>
      </c>
      <c r="G2865" s="37" t="inlineStr">
        <is>
          <t>All is Well</t>
        </is>
      </c>
    </row>
    <row r="2866">
      <c r="A2866" s="37" t="inlineStr">
        <is>
          <t>S Jakir</t>
        </is>
      </c>
      <c r="B2866" s="37" t="inlineStr">
        <is>
          <t>Marathahalli</t>
        </is>
      </c>
      <c r="C2866" s="37" t="inlineStr">
        <is>
          <t>GROW Youth</t>
        </is>
      </c>
      <c r="D2866" s="37" t="inlineStr">
        <is>
          <t>2026-07-06</t>
        </is>
      </c>
      <c r="E2866" s="37" t="inlineStr">
        <is>
          <t>Process Check</t>
        </is>
      </c>
      <c r="F2866" s="37" t="inlineStr">
        <is>
          <t>Confirm 100% of enrolled students undergone screening (for technical courses).</t>
        </is>
      </c>
      <c r="G2866" s="37" t="inlineStr">
        <is>
          <t>All is Well</t>
        </is>
      </c>
    </row>
    <row r="2867">
      <c r="A2867" s="37" t="inlineStr">
        <is>
          <t>S Jakir</t>
        </is>
      </c>
      <c r="B2867" s="37" t="inlineStr">
        <is>
          <t>Marathahalli</t>
        </is>
      </c>
      <c r="C2867" s="37" t="inlineStr">
        <is>
          <t>GROW Youth</t>
        </is>
      </c>
      <c r="D2867" s="37" t="inlineStr">
        <is>
          <t>2026-07-06</t>
        </is>
      </c>
      <c r="E2867" s="37" t="inlineStr">
        <is>
          <t>Process Check</t>
        </is>
      </c>
      <c r="F2867" s="37" t="inlineStr">
        <is>
          <t>Confirm ESA is done (in GROW full ESA and in Technical courses relevant sections of Core Employability Part).</t>
        </is>
      </c>
      <c r="G2867" s="37" t="inlineStr">
        <is>
          <t>All is Well</t>
        </is>
      </c>
    </row>
    <row r="2868">
      <c r="A2868" s="37" t="inlineStr">
        <is>
          <t>S Jakir</t>
        </is>
      </c>
      <c r="B2868" s="37" t="inlineStr">
        <is>
          <t>Marathahalli</t>
        </is>
      </c>
      <c r="C2868" s="37" t="inlineStr">
        <is>
          <t>GROW Youth</t>
        </is>
      </c>
      <c r="D2868" s="37" t="inlineStr">
        <is>
          <t>2026-07-06</t>
        </is>
      </c>
      <c r="E2868" s="37" t="inlineStr">
        <is>
          <t>Process Check</t>
        </is>
      </c>
      <c r="F2868" s="37" t="inlineStr">
        <is>
          <t>Check is AH giving capstone project in GROW Tech.</t>
        </is>
      </c>
      <c r="G2868" s="37" t="inlineStr">
        <is>
          <t>All is Well</t>
        </is>
      </c>
    </row>
    <row r="2869">
      <c r="A2869" s="37" t="inlineStr">
        <is>
          <t>S Jakir</t>
        </is>
      </c>
      <c r="B2869" s="37" t="inlineStr">
        <is>
          <t>Marathahalli</t>
        </is>
      </c>
      <c r="C2869" s="37" t="inlineStr">
        <is>
          <t>GROW Youth</t>
        </is>
      </c>
      <c r="D2869" s="37" t="inlineStr">
        <is>
          <t>2026-07-06</t>
        </is>
      </c>
      <c r="E2869" s="37" t="inlineStr">
        <is>
          <t>Process Check</t>
        </is>
      </c>
      <c r="F2869" s="37" t="inlineStr">
        <is>
          <t>Check is AH planning OJT as per guidelines and proofs are collected for technical courses.</t>
        </is>
      </c>
      <c r="G2869" s="37" t="inlineStr">
        <is>
          <t>All is Well</t>
        </is>
      </c>
    </row>
    <row r="2870">
      <c r="A2870" s="37" t="inlineStr">
        <is>
          <t>S Jakir</t>
        </is>
      </c>
      <c r="B2870" s="37" t="inlineStr">
        <is>
          <t>Marathahalli</t>
        </is>
      </c>
      <c r="C2870" s="37" t="inlineStr">
        <is>
          <t>GROW Youth</t>
        </is>
      </c>
      <c r="D2870" s="37" t="inlineStr">
        <is>
          <t>2026-07-06</t>
        </is>
      </c>
      <c r="E2870" s="37" t="inlineStr">
        <is>
          <t>Process Check</t>
        </is>
      </c>
      <c r="F2870" s="37" t="inlineStr">
        <is>
          <t>Check are trainers contacting aspirants to find reason for their absenteeism of more than 1 day.</t>
        </is>
      </c>
      <c r="G2870" s="37" t="inlineStr">
        <is>
          <t>Need Improvement</t>
        </is>
      </c>
    </row>
    <row r="2871">
      <c r="A2871" s="37" t="inlineStr">
        <is>
          <t>S Jakir</t>
        </is>
      </c>
      <c r="B2871" s="37" t="inlineStr">
        <is>
          <t>Marathahalli</t>
        </is>
      </c>
      <c r="C2871" s="37" t="inlineStr">
        <is>
          <t>GROW Youth</t>
        </is>
      </c>
      <c r="D2871" s="37" t="inlineStr">
        <is>
          <t>2026-07-06</t>
        </is>
      </c>
      <c r="E2871" s="37" t="inlineStr">
        <is>
          <t>Process Check</t>
        </is>
      </c>
      <c r="F2871" s="37" t="inlineStr">
        <is>
          <t>Check the AH plans monthly enrolment and placement numbers by the 3rd of each month and shares them with second level managers.</t>
        </is>
      </c>
      <c r="G2871" s="37" t="inlineStr">
        <is>
          <t>All is Well</t>
        </is>
      </c>
    </row>
    <row r="2872">
      <c r="A2872" s="37" t="inlineStr">
        <is>
          <t>S Jakir</t>
        </is>
      </c>
      <c r="B2872" s="37" t="inlineStr">
        <is>
          <t>Marathahalli</t>
        </is>
      </c>
      <c r="C2872" s="37" t="inlineStr">
        <is>
          <t>GROW Youth</t>
        </is>
      </c>
      <c r="D2872" s="37" t="inlineStr">
        <is>
          <t>2026-07-06</t>
        </is>
      </c>
      <c r="E2872" s="37" t="inlineStr">
        <is>
          <t>Process Check</t>
        </is>
      </c>
      <c r="F2872" s="37" t="inlineStr">
        <is>
          <t>Check trainers submit aspirants’ placement interest areas to the AH by the batch’s 25th day (in GROW).</t>
        </is>
      </c>
      <c r="G2872" s="37" t="inlineStr">
        <is>
          <t>Not Applicable</t>
        </is>
      </c>
    </row>
    <row r="2873">
      <c r="A2873" s="37" t="inlineStr">
        <is>
          <t>S Jakir</t>
        </is>
      </c>
      <c r="B2873" s="37" t="inlineStr">
        <is>
          <t>Marathahalli</t>
        </is>
      </c>
      <c r="C2873" s="37" t="inlineStr">
        <is>
          <t>GROW Youth</t>
        </is>
      </c>
      <c r="D2873" s="37" t="inlineStr">
        <is>
          <t>2026-07-06</t>
        </is>
      </c>
      <c r="E2873" s="37" t="inlineStr">
        <is>
          <t>Process Check</t>
        </is>
      </c>
      <c r="F2873" s="37" t="inlineStr">
        <is>
          <t>Ckeck For technical programs, placement is done only in technical jobs,on which aspirants are trained and relevant emplyers are identified by 45th day.</t>
        </is>
      </c>
      <c r="G2873" s="37" t="inlineStr">
        <is>
          <t>All is Well</t>
        </is>
      </c>
    </row>
    <row r="2874">
      <c r="A2874" s="37" t="inlineStr">
        <is>
          <t>S Jakir</t>
        </is>
      </c>
      <c r="B2874" s="37" t="inlineStr">
        <is>
          <t>Marathahalli</t>
        </is>
      </c>
      <c r="C2874" s="37" t="inlineStr">
        <is>
          <t>GROW Youth</t>
        </is>
      </c>
      <c r="D2874" s="37" t="inlineStr">
        <is>
          <t>2026-07-06</t>
        </is>
      </c>
      <c r="E2874" s="37" t="inlineStr">
        <is>
          <t>Process Check</t>
        </is>
      </c>
      <c r="F2874" s="37" t="inlineStr">
        <is>
          <t>Check the AH follows EP guidelines and minimum benchmark salary guidelines.</t>
        </is>
      </c>
      <c r="G2874" s="37" t="inlineStr">
        <is>
          <t>Need Improvement</t>
        </is>
      </c>
    </row>
    <row r="2875">
      <c r="A2875" s="37" t="inlineStr">
        <is>
          <t>S Jakir</t>
        </is>
      </c>
      <c r="B2875" s="37" t="inlineStr">
        <is>
          <t>Marathahalli</t>
        </is>
      </c>
      <c r="C2875" s="37" t="inlineStr">
        <is>
          <t>GROW Youth</t>
        </is>
      </c>
      <c r="D2875" s="37" t="inlineStr">
        <is>
          <t>2026-07-06</t>
        </is>
      </c>
      <c r="E2875" s="37" t="inlineStr">
        <is>
          <t>Process Check</t>
        </is>
      </c>
      <c r="F2875" s="37" t="inlineStr">
        <is>
          <t>Check that AH is enrolling only the right traget group in the program -as per the defined target.</t>
        </is>
      </c>
      <c r="G2875" s="37" t="inlineStr">
        <is>
          <t>All is Well</t>
        </is>
      </c>
    </row>
    <row r="2876">
      <c r="A2876" s="37" t="inlineStr">
        <is>
          <t>S Jakir</t>
        </is>
      </c>
      <c r="B2876" s="37" t="inlineStr">
        <is>
          <t>Marathahalli</t>
        </is>
      </c>
      <c r="C2876" s="37" t="inlineStr">
        <is>
          <t>GROW Youth</t>
        </is>
      </c>
      <c r="D2876" s="37" t="inlineStr">
        <is>
          <t>2026-07-06</t>
        </is>
      </c>
      <c r="E2876" s="37" t="inlineStr">
        <is>
          <t>Process Check</t>
        </is>
      </c>
      <c r="F2876" s="37" t="inlineStr">
        <is>
          <t>Check the AH announces the next batch-start date by the 3rd of the month on all notice boards — focus on Zero-Day start.</t>
        </is>
      </c>
      <c r="G2876" s="37" t="inlineStr">
        <is>
          <t>All is Well</t>
        </is>
      </c>
    </row>
    <row r="2877">
      <c r="A2877" s="37" t="inlineStr">
        <is>
          <t>S Jakir</t>
        </is>
      </c>
      <c r="B2877" s="37" t="inlineStr">
        <is>
          <t>Marathahalli</t>
        </is>
      </c>
      <c r="C2877" s="37" t="inlineStr">
        <is>
          <t>GROW Youth</t>
        </is>
      </c>
      <c r="D2877" s="37" t="inlineStr">
        <is>
          <t>2026-07-06</t>
        </is>
      </c>
      <c r="E2877" s="37" t="inlineStr">
        <is>
          <t>Process Check</t>
        </is>
      </c>
      <c r="F2877" s="37" t="inlineStr">
        <is>
          <t>Check the Aspirant Mock Interview Score Tracker is updated after every mock interview in the L&amp;D Google Sheet.</t>
        </is>
      </c>
      <c r="G2877" s="37" t="inlineStr">
        <is>
          <t>All is Well</t>
        </is>
      </c>
    </row>
    <row r="2878">
      <c r="A2878" s="37" t="inlineStr">
        <is>
          <t>S Jakir</t>
        </is>
      </c>
      <c r="B2878" s="37" t="inlineStr">
        <is>
          <t>Marathahalli</t>
        </is>
      </c>
      <c r="C2878" s="37" t="inlineStr">
        <is>
          <t>GROW Youth</t>
        </is>
      </c>
      <c r="D2878" s="37" t="inlineStr">
        <is>
          <t>2026-07-06</t>
        </is>
      </c>
      <c r="E2878" s="37" t="inlineStr">
        <is>
          <t>Process Check</t>
        </is>
      </c>
      <c r="F2878" s="37" t="inlineStr">
        <is>
          <t>Confirm NPS (Net Promoter Score) is collected at MSDF centres.</t>
        </is>
      </c>
      <c r="G2878" s="37" t="inlineStr">
        <is>
          <t>Need Improvement</t>
        </is>
      </c>
    </row>
    <row r="2879">
      <c r="A2879" s="37" t="inlineStr">
        <is>
          <t>S Jakir</t>
        </is>
      </c>
      <c r="B2879" s="37" t="inlineStr">
        <is>
          <t>Marathahalli</t>
        </is>
      </c>
      <c r="C2879" s="37" t="inlineStr">
        <is>
          <t>GROW Youth</t>
        </is>
      </c>
      <c r="D2879" s="37" t="inlineStr">
        <is>
          <t>2026-07-06</t>
        </is>
      </c>
      <c r="E2879" s="37" t="inlineStr">
        <is>
          <t>Process Check</t>
        </is>
      </c>
      <c r="F2879" s="37" t="inlineStr">
        <is>
          <t>Confirm that QAE is collecting student feedback for every batch.</t>
        </is>
      </c>
      <c r="G2879" s="37" t="inlineStr">
        <is>
          <t>All is Well</t>
        </is>
      </c>
    </row>
    <row r="2880">
      <c r="A2880" s="37" t="inlineStr">
        <is>
          <t>S Jakir</t>
        </is>
      </c>
      <c r="B2880" s="37" t="inlineStr">
        <is>
          <t>Marathahalli</t>
        </is>
      </c>
      <c r="C2880" s="37" t="inlineStr">
        <is>
          <t>GROW Youth</t>
        </is>
      </c>
      <c r="D2880" s="37" t="inlineStr">
        <is>
          <t>2026-07-06</t>
        </is>
      </c>
      <c r="E2880" s="37" t="inlineStr">
        <is>
          <t>Process Check</t>
        </is>
      </c>
      <c r="F2880" s="37" t="inlineStr">
        <is>
          <t>Confirm all centre teams have completed the GROW Manual Course on Skillfy — ask for achievement certificates.</t>
        </is>
      </c>
      <c r="G2880" s="37" t="inlineStr">
        <is>
          <t>All is Well</t>
        </is>
      </c>
    </row>
    <row r="2881">
      <c r="A2881" s="37" t="inlineStr">
        <is>
          <t>S Jakir</t>
        </is>
      </c>
      <c r="B2881" s="37" t="inlineStr">
        <is>
          <t>Marathahalli</t>
        </is>
      </c>
      <c r="C2881" s="37" t="inlineStr">
        <is>
          <t>GROW Youth</t>
        </is>
      </c>
      <c r="D2881" s="37" t="inlineStr">
        <is>
          <t>2026-07-06</t>
        </is>
      </c>
      <c r="E2881" s="37" t="inlineStr">
        <is>
          <t>Process Check</t>
        </is>
      </c>
      <c r="F2881" s="37" t="inlineStr">
        <is>
          <t>Check AH holds a quality weekly team meeting, documents action points in the weekly meeting format, and sends you a photo on WhatsApp.</t>
        </is>
      </c>
      <c r="G2881" s="37" t="inlineStr">
        <is>
          <t>Need Improvement</t>
        </is>
      </c>
    </row>
    <row r="2882">
      <c r="A2882" s="37" t="inlineStr">
        <is>
          <t>S Jakir</t>
        </is>
      </c>
      <c r="B2882" s="37" t="inlineStr">
        <is>
          <t>Marathahalli</t>
        </is>
      </c>
      <c r="C2882" s="37" t="inlineStr">
        <is>
          <t>GROW Youth</t>
        </is>
      </c>
      <c r="D2882" s="37" t="inlineStr">
        <is>
          <t>2026-07-06</t>
        </is>
      </c>
      <c r="E2882" s="37" t="inlineStr">
        <is>
          <t>Aspirant Interaction</t>
        </is>
      </c>
      <c r="F2882" s="37" t="inlineStr">
        <is>
          <t>Ask aspirants about the session plan — confirm training is happening as planned?</t>
        </is>
      </c>
      <c r="G2882" s="37" t="inlineStr">
        <is>
          <t>All is Well</t>
        </is>
      </c>
    </row>
    <row r="2883">
      <c r="A2883" s="37" t="inlineStr">
        <is>
          <t>S Jakir</t>
        </is>
      </c>
      <c r="B2883" s="37" t="inlineStr">
        <is>
          <t>Marathahalli</t>
        </is>
      </c>
      <c r="C2883" s="37" t="inlineStr">
        <is>
          <t>GROW Youth</t>
        </is>
      </c>
      <c r="D2883" s="37" t="inlineStr">
        <is>
          <t>2026-07-06</t>
        </is>
      </c>
      <c r="E2883" s="37" t="inlineStr">
        <is>
          <t>Aspirant Interaction</t>
        </is>
      </c>
      <c r="F2883" s="37" t="inlineStr">
        <is>
          <t>Ask about the quality of Core Employability component delivery (technical centres) and who delivers it.</t>
        </is>
      </c>
      <c r="G2883" s="37" t="inlineStr">
        <is>
          <t>All is Well</t>
        </is>
      </c>
    </row>
    <row r="2884">
      <c r="A2884" s="37" t="inlineStr">
        <is>
          <t>S Jakir</t>
        </is>
      </c>
      <c r="B2884" s="37" t="inlineStr">
        <is>
          <t>Marathahalli</t>
        </is>
      </c>
      <c r="C2884" s="37" t="inlineStr">
        <is>
          <t>GROW Youth</t>
        </is>
      </c>
      <c r="D2884" s="37" t="inlineStr">
        <is>
          <t>2026-07-06</t>
        </is>
      </c>
      <c r="E2884" s="37" t="inlineStr">
        <is>
          <t>Aspirant Interaction</t>
        </is>
      </c>
      <c r="F2884" s="37" t="inlineStr">
        <is>
          <t>Ask whether they are aware of the referral scheme?</t>
        </is>
      </c>
      <c r="G2884" s="37" t="inlineStr">
        <is>
          <t>All is Well</t>
        </is>
      </c>
    </row>
    <row r="2885">
      <c r="A2885" s="37" t="inlineStr">
        <is>
          <t>S Jakir</t>
        </is>
      </c>
      <c r="B2885" s="37" t="inlineStr">
        <is>
          <t>Marathahalli</t>
        </is>
      </c>
      <c r="C2885" s="37" t="inlineStr">
        <is>
          <t>GROW Youth</t>
        </is>
      </c>
      <c r="D2885" s="37" t="inlineStr">
        <is>
          <t>2026-07-06</t>
        </is>
      </c>
      <c r="E2885" s="37" t="inlineStr">
        <is>
          <t>Aspirant Interaction</t>
        </is>
      </c>
      <c r="F2885" s="37" t="inlineStr">
        <is>
          <t>Ask whether the AH explained the importance of the offer letter and sharing it with us once received for reporting purposes?</t>
        </is>
      </c>
      <c r="G2885" s="37" t="inlineStr">
        <is>
          <t>All is Well</t>
        </is>
      </c>
    </row>
    <row r="2886">
      <c r="A2886" s="37" t="inlineStr">
        <is>
          <t>S Jakir</t>
        </is>
      </c>
      <c r="B2886" s="37" t="inlineStr">
        <is>
          <t>Marathahalli</t>
        </is>
      </c>
      <c r="C2886" s="37" t="inlineStr">
        <is>
          <t>GROW Youth</t>
        </is>
      </c>
      <c r="D2886" s="37" t="inlineStr">
        <is>
          <t>2026-07-06</t>
        </is>
      </c>
      <c r="E2886" s="37" t="inlineStr">
        <is>
          <t>Aspirant Interaction</t>
        </is>
      </c>
      <c r="F2886" s="37" t="inlineStr">
        <is>
          <t>Ask how many are not interested in jobs — and if so, why they enrolled in the programme?</t>
        </is>
      </c>
      <c r="G2886" s="37" t="inlineStr">
        <is>
          <t>All is Well</t>
        </is>
      </c>
    </row>
    <row r="2887">
      <c r="A2887" s="37" t="inlineStr">
        <is>
          <t>S Jakir</t>
        </is>
      </c>
      <c r="B2887" s="37" t="inlineStr">
        <is>
          <t>Marathahalli</t>
        </is>
      </c>
      <c r="C2887" s="37" t="inlineStr">
        <is>
          <t>GROW Youth</t>
        </is>
      </c>
      <c r="D2887" s="37" t="inlineStr">
        <is>
          <t>2026-07-06</t>
        </is>
      </c>
      <c r="E2887" s="37" t="inlineStr">
        <is>
          <t>Aspirant Interaction</t>
        </is>
      </c>
      <c r="F2887" s="37" t="inlineStr">
        <is>
          <t>Ask whether they were told the kind of job they would get during counselling?</t>
        </is>
      </c>
      <c r="G2887" s="37" t="inlineStr">
        <is>
          <t>All is Well</t>
        </is>
      </c>
    </row>
    <row r="2888">
      <c r="A2888" s="37" t="inlineStr">
        <is>
          <t>S Jakir</t>
        </is>
      </c>
      <c r="B2888" s="37" t="inlineStr">
        <is>
          <t>Marathahalli</t>
        </is>
      </c>
      <c r="C2888" s="37" t="inlineStr">
        <is>
          <t>GROW Youth</t>
        </is>
      </c>
      <c r="D2888" s="37" t="inlineStr">
        <is>
          <t>2026-07-06</t>
        </is>
      </c>
      <c r="E2888" s="37" t="inlineStr">
        <is>
          <t>Aspirant Interaction</t>
        </is>
      </c>
      <c r="F2888" s="37" t="inlineStr">
        <is>
          <t>Ask whether they have been given LMS access?</t>
        </is>
      </c>
      <c r="G2888" s="37" t="inlineStr">
        <is>
          <t>All is Well</t>
        </is>
      </c>
    </row>
    <row r="2889">
      <c r="A2889" s="37" t="inlineStr">
        <is>
          <t>S Jakir</t>
        </is>
      </c>
      <c r="B2889" s="37" t="inlineStr">
        <is>
          <t>Marathahalli</t>
        </is>
      </c>
      <c r="C2889" s="37" t="inlineStr">
        <is>
          <t>GROW Youth</t>
        </is>
      </c>
      <c r="D2889" s="37" t="inlineStr">
        <is>
          <t>2026-07-06</t>
        </is>
      </c>
      <c r="E2889" s="37" t="inlineStr">
        <is>
          <t>Aspirant Interaction</t>
        </is>
      </c>
      <c r="F2889" s="37" t="inlineStr">
        <is>
          <t>Ask whether anyone asked them for money for training or placement?</t>
        </is>
      </c>
      <c r="G2889" s="37" t="inlineStr">
        <is>
          <t>All is Well</t>
        </is>
      </c>
    </row>
    <row r="2890">
      <c r="A2890" s="37" t="inlineStr">
        <is>
          <t>S Jakir</t>
        </is>
      </c>
      <c r="B2890" s="37" t="inlineStr">
        <is>
          <t>Marathahalli</t>
        </is>
      </c>
      <c r="C2890" s="37" t="inlineStr">
        <is>
          <t>GROW Youth</t>
        </is>
      </c>
      <c r="D2890" s="37" t="inlineStr">
        <is>
          <t>2026-07-06</t>
        </is>
      </c>
      <c r="E2890" s="37" t="inlineStr">
        <is>
          <t>Aspirant Interaction</t>
        </is>
      </c>
      <c r="F2890" s="37" t="inlineStr">
        <is>
          <t>Ask to show their mobile phones — are they enrolled on Skillfy? If not, get them enrolled and give written feedback to trainers and the AH in your presence.</t>
        </is>
      </c>
      <c r="G2890" s="37" t="inlineStr">
        <is>
          <t>All is Well</t>
        </is>
      </c>
    </row>
    <row r="2891">
      <c r="A2891" s="37" t="inlineStr">
        <is>
          <t>S Jakir</t>
        </is>
      </c>
      <c r="B2891" s="37" t="inlineStr">
        <is>
          <t>Marathahalli</t>
        </is>
      </c>
      <c r="C2891" s="37" t="inlineStr">
        <is>
          <t>GROW Youth</t>
        </is>
      </c>
      <c r="D2891" s="37" t="inlineStr">
        <is>
          <t>2026-07-06</t>
        </is>
      </c>
      <c r="E2891" s="37" t="inlineStr">
        <is>
          <t>Aspirant Interaction</t>
        </is>
      </c>
      <c r="F2891" s="37" t="inlineStr">
        <is>
          <t>Ask about the quality of the hostel and any issues they face.</t>
        </is>
      </c>
      <c r="G2891" s="37" t="inlineStr">
        <is>
          <t>Not Applicable</t>
        </is>
      </c>
    </row>
    <row r="2892">
      <c r="A2892" s="37" t="inlineStr">
        <is>
          <t>S Jakir</t>
        </is>
      </c>
      <c r="B2892" s="37" t="inlineStr">
        <is>
          <t>Marathahalli</t>
        </is>
      </c>
      <c r="C2892" s="37" t="inlineStr">
        <is>
          <t>GROW Youth</t>
        </is>
      </c>
      <c r="D2892" s="37" t="inlineStr">
        <is>
          <t>2026-07-06</t>
        </is>
      </c>
      <c r="E2892" s="37" t="inlineStr">
        <is>
          <t>Aspirant Interaction</t>
        </is>
      </c>
      <c r="F2892" s="37" t="inlineStr">
        <is>
          <t>Ask a few relevant screening questions to support the 10th-day report and remove non-serious candidates, explaining to them the reasons.</t>
        </is>
      </c>
      <c r="G2892" s="37" t="inlineStr">
        <is>
          <t>All is Well</t>
        </is>
      </c>
    </row>
    <row r="2893">
      <c r="A2893" s="37" t="inlineStr">
        <is>
          <t>S Jakir</t>
        </is>
      </c>
      <c r="B2893" s="37" t="inlineStr">
        <is>
          <t xml:space="preserve">Yelahanka </t>
        </is>
      </c>
      <c r="C2893" s="37" t="inlineStr">
        <is>
          <t xml:space="preserve">GROW Youth </t>
        </is>
      </c>
      <c r="D2893" s="37" t="inlineStr">
        <is>
          <t>2026-07-11</t>
        </is>
      </c>
      <c r="E2893" s="37" t="inlineStr">
        <is>
          <t>Data Check</t>
        </is>
      </c>
      <c r="F2893" s="37" t="inlineStr">
        <is>
          <t>Reach the centre on time (unannounced) — confirm the centre opened on time.</t>
        </is>
      </c>
      <c r="G2893" s="37" t="inlineStr">
        <is>
          <t>All is Well</t>
        </is>
      </c>
    </row>
    <row r="2894">
      <c r="A2894" s="37" t="inlineStr">
        <is>
          <t>S Jakir</t>
        </is>
      </c>
      <c r="B2894" s="37" t="inlineStr">
        <is>
          <t xml:space="preserve">Yelahanka </t>
        </is>
      </c>
      <c r="C2894" s="37" t="inlineStr">
        <is>
          <t xml:space="preserve">GROW Youth </t>
        </is>
      </c>
      <c r="D2894" s="37" t="inlineStr">
        <is>
          <t>2026-07-11</t>
        </is>
      </c>
      <c r="E2894" s="37" t="inlineStr">
        <is>
          <t>Data Check</t>
        </is>
      </c>
      <c r="F2894" s="37" t="inlineStr">
        <is>
          <t>Check the staff attendance register, the Google Sheet, and geo-tagged photos for aspirants.</t>
        </is>
      </c>
      <c r="G2894" s="37" t="inlineStr">
        <is>
          <t>All is Well</t>
        </is>
      </c>
    </row>
    <row r="2895">
      <c r="A2895" s="37" t="inlineStr">
        <is>
          <t>S Jakir</t>
        </is>
      </c>
      <c r="B2895" s="37" t="inlineStr">
        <is>
          <t xml:space="preserve">Yelahanka </t>
        </is>
      </c>
      <c r="C2895" s="37" t="inlineStr">
        <is>
          <t xml:space="preserve">GROW Youth </t>
        </is>
      </c>
      <c r="D2895" s="37" t="inlineStr">
        <is>
          <t>2026-07-11</t>
        </is>
      </c>
      <c r="E2895" s="37" t="inlineStr">
        <is>
          <t>Data Check</t>
        </is>
      </c>
      <c r="F2895" s="37" t="inlineStr">
        <is>
          <t>Check Counselling and Screening Forms of recently started batches.</t>
        </is>
      </c>
      <c r="G2895" s="37" t="inlineStr">
        <is>
          <t>All is Well</t>
        </is>
      </c>
    </row>
    <row r="2896">
      <c r="A2896" s="37" t="inlineStr">
        <is>
          <t>S Jakir</t>
        </is>
      </c>
      <c r="B2896" s="37" t="inlineStr">
        <is>
          <t xml:space="preserve">Yelahanka </t>
        </is>
      </c>
      <c r="C2896" s="37" t="inlineStr">
        <is>
          <t xml:space="preserve">GROW Youth </t>
        </is>
      </c>
      <c r="D2896" s="37" t="inlineStr">
        <is>
          <t>2026-07-11</t>
        </is>
      </c>
      <c r="E2896" s="37" t="inlineStr">
        <is>
          <t>Data Check</t>
        </is>
      </c>
      <c r="F2896" s="37" t="inlineStr">
        <is>
          <t>Check Aspirant Registration Forms and related documents.</t>
        </is>
      </c>
      <c r="G2896" s="37" t="inlineStr">
        <is>
          <t>All is Well</t>
        </is>
      </c>
    </row>
    <row r="2897">
      <c r="A2897" s="37" t="inlineStr">
        <is>
          <t>S Jakir</t>
        </is>
      </c>
      <c r="B2897" s="37" t="inlineStr">
        <is>
          <t xml:space="preserve">Yelahanka </t>
        </is>
      </c>
      <c r="C2897" s="37" t="inlineStr">
        <is>
          <t xml:space="preserve">GROW Youth </t>
        </is>
      </c>
      <c r="D2897" s="37" t="inlineStr">
        <is>
          <t>2026-07-11</t>
        </is>
      </c>
      <c r="E2897" s="37" t="inlineStr">
        <is>
          <t>Data Check</t>
        </is>
      </c>
      <c r="F2897" s="37" t="inlineStr">
        <is>
          <t>On the GROW portal, confirm all student profile details and batch updates are currect.</t>
        </is>
      </c>
      <c r="G2897" s="37" t="inlineStr">
        <is>
          <t>All is Well</t>
        </is>
      </c>
    </row>
    <row r="2898">
      <c r="A2898" s="37" t="inlineStr">
        <is>
          <t>S Jakir</t>
        </is>
      </c>
      <c r="B2898" s="37" t="inlineStr">
        <is>
          <t xml:space="preserve">Yelahanka </t>
        </is>
      </c>
      <c r="C2898" s="37" t="inlineStr">
        <is>
          <t xml:space="preserve">GROW Youth </t>
        </is>
      </c>
      <c r="D2898" s="37" t="inlineStr">
        <is>
          <t>2026-07-11</t>
        </is>
      </c>
      <c r="E2898" s="37" t="inlineStr">
        <is>
          <t>Data Check</t>
        </is>
      </c>
      <c r="F2898" s="37" t="inlineStr">
        <is>
          <t>Verify placement data — randomly call 3–4 alumni placed in the last 3 months to confirm veracity (random selection is essential).</t>
        </is>
      </c>
      <c r="G2898" s="37" t="inlineStr">
        <is>
          <t>All is Well</t>
        </is>
      </c>
    </row>
    <row r="2899">
      <c r="A2899" s="37" t="inlineStr">
        <is>
          <t>S Jakir</t>
        </is>
      </c>
      <c r="B2899" s="37" t="inlineStr">
        <is>
          <t xml:space="preserve">Yelahanka </t>
        </is>
      </c>
      <c r="C2899" s="37" t="inlineStr">
        <is>
          <t xml:space="preserve">GROW Youth </t>
        </is>
      </c>
      <c r="D2899" s="37" t="inlineStr">
        <is>
          <t>2026-07-11</t>
        </is>
      </c>
      <c r="E2899" s="37" t="inlineStr">
        <is>
          <t>Data Check</t>
        </is>
      </c>
      <c r="F2899" s="37" t="inlineStr">
        <is>
          <t>Verify retention — check the Alumni Hand-holding Format is being updated as designed.</t>
        </is>
      </c>
      <c r="G2899" s="37" t="inlineStr">
        <is>
          <t>Need Improvement</t>
        </is>
      </c>
    </row>
    <row r="2900">
      <c r="A2900" s="37" t="inlineStr">
        <is>
          <t>S Jakir</t>
        </is>
      </c>
      <c r="B2900" s="37" t="inlineStr">
        <is>
          <t xml:space="preserve">Yelahanka </t>
        </is>
      </c>
      <c r="C2900" s="37" t="inlineStr">
        <is>
          <t xml:space="preserve">GROW Youth </t>
        </is>
      </c>
      <c r="D2900" s="37" t="inlineStr">
        <is>
          <t>2026-07-11</t>
        </is>
      </c>
      <c r="E2900" s="37" t="inlineStr">
        <is>
          <t>Data Check</t>
        </is>
      </c>
      <c r="F2900" s="37" t="inlineStr">
        <is>
          <t>Check aspirant Hostel Forms are properly filled or not.</t>
        </is>
      </c>
      <c r="G2900" s="37" t="inlineStr">
        <is>
          <t>Not Applicable</t>
        </is>
      </c>
    </row>
    <row r="2901">
      <c r="A2901" s="37" t="inlineStr">
        <is>
          <t>S Jakir</t>
        </is>
      </c>
      <c r="B2901" s="37" t="inlineStr">
        <is>
          <t xml:space="preserve">Yelahanka </t>
        </is>
      </c>
      <c r="C2901" s="37" t="inlineStr">
        <is>
          <t xml:space="preserve">GROW Youth </t>
        </is>
      </c>
      <c r="D2901" s="37" t="inlineStr">
        <is>
          <t>2026-07-11</t>
        </is>
      </c>
      <c r="E2901" s="37" t="inlineStr">
        <is>
          <t>Infra Check</t>
        </is>
      </c>
      <c r="F2901" s="37" t="inlineStr">
        <is>
          <t>Check all CCTV cameras; if any are not working, ask the AH to troubleshoot or call the vendor.</t>
        </is>
      </c>
      <c r="G2901" s="37" t="inlineStr">
        <is>
          <t>All is Well</t>
        </is>
      </c>
    </row>
    <row r="2902">
      <c r="A2902" s="37" t="inlineStr">
        <is>
          <t>S Jakir</t>
        </is>
      </c>
      <c r="B2902" s="37" t="inlineStr">
        <is>
          <t xml:space="preserve">Yelahanka </t>
        </is>
      </c>
      <c r="C2902" s="37" t="inlineStr">
        <is>
          <t xml:space="preserve">GROW Youth </t>
        </is>
      </c>
      <c r="D2902" s="37" t="inlineStr">
        <is>
          <t>2026-07-11</t>
        </is>
      </c>
      <c r="E2902" s="37" t="inlineStr">
        <is>
          <t>Infra Check</t>
        </is>
      </c>
      <c r="F2902" s="37" t="inlineStr">
        <is>
          <t>Check for any scrap material and get it cleared, with support of Admin</t>
        </is>
      </c>
      <c r="G2902" s="37" t="inlineStr">
        <is>
          <t>Need Improvement</t>
        </is>
      </c>
    </row>
    <row r="2903">
      <c r="A2903" s="37" t="inlineStr">
        <is>
          <t>S Jakir</t>
        </is>
      </c>
      <c r="B2903" s="37" t="inlineStr">
        <is>
          <t xml:space="preserve">Yelahanka </t>
        </is>
      </c>
      <c r="C2903" s="37" t="inlineStr">
        <is>
          <t xml:space="preserve">GROW Youth </t>
        </is>
      </c>
      <c r="D2903" s="37" t="inlineStr">
        <is>
          <t>2026-07-11</t>
        </is>
      </c>
      <c r="E2903" s="37" t="inlineStr">
        <is>
          <t>Infra Check</t>
        </is>
      </c>
      <c r="F2903" s="37" t="inlineStr">
        <is>
          <t>Check for any pending infra repairs.</t>
        </is>
      </c>
      <c r="G2903" s="37" t="inlineStr">
        <is>
          <t>All is Well</t>
        </is>
      </c>
    </row>
    <row r="2904">
      <c r="A2904" s="37" t="inlineStr">
        <is>
          <t>S Jakir</t>
        </is>
      </c>
      <c r="B2904" s="37" t="inlineStr">
        <is>
          <t xml:space="preserve">Yelahanka </t>
        </is>
      </c>
      <c r="C2904" s="37" t="inlineStr">
        <is>
          <t xml:space="preserve">GROW Youth </t>
        </is>
      </c>
      <c r="D2904" s="37" t="inlineStr">
        <is>
          <t>2026-07-11</t>
        </is>
      </c>
      <c r="E2904" s="37" t="inlineStr">
        <is>
          <t>Infra Check</t>
        </is>
      </c>
      <c r="F2904" s="37" t="inlineStr">
        <is>
          <t>Check whether any fire extinguishers have expired (check the needle and expiry date both).</t>
        </is>
      </c>
      <c r="G2904" s="37" t="inlineStr">
        <is>
          <t>All is Well</t>
        </is>
      </c>
    </row>
    <row r="2905">
      <c r="A2905" s="37" t="inlineStr">
        <is>
          <t>S Jakir</t>
        </is>
      </c>
      <c r="B2905" s="37" t="inlineStr">
        <is>
          <t xml:space="preserve">Yelahanka </t>
        </is>
      </c>
      <c r="C2905" s="37" t="inlineStr">
        <is>
          <t xml:space="preserve">GROW Youth </t>
        </is>
      </c>
      <c r="D2905" s="37" t="inlineStr">
        <is>
          <t>2026-07-11</t>
        </is>
      </c>
      <c r="E2905" s="37" t="inlineStr">
        <is>
          <t>Infra Check</t>
        </is>
      </c>
      <c r="F2905" s="37" t="inlineStr">
        <is>
          <t>Check basic cleanliness of the washrooms and the centre.</t>
        </is>
      </c>
      <c r="G2905" s="37" t="inlineStr">
        <is>
          <t>All is Well</t>
        </is>
      </c>
    </row>
    <row r="2906">
      <c r="A2906" s="37" t="inlineStr">
        <is>
          <t>S Jakir</t>
        </is>
      </c>
      <c r="B2906" s="37" t="inlineStr">
        <is>
          <t xml:space="preserve">Yelahanka </t>
        </is>
      </c>
      <c r="C2906" s="37" t="inlineStr">
        <is>
          <t xml:space="preserve">GROW Youth </t>
        </is>
      </c>
      <c r="D2906" s="37" t="inlineStr">
        <is>
          <t>2026-07-11</t>
        </is>
      </c>
      <c r="E2906" s="37" t="inlineStr">
        <is>
          <t>Infra Check</t>
        </is>
      </c>
      <c r="F2906" s="37" t="inlineStr">
        <is>
          <t>Confirm the correct program and partner logos are displayed.</t>
        </is>
      </c>
      <c r="G2906" s="37" t="inlineStr">
        <is>
          <t>All is Well</t>
        </is>
      </c>
    </row>
    <row r="2907">
      <c r="A2907" s="37" t="inlineStr">
        <is>
          <t>S Jakir</t>
        </is>
      </c>
      <c r="B2907" s="37" t="inlineStr">
        <is>
          <t xml:space="preserve">Yelahanka </t>
        </is>
      </c>
      <c r="C2907" s="37" t="inlineStr">
        <is>
          <t xml:space="preserve">GROW Youth </t>
        </is>
      </c>
      <c r="D2907" s="37" t="inlineStr">
        <is>
          <t>2026-07-11</t>
        </is>
      </c>
      <c r="E2907" s="37" t="inlineStr">
        <is>
          <t>Infra Check</t>
        </is>
      </c>
      <c r="F2907" s="37" t="inlineStr">
        <is>
          <t>Check the status of digital infra — PCs, smartboards, tablets, laptops, etc.</t>
        </is>
      </c>
      <c r="G2907" s="37" t="inlineStr">
        <is>
          <t>Need Improvement</t>
        </is>
      </c>
    </row>
    <row r="2908">
      <c r="A2908" s="37" t="inlineStr">
        <is>
          <t>S Jakir</t>
        </is>
      </c>
      <c r="B2908" s="37" t="inlineStr">
        <is>
          <t xml:space="preserve">Yelahanka </t>
        </is>
      </c>
      <c r="C2908" s="37" t="inlineStr">
        <is>
          <t xml:space="preserve">GROW Youth </t>
        </is>
      </c>
      <c r="D2908" s="37" t="inlineStr">
        <is>
          <t>2026-07-11</t>
        </is>
      </c>
      <c r="E2908" s="37" t="inlineStr">
        <is>
          <t>Infra Check</t>
        </is>
      </c>
      <c r="F2908" s="37" t="inlineStr">
        <is>
          <t>Make a quick hostel visit; have lunch there if possible to test the food quality.</t>
        </is>
      </c>
      <c r="G2908" s="37" t="inlineStr">
        <is>
          <t>Not Applicable</t>
        </is>
      </c>
    </row>
    <row r="2909">
      <c r="A2909" s="37" t="inlineStr">
        <is>
          <t>S Jakir</t>
        </is>
      </c>
      <c r="B2909" s="37" t="inlineStr">
        <is>
          <t xml:space="preserve">Yelahanka </t>
        </is>
      </c>
      <c r="C2909" s="37" t="inlineStr">
        <is>
          <t xml:space="preserve">GROW Youth </t>
        </is>
      </c>
      <c r="D2909" s="37" t="inlineStr">
        <is>
          <t>2026-07-11</t>
        </is>
      </c>
      <c r="E2909" s="37" t="inlineStr">
        <is>
          <t>Process Check</t>
        </is>
      </c>
      <c r="F2909" s="37" t="inlineStr">
        <is>
          <t>Refer to the activity planner — check if any activities are delayed.</t>
        </is>
      </c>
      <c r="G2909" s="37" t="inlineStr">
        <is>
          <t>Need Improvement</t>
        </is>
      </c>
    </row>
    <row r="2910">
      <c r="A2910" s="37" t="inlineStr">
        <is>
          <t>S Jakir</t>
        </is>
      </c>
      <c r="B2910" s="37" t="inlineStr">
        <is>
          <t xml:space="preserve">Yelahanka </t>
        </is>
      </c>
      <c r="C2910" s="37" t="inlineStr">
        <is>
          <t xml:space="preserve">GROW Youth </t>
        </is>
      </c>
      <c r="D2910" s="37" t="inlineStr">
        <is>
          <t>2026-07-11</t>
        </is>
      </c>
      <c r="E2910" s="37" t="inlineStr">
        <is>
          <t>Process Check</t>
        </is>
      </c>
      <c r="F2910" s="37" t="inlineStr">
        <is>
          <t>Check planning for the next batch-start announcement.</t>
        </is>
      </c>
      <c r="G2910" s="37" t="inlineStr">
        <is>
          <t>All is Well</t>
        </is>
      </c>
    </row>
    <row r="2911">
      <c r="A2911" s="37" t="inlineStr">
        <is>
          <t>S Jakir</t>
        </is>
      </c>
      <c r="B2911" s="37" t="inlineStr">
        <is>
          <t xml:space="preserve">Yelahanka </t>
        </is>
      </c>
      <c r="C2911" s="37" t="inlineStr">
        <is>
          <t xml:space="preserve">GROW Youth </t>
        </is>
      </c>
      <c r="D2911" s="37" t="inlineStr">
        <is>
          <t>2026-07-11</t>
        </is>
      </c>
      <c r="E2911" s="37" t="inlineStr">
        <is>
          <t>Process Check</t>
        </is>
      </c>
      <c r="F2911" s="37" t="inlineStr">
        <is>
          <t>Check if any hiring is delayed and plan a resolution.</t>
        </is>
      </c>
      <c r="G2911" s="37" t="inlineStr">
        <is>
          <t>All is Well</t>
        </is>
      </c>
    </row>
    <row r="2912">
      <c r="A2912" s="37" t="inlineStr">
        <is>
          <t>S Jakir</t>
        </is>
      </c>
      <c r="B2912" s="37" t="inlineStr">
        <is>
          <t xml:space="preserve">Yelahanka </t>
        </is>
      </c>
      <c r="C2912" s="37" t="inlineStr">
        <is>
          <t xml:space="preserve">GROW Youth </t>
        </is>
      </c>
      <c r="D2912" s="37" t="inlineStr">
        <is>
          <t>2026-07-11</t>
        </is>
      </c>
      <c r="E2912" s="37" t="inlineStr">
        <is>
          <t>Process Check</t>
        </is>
      </c>
      <c r="F2912" s="37" t="inlineStr">
        <is>
          <t>Check the CA’s diary — is CA guided daily by the AH during planning days?</t>
        </is>
      </c>
      <c r="G2912" s="37" t="inlineStr">
        <is>
          <t>All is Well</t>
        </is>
      </c>
    </row>
    <row r="2913">
      <c r="A2913" s="37" t="inlineStr">
        <is>
          <t>S Jakir</t>
        </is>
      </c>
      <c r="B2913" s="37" t="inlineStr">
        <is>
          <t xml:space="preserve">Yelahanka </t>
        </is>
      </c>
      <c r="C2913" s="37" t="inlineStr">
        <is>
          <t xml:space="preserve">GROW Youth </t>
        </is>
      </c>
      <c r="D2913" s="37" t="inlineStr">
        <is>
          <t>2026-07-11</t>
        </is>
      </c>
      <c r="E2913" s="37" t="inlineStr">
        <is>
          <t>Process Check</t>
        </is>
      </c>
      <c r="F2913" s="37" t="inlineStr">
        <is>
          <t>Check the AH is regularly meeting employers (in person and online) and updating the centre’s Top 20 Employer format.</t>
        </is>
      </c>
      <c r="G2913" s="37" t="inlineStr">
        <is>
          <t>All is Well</t>
        </is>
      </c>
    </row>
    <row r="2914">
      <c r="A2914" s="37" t="inlineStr">
        <is>
          <t>S Jakir</t>
        </is>
      </c>
      <c r="B2914" s="37" t="inlineStr">
        <is>
          <t xml:space="preserve">Yelahanka </t>
        </is>
      </c>
      <c r="C2914" s="37" t="inlineStr">
        <is>
          <t xml:space="preserve">GROW Youth </t>
        </is>
      </c>
      <c r="D2914" s="37" t="inlineStr">
        <is>
          <t>2026-07-11</t>
        </is>
      </c>
      <c r="E2914" s="37" t="inlineStr">
        <is>
          <t>Process Check</t>
        </is>
      </c>
      <c r="F2914" s="37" t="inlineStr">
        <is>
          <t>Confirm all new employers are registered on portal as per new process.</t>
        </is>
      </c>
      <c r="G2914" s="37" t="inlineStr">
        <is>
          <t>All is Well</t>
        </is>
      </c>
    </row>
    <row r="2915">
      <c r="A2915" s="37" t="inlineStr">
        <is>
          <t>S Jakir</t>
        </is>
      </c>
      <c r="B2915" s="37" t="inlineStr">
        <is>
          <t xml:space="preserve">Yelahanka </t>
        </is>
      </c>
      <c r="C2915" s="37" t="inlineStr">
        <is>
          <t xml:space="preserve">GROW Youth </t>
        </is>
      </c>
      <c r="D2915" s="37" t="inlineStr">
        <is>
          <t>2026-07-11</t>
        </is>
      </c>
      <c r="E2915" s="37" t="inlineStr">
        <is>
          <t>Process Check</t>
        </is>
      </c>
      <c r="F2915" s="37" t="inlineStr">
        <is>
          <t>Confirm 100% of enrolled students undergone screening (for technical courses).</t>
        </is>
      </c>
      <c r="G2915" s="37" t="inlineStr">
        <is>
          <t>All is Well</t>
        </is>
      </c>
    </row>
    <row r="2916">
      <c r="A2916" s="37" t="inlineStr">
        <is>
          <t>S Jakir</t>
        </is>
      </c>
      <c r="B2916" s="37" t="inlineStr">
        <is>
          <t xml:space="preserve">Yelahanka </t>
        </is>
      </c>
      <c r="C2916" s="37" t="inlineStr">
        <is>
          <t xml:space="preserve">GROW Youth </t>
        </is>
      </c>
      <c r="D2916" s="37" t="inlineStr">
        <is>
          <t>2026-07-11</t>
        </is>
      </c>
      <c r="E2916" s="37" t="inlineStr">
        <is>
          <t>Process Check</t>
        </is>
      </c>
      <c r="F2916" s="37" t="inlineStr">
        <is>
          <t>Confirm ESA is done (in GROW full ESA and in Technical courses relevant sections of Core Employability Part).</t>
        </is>
      </c>
      <c r="G2916" s="37" t="inlineStr">
        <is>
          <t>All is Well</t>
        </is>
      </c>
    </row>
    <row r="2917">
      <c r="A2917" s="37" t="inlineStr">
        <is>
          <t>S Jakir</t>
        </is>
      </c>
      <c r="B2917" s="37" t="inlineStr">
        <is>
          <t xml:space="preserve">Yelahanka </t>
        </is>
      </c>
      <c r="C2917" s="37" t="inlineStr">
        <is>
          <t xml:space="preserve">GROW Youth </t>
        </is>
      </c>
      <c r="D2917" s="37" t="inlineStr">
        <is>
          <t>2026-07-11</t>
        </is>
      </c>
      <c r="E2917" s="37" t="inlineStr">
        <is>
          <t>Process Check</t>
        </is>
      </c>
      <c r="F2917" s="37" t="inlineStr">
        <is>
          <t>Check is AH giving capstone project in GROW Tech.</t>
        </is>
      </c>
      <c r="G2917" s="37" t="inlineStr">
        <is>
          <t>Not Applicable</t>
        </is>
      </c>
    </row>
    <row r="2918">
      <c r="A2918" s="37" t="inlineStr">
        <is>
          <t>S Jakir</t>
        </is>
      </c>
      <c r="B2918" s="37" t="inlineStr">
        <is>
          <t xml:space="preserve">Yelahanka </t>
        </is>
      </c>
      <c r="C2918" s="37" t="inlineStr">
        <is>
          <t xml:space="preserve">GROW Youth </t>
        </is>
      </c>
      <c r="D2918" s="37" t="inlineStr">
        <is>
          <t>2026-07-11</t>
        </is>
      </c>
      <c r="E2918" s="37" t="inlineStr">
        <is>
          <t>Process Check</t>
        </is>
      </c>
      <c r="F2918" s="37" t="inlineStr">
        <is>
          <t>Check is AH planning OJT as per guidelines and proofs are collected for technical courses.</t>
        </is>
      </c>
      <c r="G2918" s="37" t="inlineStr">
        <is>
          <t>Not Applicable</t>
        </is>
      </c>
    </row>
    <row r="2919">
      <c r="A2919" s="37" t="inlineStr">
        <is>
          <t>S Jakir</t>
        </is>
      </c>
      <c r="B2919" s="37" t="inlineStr">
        <is>
          <t xml:space="preserve">Yelahanka </t>
        </is>
      </c>
      <c r="C2919" s="37" t="inlineStr">
        <is>
          <t xml:space="preserve">GROW Youth </t>
        </is>
      </c>
      <c r="D2919" s="37" t="inlineStr">
        <is>
          <t>2026-07-11</t>
        </is>
      </c>
      <c r="E2919" s="37" t="inlineStr">
        <is>
          <t>Process Check</t>
        </is>
      </c>
      <c r="F2919" s="37" t="inlineStr">
        <is>
          <t>Check are trainers contacting aspirants to find reason for their absenteeism of more than 1 day.</t>
        </is>
      </c>
      <c r="G2919" s="37" t="inlineStr">
        <is>
          <t>All is Well</t>
        </is>
      </c>
    </row>
    <row r="2920">
      <c r="A2920" s="37" t="inlineStr">
        <is>
          <t>S Jakir</t>
        </is>
      </c>
      <c r="B2920" s="37" t="inlineStr">
        <is>
          <t xml:space="preserve">Yelahanka </t>
        </is>
      </c>
      <c r="C2920" s="37" t="inlineStr">
        <is>
          <t xml:space="preserve">GROW Youth </t>
        </is>
      </c>
      <c r="D2920" s="37" t="inlineStr">
        <is>
          <t>2026-07-11</t>
        </is>
      </c>
      <c r="E2920" s="37" t="inlineStr">
        <is>
          <t>Process Check</t>
        </is>
      </c>
      <c r="F2920" s="37" t="inlineStr">
        <is>
          <t>Check the AH plans monthly enrolment and placement numbers by the 3rd of each month and shares them with second level managers.</t>
        </is>
      </c>
      <c r="G2920" s="37" t="inlineStr">
        <is>
          <t>All is Well</t>
        </is>
      </c>
    </row>
    <row r="2921">
      <c r="A2921" s="37" t="inlineStr">
        <is>
          <t>S Jakir</t>
        </is>
      </c>
      <c r="B2921" s="37" t="inlineStr">
        <is>
          <t xml:space="preserve">Yelahanka </t>
        </is>
      </c>
      <c r="C2921" s="37" t="inlineStr">
        <is>
          <t xml:space="preserve">GROW Youth </t>
        </is>
      </c>
      <c r="D2921" s="37" t="inlineStr">
        <is>
          <t>2026-07-11</t>
        </is>
      </c>
      <c r="E2921" s="37" t="inlineStr">
        <is>
          <t>Process Check</t>
        </is>
      </c>
      <c r="F2921" s="37" t="inlineStr">
        <is>
          <t>Check trainers submit aspirants’ placement interest areas to the AH by the batch’s 25th day (in GROW).</t>
        </is>
      </c>
      <c r="G2921" s="37" t="inlineStr">
        <is>
          <t>All is Well</t>
        </is>
      </c>
    </row>
    <row r="2922">
      <c r="A2922" s="37" t="inlineStr">
        <is>
          <t>S Jakir</t>
        </is>
      </c>
      <c r="B2922" s="37" t="inlineStr">
        <is>
          <t xml:space="preserve">Yelahanka </t>
        </is>
      </c>
      <c r="C2922" s="37" t="inlineStr">
        <is>
          <t xml:space="preserve">GROW Youth </t>
        </is>
      </c>
      <c r="D2922" s="37" t="inlineStr">
        <is>
          <t>2026-07-11</t>
        </is>
      </c>
      <c r="E2922" s="37" t="inlineStr">
        <is>
          <t>Process Check</t>
        </is>
      </c>
      <c r="F2922" s="37" t="inlineStr">
        <is>
          <t>Ckeck For technical programs, placement is done only in technical jobs,on which aspirants are trained and relevant emplyers are identified by 45th day.</t>
        </is>
      </c>
      <c r="G2922" s="37" t="inlineStr">
        <is>
          <t>Not Applicable</t>
        </is>
      </c>
    </row>
    <row r="2923">
      <c r="A2923" s="37" t="inlineStr">
        <is>
          <t>S Jakir</t>
        </is>
      </c>
      <c r="B2923" s="37" t="inlineStr">
        <is>
          <t xml:space="preserve">Yelahanka </t>
        </is>
      </c>
      <c r="C2923" s="37" t="inlineStr">
        <is>
          <t xml:space="preserve">GROW Youth </t>
        </is>
      </c>
      <c r="D2923" s="37" t="inlineStr">
        <is>
          <t>2026-07-11</t>
        </is>
      </c>
      <c r="E2923" s="37" t="inlineStr">
        <is>
          <t>Process Check</t>
        </is>
      </c>
      <c r="F2923" s="37" t="inlineStr">
        <is>
          <t>Check the AH follows EP guidelines and minimum benchmark salary guidelines.</t>
        </is>
      </c>
      <c r="G2923" s="37" t="inlineStr">
        <is>
          <t>Need Improvement</t>
        </is>
      </c>
    </row>
    <row r="2924">
      <c r="A2924" s="37" t="inlineStr">
        <is>
          <t>S Jakir</t>
        </is>
      </c>
      <c r="B2924" s="37" t="inlineStr">
        <is>
          <t xml:space="preserve">Yelahanka </t>
        </is>
      </c>
      <c r="C2924" s="37" t="inlineStr">
        <is>
          <t xml:space="preserve">GROW Youth </t>
        </is>
      </c>
      <c r="D2924" s="37" t="inlineStr">
        <is>
          <t>2026-07-11</t>
        </is>
      </c>
      <c r="E2924" s="37" t="inlineStr">
        <is>
          <t>Process Check</t>
        </is>
      </c>
      <c r="F2924" s="37" t="inlineStr">
        <is>
          <t>Check that AH is enrolling only the right traget group in the program -as per the defined target.</t>
        </is>
      </c>
      <c r="G2924" s="37" t="inlineStr">
        <is>
          <t>All is Well</t>
        </is>
      </c>
    </row>
    <row r="2925">
      <c r="A2925" s="37" t="inlineStr">
        <is>
          <t>S Jakir</t>
        </is>
      </c>
      <c r="B2925" s="37" t="inlineStr">
        <is>
          <t xml:space="preserve">Yelahanka </t>
        </is>
      </c>
      <c r="C2925" s="37" t="inlineStr">
        <is>
          <t xml:space="preserve">GROW Youth </t>
        </is>
      </c>
      <c r="D2925" s="37" t="inlineStr">
        <is>
          <t>2026-07-11</t>
        </is>
      </c>
      <c r="E2925" s="37" t="inlineStr">
        <is>
          <t>Process Check</t>
        </is>
      </c>
      <c r="F2925" s="37" t="inlineStr">
        <is>
          <t>Check the AH announces the next batch-start date by the 3rd of the month on all notice boards — focus on Zero-Day start.</t>
        </is>
      </c>
      <c r="G2925" s="37" t="inlineStr">
        <is>
          <t>All is Well</t>
        </is>
      </c>
    </row>
    <row r="2926">
      <c r="A2926" s="37" t="inlineStr">
        <is>
          <t>S Jakir</t>
        </is>
      </c>
      <c r="B2926" s="37" t="inlineStr">
        <is>
          <t xml:space="preserve">Yelahanka </t>
        </is>
      </c>
      <c r="C2926" s="37" t="inlineStr">
        <is>
          <t xml:space="preserve">GROW Youth </t>
        </is>
      </c>
      <c r="D2926" s="37" t="inlineStr">
        <is>
          <t>2026-07-11</t>
        </is>
      </c>
      <c r="E2926" s="37" t="inlineStr">
        <is>
          <t>Process Check</t>
        </is>
      </c>
      <c r="F2926" s="37" t="inlineStr">
        <is>
          <t>Check the Aspirant Mock Interview Score Tracker is updated after every mock interview in the L&amp;D Google Sheet.</t>
        </is>
      </c>
      <c r="G2926" s="37" t="inlineStr">
        <is>
          <t>All is Well</t>
        </is>
      </c>
    </row>
    <row r="2927">
      <c r="A2927" s="37" t="inlineStr">
        <is>
          <t>S Jakir</t>
        </is>
      </c>
      <c r="B2927" s="37" t="inlineStr">
        <is>
          <t xml:space="preserve">Yelahanka </t>
        </is>
      </c>
      <c r="C2927" s="37" t="inlineStr">
        <is>
          <t xml:space="preserve">GROW Youth </t>
        </is>
      </c>
      <c r="D2927" s="37" t="inlineStr">
        <is>
          <t>2026-07-11</t>
        </is>
      </c>
      <c r="E2927" s="37" t="inlineStr">
        <is>
          <t>Process Check</t>
        </is>
      </c>
      <c r="F2927" s="37" t="inlineStr">
        <is>
          <t>Confirm NPS (Net Promoter Score) is collected at MSDF centres.</t>
        </is>
      </c>
      <c r="G2927" s="37" t="inlineStr">
        <is>
          <t>Not Applicable</t>
        </is>
      </c>
    </row>
    <row r="2928">
      <c r="A2928" s="37" t="inlineStr">
        <is>
          <t>S Jakir</t>
        </is>
      </c>
      <c r="B2928" s="37" t="inlineStr">
        <is>
          <t xml:space="preserve">Yelahanka </t>
        </is>
      </c>
      <c r="C2928" s="37" t="inlineStr">
        <is>
          <t xml:space="preserve">GROW Youth </t>
        </is>
      </c>
      <c r="D2928" s="37" t="inlineStr">
        <is>
          <t>2026-07-11</t>
        </is>
      </c>
      <c r="E2928" s="37" t="inlineStr">
        <is>
          <t>Process Check</t>
        </is>
      </c>
      <c r="F2928" s="37" t="inlineStr">
        <is>
          <t>Confirm that QAE is collecting student feedback for every batch.</t>
        </is>
      </c>
      <c r="G2928" s="37" t="inlineStr">
        <is>
          <t>All is Well</t>
        </is>
      </c>
    </row>
    <row r="2929">
      <c r="A2929" s="37" t="inlineStr">
        <is>
          <t>S Jakir</t>
        </is>
      </c>
      <c r="B2929" s="37" t="inlineStr">
        <is>
          <t xml:space="preserve">Yelahanka </t>
        </is>
      </c>
      <c r="C2929" s="37" t="inlineStr">
        <is>
          <t xml:space="preserve">GROW Youth </t>
        </is>
      </c>
      <c r="D2929" s="37" t="inlineStr">
        <is>
          <t>2026-07-11</t>
        </is>
      </c>
      <c r="E2929" s="37" t="inlineStr">
        <is>
          <t>Process Check</t>
        </is>
      </c>
      <c r="F2929" s="37" t="inlineStr">
        <is>
          <t>Confirm all centre teams have completed the GROW Manual Course on Skillfy — ask for achievement certificates.</t>
        </is>
      </c>
      <c r="G2929" s="37" t="inlineStr">
        <is>
          <t>All is Well</t>
        </is>
      </c>
    </row>
    <row r="2930">
      <c r="A2930" s="37" t="inlineStr">
        <is>
          <t>S Jakir</t>
        </is>
      </c>
      <c r="B2930" s="37" t="inlineStr">
        <is>
          <t xml:space="preserve">Yelahanka </t>
        </is>
      </c>
      <c r="C2930" s="37" t="inlineStr">
        <is>
          <t xml:space="preserve">GROW Youth </t>
        </is>
      </c>
      <c r="D2930" s="37" t="inlineStr">
        <is>
          <t>2026-07-11</t>
        </is>
      </c>
      <c r="E2930" s="37" t="inlineStr">
        <is>
          <t>Process Check</t>
        </is>
      </c>
      <c r="F2930" s="37" t="inlineStr">
        <is>
          <t>Check AH holds a quality weekly team meeting, documents action points in the weekly meeting format, and sends you a photo on WhatsApp.</t>
        </is>
      </c>
      <c r="G2930" s="37" t="inlineStr">
        <is>
          <t>Need Improvement</t>
        </is>
      </c>
    </row>
    <row r="2931">
      <c r="A2931" s="37" t="inlineStr">
        <is>
          <t>S Jakir</t>
        </is>
      </c>
      <c r="B2931" s="37" t="inlineStr">
        <is>
          <t xml:space="preserve">Yelahanka </t>
        </is>
      </c>
      <c r="C2931" s="37" t="inlineStr">
        <is>
          <t xml:space="preserve">GROW Youth </t>
        </is>
      </c>
      <c r="D2931" s="37" t="inlineStr">
        <is>
          <t>2026-07-11</t>
        </is>
      </c>
      <c r="E2931" s="37" t="inlineStr">
        <is>
          <t>Aspirant Interaction</t>
        </is>
      </c>
      <c r="F2931" s="37" t="inlineStr">
        <is>
          <t>Ask aspirants about the session plan — confirm training is happening as planned?</t>
        </is>
      </c>
      <c r="G2931" s="37" t="inlineStr">
        <is>
          <t>All is Well</t>
        </is>
      </c>
    </row>
    <row r="2932">
      <c r="A2932" s="37" t="inlineStr">
        <is>
          <t>S Jakir</t>
        </is>
      </c>
      <c r="B2932" s="37" t="inlineStr">
        <is>
          <t xml:space="preserve">Yelahanka </t>
        </is>
      </c>
      <c r="C2932" s="37" t="inlineStr">
        <is>
          <t xml:space="preserve">GROW Youth </t>
        </is>
      </c>
      <c r="D2932" s="37" t="inlineStr">
        <is>
          <t>2026-07-11</t>
        </is>
      </c>
      <c r="E2932" s="37" t="inlineStr">
        <is>
          <t>Aspirant Interaction</t>
        </is>
      </c>
      <c r="F2932" s="37" t="inlineStr">
        <is>
          <t>Ask about the quality of Core Employability component delivery (technical centres) and who delivers it.</t>
        </is>
      </c>
      <c r="G2932" s="37" t="inlineStr">
        <is>
          <t>All is Well</t>
        </is>
      </c>
    </row>
    <row r="2933">
      <c r="A2933" s="37" t="inlineStr">
        <is>
          <t>S Jakir</t>
        </is>
      </c>
      <c r="B2933" s="37" t="inlineStr">
        <is>
          <t xml:space="preserve">Yelahanka </t>
        </is>
      </c>
      <c r="C2933" s="37" t="inlineStr">
        <is>
          <t xml:space="preserve">GROW Youth </t>
        </is>
      </c>
      <c r="D2933" s="37" t="inlineStr">
        <is>
          <t>2026-07-11</t>
        </is>
      </c>
      <c r="E2933" s="37" t="inlineStr">
        <is>
          <t>Aspirant Interaction</t>
        </is>
      </c>
      <c r="F2933" s="37" t="inlineStr">
        <is>
          <t>Ask whether they are aware of the referral scheme?</t>
        </is>
      </c>
      <c r="G2933" s="37" t="inlineStr">
        <is>
          <t>All is Well</t>
        </is>
      </c>
    </row>
    <row r="2934">
      <c r="A2934" s="37" t="inlineStr">
        <is>
          <t>S Jakir</t>
        </is>
      </c>
      <c r="B2934" s="37" t="inlineStr">
        <is>
          <t xml:space="preserve">Yelahanka </t>
        </is>
      </c>
      <c r="C2934" s="37" t="inlineStr">
        <is>
          <t xml:space="preserve">GROW Youth </t>
        </is>
      </c>
      <c r="D2934" s="37" t="inlineStr">
        <is>
          <t>2026-07-11</t>
        </is>
      </c>
      <c r="E2934" s="37" t="inlineStr">
        <is>
          <t>Aspirant Interaction</t>
        </is>
      </c>
      <c r="F2934" s="37" t="inlineStr">
        <is>
          <t>Ask whether the AH explained the importance of the offer letter and sharing it with us once received for reporting purposes?</t>
        </is>
      </c>
      <c r="G2934" s="37" t="inlineStr">
        <is>
          <t>All is Well</t>
        </is>
      </c>
    </row>
    <row r="2935">
      <c r="A2935" s="37" t="inlineStr">
        <is>
          <t>S Jakir</t>
        </is>
      </c>
      <c r="B2935" s="37" t="inlineStr">
        <is>
          <t xml:space="preserve">Yelahanka </t>
        </is>
      </c>
      <c r="C2935" s="37" t="inlineStr">
        <is>
          <t xml:space="preserve">GROW Youth </t>
        </is>
      </c>
      <c r="D2935" s="37" t="inlineStr">
        <is>
          <t>2026-07-11</t>
        </is>
      </c>
      <c r="E2935" s="37" t="inlineStr">
        <is>
          <t>Aspirant Interaction</t>
        </is>
      </c>
      <c r="F2935" s="37" t="inlineStr">
        <is>
          <t>Ask how many are not interested in jobs — and if so, why they enrolled in the programme?</t>
        </is>
      </c>
      <c r="G2935" s="37" t="inlineStr">
        <is>
          <t>All is Well</t>
        </is>
      </c>
    </row>
    <row r="2936">
      <c r="A2936" s="37" t="inlineStr">
        <is>
          <t>S Jakir</t>
        </is>
      </c>
      <c r="B2936" s="37" t="inlineStr">
        <is>
          <t xml:space="preserve">Yelahanka </t>
        </is>
      </c>
      <c r="C2936" s="37" t="inlineStr">
        <is>
          <t xml:space="preserve">GROW Youth </t>
        </is>
      </c>
      <c r="D2936" s="37" t="inlineStr">
        <is>
          <t>2026-07-11</t>
        </is>
      </c>
      <c r="E2936" s="37" t="inlineStr">
        <is>
          <t>Aspirant Interaction</t>
        </is>
      </c>
      <c r="F2936" s="37" t="inlineStr">
        <is>
          <t>Ask whether they were told the kind of job they would get during counselling?</t>
        </is>
      </c>
      <c r="G2936" s="37" t="inlineStr">
        <is>
          <t>All is Well</t>
        </is>
      </c>
    </row>
    <row r="2937">
      <c r="A2937" s="37" t="inlineStr">
        <is>
          <t>S Jakir</t>
        </is>
      </c>
      <c r="B2937" s="37" t="inlineStr">
        <is>
          <t xml:space="preserve">Yelahanka </t>
        </is>
      </c>
      <c r="C2937" s="37" t="inlineStr">
        <is>
          <t xml:space="preserve">GROW Youth </t>
        </is>
      </c>
      <c r="D2937" s="37" t="inlineStr">
        <is>
          <t>2026-07-11</t>
        </is>
      </c>
      <c r="E2937" s="37" t="inlineStr">
        <is>
          <t>Aspirant Interaction</t>
        </is>
      </c>
      <c r="F2937" s="37" t="inlineStr">
        <is>
          <t>Ask whether they have been given LMS access?</t>
        </is>
      </c>
      <c r="G2937" s="37" t="inlineStr">
        <is>
          <t>All is Well</t>
        </is>
      </c>
    </row>
    <row r="2938">
      <c r="A2938" s="37" t="inlineStr">
        <is>
          <t>S Jakir</t>
        </is>
      </c>
      <c r="B2938" s="37" t="inlineStr">
        <is>
          <t xml:space="preserve">Yelahanka </t>
        </is>
      </c>
      <c r="C2938" s="37" t="inlineStr">
        <is>
          <t xml:space="preserve">GROW Youth </t>
        </is>
      </c>
      <c r="D2938" s="37" t="inlineStr">
        <is>
          <t>2026-07-11</t>
        </is>
      </c>
      <c r="E2938" s="37" t="inlineStr">
        <is>
          <t>Aspirant Interaction</t>
        </is>
      </c>
      <c r="F2938" s="37" t="inlineStr">
        <is>
          <t>Ask whether anyone asked them for money for training or placement?</t>
        </is>
      </c>
      <c r="G2938" s="37" t="inlineStr">
        <is>
          <t>All is Well</t>
        </is>
      </c>
    </row>
    <row r="2939">
      <c r="A2939" s="37" t="inlineStr">
        <is>
          <t>S Jakir</t>
        </is>
      </c>
      <c r="B2939" s="37" t="inlineStr">
        <is>
          <t xml:space="preserve">Yelahanka </t>
        </is>
      </c>
      <c r="C2939" s="37" t="inlineStr">
        <is>
          <t xml:space="preserve">GROW Youth </t>
        </is>
      </c>
      <c r="D2939" s="37" t="inlineStr">
        <is>
          <t>2026-07-11</t>
        </is>
      </c>
      <c r="E2939" s="37" t="inlineStr">
        <is>
          <t>Aspirant Interaction</t>
        </is>
      </c>
      <c r="F2939" s="37" t="inlineStr">
        <is>
          <t>Ask to show their mobile phones — are they enrolled on Skillfy? If not, get them enrolled and give written feedback to trainers and the AH in your presence.</t>
        </is>
      </c>
      <c r="G2939" s="37" t="inlineStr">
        <is>
          <t>All is Well</t>
        </is>
      </c>
    </row>
    <row r="2940">
      <c r="A2940" s="37" t="inlineStr">
        <is>
          <t>S Jakir</t>
        </is>
      </c>
      <c r="B2940" s="37" t="inlineStr">
        <is>
          <t xml:space="preserve">Yelahanka </t>
        </is>
      </c>
      <c r="C2940" s="37" t="inlineStr">
        <is>
          <t xml:space="preserve">GROW Youth </t>
        </is>
      </c>
      <c r="D2940" s="37" t="inlineStr">
        <is>
          <t>2026-07-11</t>
        </is>
      </c>
      <c r="E2940" s="37" t="inlineStr">
        <is>
          <t>Aspirant Interaction</t>
        </is>
      </c>
      <c r="F2940" s="37" t="inlineStr">
        <is>
          <t>Ask about the quality of the hostel and any issues they face.</t>
        </is>
      </c>
      <c r="G2940" s="37" t="inlineStr">
        <is>
          <t>Not Applicable</t>
        </is>
      </c>
    </row>
    <row r="2941">
      <c r="A2941" s="37" t="inlineStr">
        <is>
          <t>S Jakir</t>
        </is>
      </c>
      <c r="B2941" s="37" t="inlineStr">
        <is>
          <t xml:space="preserve">Yelahanka </t>
        </is>
      </c>
      <c r="C2941" s="37" t="inlineStr">
        <is>
          <t xml:space="preserve">GROW Youth </t>
        </is>
      </c>
      <c r="D2941" s="37" t="inlineStr">
        <is>
          <t>2026-07-11</t>
        </is>
      </c>
      <c r="E2941" s="37" t="inlineStr">
        <is>
          <t>Aspirant Interaction</t>
        </is>
      </c>
      <c r="F2941" s="37" t="inlineStr">
        <is>
          <t>Ask a few relevant screening questions to support the 10th-day report and remove non-serious candidates, explaining to them the reasons.</t>
        </is>
      </c>
      <c r="G2941" s="37" t="inlineStr">
        <is>
          <t>All is Well</t>
        </is>
      </c>
    </row>
    <row r="2942">
      <c r="A2942" s="37" t="inlineStr">
        <is>
          <t>S Jakir</t>
        </is>
      </c>
      <c r="B2942" s="37" t="inlineStr">
        <is>
          <t>CFRSI - Bengaluru</t>
        </is>
      </c>
      <c r="C2942" s="37" t="inlineStr">
        <is>
          <t xml:space="preserve">CFRSI </t>
        </is>
      </c>
      <c r="D2942" s="37" t="inlineStr">
        <is>
          <t>2026-07-14</t>
        </is>
      </c>
      <c r="E2942" s="37" t="inlineStr">
        <is>
          <t>Data Check</t>
        </is>
      </c>
      <c r="F2942" s="37" t="inlineStr">
        <is>
          <t>Reach the centre on time (unannounced) — confirm the centre opened on time.</t>
        </is>
      </c>
      <c r="G2942" s="37" t="inlineStr">
        <is>
          <t>All is Well</t>
        </is>
      </c>
    </row>
    <row r="2943">
      <c r="A2943" s="37" t="inlineStr">
        <is>
          <t>S Jakir</t>
        </is>
      </c>
      <c r="B2943" s="37" t="inlineStr">
        <is>
          <t>CFRSI - Bengaluru</t>
        </is>
      </c>
      <c r="C2943" s="37" t="inlineStr">
        <is>
          <t xml:space="preserve">CFRSI </t>
        </is>
      </c>
      <c r="D2943" s="37" t="inlineStr">
        <is>
          <t>2026-07-14</t>
        </is>
      </c>
      <c r="E2943" s="37" t="inlineStr">
        <is>
          <t>Data Check</t>
        </is>
      </c>
      <c r="F2943" s="37" t="inlineStr">
        <is>
          <t>Check the staff attendance register, the Google Sheet, and geo-tagged photos for aspirants.</t>
        </is>
      </c>
      <c r="G2943" s="37" t="inlineStr">
        <is>
          <t>All is Well</t>
        </is>
      </c>
    </row>
    <row r="2944">
      <c r="A2944" s="37" t="inlineStr">
        <is>
          <t>S Jakir</t>
        </is>
      </c>
      <c r="B2944" s="37" t="inlineStr">
        <is>
          <t>CFRSI - Bengaluru</t>
        </is>
      </c>
      <c r="C2944" s="37" t="inlineStr">
        <is>
          <t xml:space="preserve">CFRSI </t>
        </is>
      </c>
      <c r="D2944" s="37" t="inlineStr">
        <is>
          <t>2026-07-14</t>
        </is>
      </c>
      <c r="E2944" s="37" t="inlineStr">
        <is>
          <t>Data Check</t>
        </is>
      </c>
      <c r="F2944" s="37" t="inlineStr">
        <is>
          <t>Check Counselling and Screening Forms of recently started batches.</t>
        </is>
      </c>
      <c r="G2944" s="37" t="inlineStr">
        <is>
          <t>All is Well</t>
        </is>
      </c>
    </row>
    <row r="2945">
      <c r="A2945" s="37" t="inlineStr">
        <is>
          <t>S Jakir</t>
        </is>
      </c>
      <c r="B2945" s="37" t="inlineStr">
        <is>
          <t>CFRSI - Bengaluru</t>
        </is>
      </c>
      <c r="C2945" s="37" t="inlineStr">
        <is>
          <t xml:space="preserve">CFRSI </t>
        </is>
      </c>
      <c r="D2945" s="37" t="inlineStr">
        <is>
          <t>2026-07-14</t>
        </is>
      </c>
      <c r="E2945" s="37" t="inlineStr">
        <is>
          <t>Data Check</t>
        </is>
      </c>
      <c r="F2945" s="37" t="inlineStr">
        <is>
          <t>Check Aspirant Registration Forms and related documents.</t>
        </is>
      </c>
      <c r="G2945" s="37" t="inlineStr">
        <is>
          <t>All is Well</t>
        </is>
      </c>
    </row>
    <row r="2946">
      <c r="A2946" s="37" t="inlineStr">
        <is>
          <t>S Jakir</t>
        </is>
      </c>
      <c r="B2946" s="37" t="inlineStr">
        <is>
          <t>CFRSI - Bengaluru</t>
        </is>
      </c>
      <c r="C2946" s="37" t="inlineStr">
        <is>
          <t xml:space="preserve">CFRSI </t>
        </is>
      </c>
      <c r="D2946" s="37" t="inlineStr">
        <is>
          <t>2026-07-14</t>
        </is>
      </c>
      <c r="E2946" s="37" t="inlineStr">
        <is>
          <t>Data Check</t>
        </is>
      </c>
      <c r="F2946" s="37" t="inlineStr">
        <is>
          <t>On the GROW portal, confirm all student profile details and batch updates are currect.</t>
        </is>
      </c>
      <c r="G2946" s="37" t="inlineStr">
        <is>
          <t>All is Well</t>
        </is>
      </c>
    </row>
    <row r="2947">
      <c r="A2947" s="37" t="inlineStr">
        <is>
          <t>S Jakir</t>
        </is>
      </c>
      <c r="B2947" s="37" t="inlineStr">
        <is>
          <t>CFRSI - Bengaluru</t>
        </is>
      </c>
      <c r="C2947" s="37" t="inlineStr">
        <is>
          <t xml:space="preserve">CFRSI </t>
        </is>
      </c>
      <c r="D2947" s="37" t="inlineStr">
        <is>
          <t>2026-07-14</t>
        </is>
      </c>
      <c r="E2947" s="37" t="inlineStr">
        <is>
          <t>Data Check</t>
        </is>
      </c>
      <c r="F2947" s="37" t="inlineStr">
        <is>
          <t>Verify placement data — randomly call 3–4 alumni placed in the last 3 months to confirm veracity (random selection is essential).</t>
        </is>
      </c>
      <c r="G2947" s="37" t="inlineStr">
        <is>
          <t>All is Well</t>
        </is>
      </c>
    </row>
    <row r="2948">
      <c r="A2948" s="37" t="inlineStr">
        <is>
          <t>S Jakir</t>
        </is>
      </c>
      <c r="B2948" s="37" t="inlineStr">
        <is>
          <t>CFRSI - Bengaluru</t>
        </is>
      </c>
      <c r="C2948" s="37" t="inlineStr">
        <is>
          <t xml:space="preserve">CFRSI </t>
        </is>
      </c>
      <c r="D2948" s="37" t="inlineStr">
        <is>
          <t>2026-07-14</t>
        </is>
      </c>
      <c r="E2948" s="37" t="inlineStr">
        <is>
          <t>Data Check</t>
        </is>
      </c>
      <c r="F2948" s="37" t="inlineStr">
        <is>
          <t>Verify retention — check the Alumni Hand-holding Format is being updated as designed.</t>
        </is>
      </c>
      <c r="G2948" s="37" t="inlineStr">
        <is>
          <t>All is Well</t>
        </is>
      </c>
    </row>
    <row r="2949">
      <c r="A2949" s="37" t="inlineStr">
        <is>
          <t>S Jakir</t>
        </is>
      </c>
      <c r="B2949" s="37" t="inlineStr">
        <is>
          <t>CFRSI - Bengaluru</t>
        </is>
      </c>
      <c r="C2949" s="37" t="inlineStr">
        <is>
          <t xml:space="preserve">CFRSI </t>
        </is>
      </c>
      <c r="D2949" s="37" t="inlineStr">
        <is>
          <t>2026-07-14</t>
        </is>
      </c>
      <c r="E2949" s="37" t="inlineStr">
        <is>
          <t>Data Check</t>
        </is>
      </c>
      <c r="F2949" s="37" t="inlineStr">
        <is>
          <t>Check aspirant Hostel Forms are properly filled or not.</t>
        </is>
      </c>
      <c r="G2949" s="37" t="inlineStr">
        <is>
          <t>Not Applicable</t>
        </is>
      </c>
    </row>
    <row r="2950">
      <c r="A2950" s="37" t="inlineStr">
        <is>
          <t>S Jakir</t>
        </is>
      </c>
      <c r="B2950" s="37" t="inlineStr">
        <is>
          <t>CFRSI - Bengaluru</t>
        </is>
      </c>
      <c r="C2950" s="37" t="inlineStr">
        <is>
          <t xml:space="preserve">CFRSI </t>
        </is>
      </c>
      <c r="D2950" s="37" t="inlineStr">
        <is>
          <t>2026-07-14</t>
        </is>
      </c>
      <c r="E2950" s="37" t="inlineStr">
        <is>
          <t>Infra Check</t>
        </is>
      </c>
      <c r="F2950" s="37" t="inlineStr">
        <is>
          <t>Check all CCTV cameras; if any are not working, ask the AH to troubleshoot or call the vendor.</t>
        </is>
      </c>
      <c r="G2950" s="37" t="inlineStr">
        <is>
          <t>Need Improvement</t>
        </is>
      </c>
    </row>
    <row r="2951">
      <c r="A2951" s="37" t="inlineStr">
        <is>
          <t>S Jakir</t>
        </is>
      </c>
      <c r="B2951" s="37" t="inlineStr">
        <is>
          <t>CFRSI - Bengaluru</t>
        </is>
      </c>
      <c r="C2951" s="37" t="inlineStr">
        <is>
          <t xml:space="preserve">CFRSI </t>
        </is>
      </c>
      <c r="D2951" s="37" t="inlineStr">
        <is>
          <t>2026-07-14</t>
        </is>
      </c>
      <c r="E2951" s="37" t="inlineStr">
        <is>
          <t>Infra Check</t>
        </is>
      </c>
      <c r="F2951" s="37" t="inlineStr">
        <is>
          <t>Check for any scrap material and get it cleared, with support of Admin</t>
        </is>
      </c>
      <c r="G2951" s="37" t="inlineStr">
        <is>
          <t>All is Well</t>
        </is>
      </c>
    </row>
    <row r="2952">
      <c r="A2952" s="37" t="inlineStr">
        <is>
          <t>S Jakir</t>
        </is>
      </c>
      <c r="B2952" s="37" t="inlineStr">
        <is>
          <t>CFRSI - Bengaluru</t>
        </is>
      </c>
      <c r="C2952" s="37" t="inlineStr">
        <is>
          <t xml:space="preserve">CFRSI </t>
        </is>
      </c>
      <c r="D2952" s="37" t="inlineStr">
        <is>
          <t>2026-07-14</t>
        </is>
      </c>
      <c r="E2952" s="37" t="inlineStr">
        <is>
          <t>Infra Check</t>
        </is>
      </c>
      <c r="F2952" s="37" t="inlineStr">
        <is>
          <t>Check for any pending infra repairs.</t>
        </is>
      </c>
      <c r="G2952" s="37" t="inlineStr">
        <is>
          <t>All is Well</t>
        </is>
      </c>
    </row>
    <row r="2953">
      <c r="A2953" s="37" t="inlineStr">
        <is>
          <t>S Jakir</t>
        </is>
      </c>
      <c r="B2953" s="37" t="inlineStr">
        <is>
          <t>CFRSI - Bengaluru</t>
        </is>
      </c>
      <c r="C2953" s="37" t="inlineStr">
        <is>
          <t xml:space="preserve">CFRSI </t>
        </is>
      </c>
      <c r="D2953" s="37" t="inlineStr">
        <is>
          <t>2026-07-14</t>
        </is>
      </c>
      <c r="E2953" s="37" t="inlineStr">
        <is>
          <t>Infra Check</t>
        </is>
      </c>
      <c r="F2953" s="37" t="inlineStr">
        <is>
          <t>Check whether any fire extinguishers have expired (check the needle and expiry date both).</t>
        </is>
      </c>
      <c r="G2953" s="37" t="inlineStr">
        <is>
          <t>All is Well</t>
        </is>
      </c>
    </row>
    <row r="2954">
      <c r="A2954" s="37" t="inlineStr">
        <is>
          <t>S Jakir</t>
        </is>
      </c>
      <c r="B2954" s="37" t="inlineStr">
        <is>
          <t>CFRSI - Bengaluru</t>
        </is>
      </c>
      <c r="C2954" s="37" t="inlineStr">
        <is>
          <t xml:space="preserve">CFRSI </t>
        </is>
      </c>
      <c r="D2954" s="37" t="inlineStr">
        <is>
          <t>2026-07-14</t>
        </is>
      </c>
      <c r="E2954" s="37" t="inlineStr">
        <is>
          <t>Infra Check</t>
        </is>
      </c>
      <c r="F2954" s="37" t="inlineStr">
        <is>
          <t>Check basic cleanliness of the washrooms and the centre.</t>
        </is>
      </c>
      <c r="G2954" s="37" t="inlineStr">
        <is>
          <t>All is Well</t>
        </is>
      </c>
    </row>
    <row r="2955">
      <c r="A2955" s="37" t="inlineStr">
        <is>
          <t>S Jakir</t>
        </is>
      </c>
      <c r="B2955" s="37" t="inlineStr">
        <is>
          <t>CFRSI - Bengaluru</t>
        </is>
      </c>
      <c r="C2955" s="37" t="inlineStr">
        <is>
          <t xml:space="preserve">CFRSI </t>
        </is>
      </c>
      <c r="D2955" s="37" t="inlineStr">
        <is>
          <t>2026-07-14</t>
        </is>
      </c>
      <c r="E2955" s="37" t="inlineStr">
        <is>
          <t>Infra Check</t>
        </is>
      </c>
      <c r="F2955" s="37" t="inlineStr">
        <is>
          <t>Confirm the correct program and partner logos are displayed.</t>
        </is>
      </c>
      <c r="G2955" s="37" t="inlineStr">
        <is>
          <t>All is Well</t>
        </is>
      </c>
    </row>
    <row r="2956">
      <c r="A2956" s="37" t="inlineStr">
        <is>
          <t>S Jakir</t>
        </is>
      </c>
      <c r="B2956" s="37" t="inlineStr">
        <is>
          <t>CFRSI - Bengaluru</t>
        </is>
      </c>
      <c r="C2956" s="37" t="inlineStr">
        <is>
          <t xml:space="preserve">CFRSI </t>
        </is>
      </c>
      <c r="D2956" s="37" t="inlineStr">
        <is>
          <t>2026-07-14</t>
        </is>
      </c>
      <c r="E2956" s="37" t="inlineStr">
        <is>
          <t>Infra Check</t>
        </is>
      </c>
      <c r="F2956" s="37" t="inlineStr">
        <is>
          <t>Check the status of digital infra — PCs, smartboards, tablets, laptops, etc.</t>
        </is>
      </c>
      <c r="G2956" s="37" t="inlineStr">
        <is>
          <t>All is Well</t>
        </is>
      </c>
    </row>
    <row r="2957">
      <c r="A2957" s="37" t="inlineStr">
        <is>
          <t>S Jakir</t>
        </is>
      </c>
      <c r="B2957" s="37" t="inlineStr">
        <is>
          <t>CFRSI - Bengaluru</t>
        </is>
      </c>
      <c r="C2957" s="37" t="inlineStr">
        <is>
          <t xml:space="preserve">CFRSI </t>
        </is>
      </c>
      <c r="D2957" s="37" t="inlineStr">
        <is>
          <t>2026-07-14</t>
        </is>
      </c>
      <c r="E2957" s="37" t="inlineStr">
        <is>
          <t>Infra Check</t>
        </is>
      </c>
      <c r="F2957" s="37" t="inlineStr">
        <is>
          <t>Make a quick hostel visit; have lunch there if possible to test the food quality.</t>
        </is>
      </c>
      <c r="G2957" s="37" t="inlineStr">
        <is>
          <t>All is Well</t>
        </is>
      </c>
    </row>
    <row r="2958">
      <c r="A2958" s="37" t="inlineStr">
        <is>
          <t>S Jakir</t>
        </is>
      </c>
      <c r="B2958" s="37" t="inlineStr">
        <is>
          <t>CFRSI - Bengaluru</t>
        </is>
      </c>
      <c r="C2958" s="37" t="inlineStr">
        <is>
          <t xml:space="preserve">CFRSI </t>
        </is>
      </c>
      <c r="D2958" s="37" t="inlineStr">
        <is>
          <t>2026-07-14</t>
        </is>
      </c>
      <c r="E2958" s="37" t="inlineStr">
        <is>
          <t>Process Check</t>
        </is>
      </c>
      <c r="F2958" s="37" t="inlineStr">
        <is>
          <t>Refer to the activity planner — check if any activities are delayed.</t>
        </is>
      </c>
      <c r="G2958" s="37" t="inlineStr">
        <is>
          <t>All is Well</t>
        </is>
      </c>
    </row>
    <row r="2959">
      <c r="A2959" s="37" t="inlineStr">
        <is>
          <t>S Jakir</t>
        </is>
      </c>
      <c r="B2959" s="37" t="inlineStr">
        <is>
          <t>CFRSI - Bengaluru</t>
        </is>
      </c>
      <c r="C2959" s="37" t="inlineStr">
        <is>
          <t xml:space="preserve">CFRSI </t>
        </is>
      </c>
      <c r="D2959" s="37" t="inlineStr">
        <is>
          <t>2026-07-14</t>
        </is>
      </c>
      <c r="E2959" s="37" t="inlineStr">
        <is>
          <t>Process Check</t>
        </is>
      </c>
      <c r="F2959" s="37" t="inlineStr">
        <is>
          <t>Check planning for the next batch-start announcement.</t>
        </is>
      </c>
      <c r="G2959" s="37" t="inlineStr">
        <is>
          <t>All is Well</t>
        </is>
      </c>
    </row>
    <row r="2960">
      <c r="A2960" s="37" t="inlineStr">
        <is>
          <t>S Jakir</t>
        </is>
      </c>
      <c r="B2960" s="37" t="inlineStr">
        <is>
          <t>CFRSI - Bengaluru</t>
        </is>
      </c>
      <c r="C2960" s="37" t="inlineStr">
        <is>
          <t xml:space="preserve">CFRSI </t>
        </is>
      </c>
      <c r="D2960" s="37" t="inlineStr">
        <is>
          <t>2026-07-14</t>
        </is>
      </c>
      <c r="E2960" s="37" t="inlineStr">
        <is>
          <t>Process Check</t>
        </is>
      </c>
      <c r="F2960" s="37" t="inlineStr">
        <is>
          <t>Check if any hiring is delayed and plan a resolution.</t>
        </is>
      </c>
      <c r="G2960" s="37" t="inlineStr">
        <is>
          <t>All is Well</t>
        </is>
      </c>
    </row>
    <row r="2961">
      <c r="A2961" s="37" t="inlineStr">
        <is>
          <t>S Jakir</t>
        </is>
      </c>
      <c r="B2961" s="37" t="inlineStr">
        <is>
          <t>CFRSI - Bengaluru</t>
        </is>
      </c>
      <c r="C2961" s="37" t="inlineStr">
        <is>
          <t xml:space="preserve">CFRSI </t>
        </is>
      </c>
      <c r="D2961" s="37" t="inlineStr">
        <is>
          <t>2026-07-14</t>
        </is>
      </c>
      <c r="E2961" s="37" t="inlineStr">
        <is>
          <t>Process Check</t>
        </is>
      </c>
      <c r="F2961" s="37" t="inlineStr">
        <is>
          <t>Check the CA’s diary — is CA guided daily by the AH during planning days?</t>
        </is>
      </c>
      <c r="G2961" s="37" t="inlineStr">
        <is>
          <t>All is Well</t>
        </is>
      </c>
    </row>
    <row r="2962">
      <c r="A2962" s="37" t="inlineStr">
        <is>
          <t>S Jakir</t>
        </is>
      </c>
      <c r="B2962" s="37" t="inlineStr">
        <is>
          <t>CFRSI - Bengaluru</t>
        </is>
      </c>
      <c r="C2962" s="37" t="inlineStr">
        <is>
          <t xml:space="preserve">CFRSI </t>
        </is>
      </c>
      <c r="D2962" s="37" t="inlineStr">
        <is>
          <t>2026-07-14</t>
        </is>
      </c>
      <c r="E2962" s="37" t="inlineStr">
        <is>
          <t>Process Check</t>
        </is>
      </c>
      <c r="F2962" s="37" t="inlineStr">
        <is>
          <t>Check the AH is regularly meeting employers (in person and online) and updating the centre’s Top 20 Employer format.</t>
        </is>
      </c>
      <c r="G2962" s="37" t="inlineStr">
        <is>
          <t>All is Well</t>
        </is>
      </c>
    </row>
    <row r="2963">
      <c r="A2963" s="37" t="inlineStr">
        <is>
          <t>S Jakir</t>
        </is>
      </c>
      <c r="B2963" s="37" t="inlineStr">
        <is>
          <t>CFRSI - Bengaluru</t>
        </is>
      </c>
      <c r="C2963" s="37" t="inlineStr">
        <is>
          <t xml:space="preserve">CFRSI </t>
        </is>
      </c>
      <c r="D2963" s="37" t="inlineStr">
        <is>
          <t>2026-07-14</t>
        </is>
      </c>
      <c r="E2963" s="37" t="inlineStr">
        <is>
          <t>Process Check</t>
        </is>
      </c>
      <c r="F2963" s="37" t="inlineStr">
        <is>
          <t>Confirm all new employers are registered on portal as per new process.</t>
        </is>
      </c>
      <c r="G2963" s="37" t="inlineStr">
        <is>
          <t>All is Well</t>
        </is>
      </c>
    </row>
    <row r="2964">
      <c r="A2964" s="37" t="inlineStr">
        <is>
          <t>S Jakir</t>
        </is>
      </c>
      <c r="B2964" s="37" t="inlineStr">
        <is>
          <t>CFRSI - Bengaluru</t>
        </is>
      </c>
      <c r="C2964" s="37" t="inlineStr">
        <is>
          <t xml:space="preserve">CFRSI </t>
        </is>
      </c>
      <c r="D2964" s="37" t="inlineStr">
        <is>
          <t>2026-07-14</t>
        </is>
      </c>
      <c r="E2964" s="37" t="inlineStr">
        <is>
          <t>Process Check</t>
        </is>
      </c>
      <c r="F2964" s="37" t="inlineStr">
        <is>
          <t>Confirm 100% of enrolled students undergone screening (for technical courses).</t>
        </is>
      </c>
      <c r="G2964" s="37" t="inlineStr">
        <is>
          <t>All is Well</t>
        </is>
      </c>
    </row>
    <row r="2965">
      <c r="A2965" s="37" t="inlineStr">
        <is>
          <t>S Jakir</t>
        </is>
      </c>
      <c r="B2965" s="37" t="inlineStr">
        <is>
          <t>CFRSI - Bengaluru</t>
        </is>
      </c>
      <c r="C2965" s="37" t="inlineStr">
        <is>
          <t xml:space="preserve">CFRSI </t>
        </is>
      </c>
      <c r="D2965" s="37" t="inlineStr">
        <is>
          <t>2026-07-14</t>
        </is>
      </c>
      <c r="E2965" s="37" t="inlineStr">
        <is>
          <t>Process Check</t>
        </is>
      </c>
      <c r="F2965" s="37" t="inlineStr">
        <is>
          <t>Confirm ESA is done (in GROW full ESA and in Technical courses relevant sections of Core Employability Part).</t>
        </is>
      </c>
      <c r="G2965" s="37" t="inlineStr">
        <is>
          <t>All is Well</t>
        </is>
      </c>
    </row>
    <row r="2966">
      <c r="A2966" s="37" t="inlineStr">
        <is>
          <t>S Jakir</t>
        </is>
      </c>
      <c r="B2966" s="37" t="inlineStr">
        <is>
          <t>CFRSI - Bengaluru</t>
        </is>
      </c>
      <c r="C2966" s="37" t="inlineStr">
        <is>
          <t xml:space="preserve">CFRSI </t>
        </is>
      </c>
      <c r="D2966" s="37" t="inlineStr">
        <is>
          <t>2026-07-14</t>
        </is>
      </c>
      <c r="E2966" s="37" t="inlineStr">
        <is>
          <t>Process Check</t>
        </is>
      </c>
      <c r="F2966" s="37" t="inlineStr">
        <is>
          <t>Check is AH giving capstone project in GROW Tech.</t>
        </is>
      </c>
      <c r="G2966" s="37" t="inlineStr">
        <is>
          <t>All is Well</t>
        </is>
      </c>
    </row>
    <row r="2967">
      <c r="A2967" s="37" t="inlineStr">
        <is>
          <t>S Jakir</t>
        </is>
      </c>
      <c r="B2967" s="37" t="inlineStr">
        <is>
          <t>CFRSI - Bengaluru</t>
        </is>
      </c>
      <c r="C2967" s="37" t="inlineStr">
        <is>
          <t xml:space="preserve">CFRSI </t>
        </is>
      </c>
      <c r="D2967" s="37" t="inlineStr">
        <is>
          <t>2026-07-14</t>
        </is>
      </c>
      <c r="E2967" s="37" t="inlineStr">
        <is>
          <t>Process Check</t>
        </is>
      </c>
      <c r="F2967" s="37" t="inlineStr">
        <is>
          <t>Check is AH planning OJT as per guidelines and proofs are collected for technical courses.</t>
        </is>
      </c>
      <c r="G2967" s="37" t="inlineStr">
        <is>
          <t>All is Well</t>
        </is>
      </c>
    </row>
    <row r="2968">
      <c r="A2968" s="37" t="inlineStr">
        <is>
          <t>S Jakir</t>
        </is>
      </c>
      <c r="B2968" s="37" t="inlineStr">
        <is>
          <t>CFRSI - Bengaluru</t>
        </is>
      </c>
      <c r="C2968" s="37" t="inlineStr">
        <is>
          <t xml:space="preserve">CFRSI </t>
        </is>
      </c>
      <c r="D2968" s="37" t="inlineStr">
        <is>
          <t>2026-07-14</t>
        </is>
      </c>
      <c r="E2968" s="37" t="inlineStr">
        <is>
          <t>Process Check</t>
        </is>
      </c>
      <c r="F2968" s="37" t="inlineStr">
        <is>
          <t>Check are trainers contacting aspirants to find reason for their absenteeism of more than 1 day.</t>
        </is>
      </c>
      <c r="G2968" s="37" t="inlineStr">
        <is>
          <t>All is Well</t>
        </is>
      </c>
    </row>
    <row r="2969">
      <c r="A2969" s="37" t="inlineStr">
        <is>
          <t>S Jakir</t>
        </is>
      </c>
      <c r="B2969" s="37" t="inlineStr">
        <is>
          <t>CFRSI - Bengaluru</t>
        </is>
      </c>
      <c r="C2969" s="37" t="inlineStr">
        <is>
          <t xml:space="preserve">CFRSI </t>
        </is>
      </c>
      <c r="D2969" s="37" t="inlineStr">
        <is>
          <t>2026-07-14</t>
        </is>
      </c>
      <c r="E2969" s="37" t="inlineStr">
        <is>
          <t>Process Check</t>
        </is>
      </c>
      <c r="F2969" s="37" t="inlineStr">
        <is>
          <t>Check the AH plans monthly enrolment and placement numbers by the 3rd of each month and shares them with second level managers.</t>
        </is>
      </c>
      <c r="G2969" s="37" t="inlineStr">
        <is>
          <t>All is Well</t>
        </is>
      </c>
    </row>
    <row r="2970">
      <c r="A2970" s="37" t="inlineStr">
        <is>
          <t>S Jakir</t>
        </is>
      </c>
      <c r="B2970" s="37" t="inlineStr">
        <is>
          <t>CFRSI - Bengaluru</t>
        </is>
      </c>
      <c r="C2970" s="37" t="inlineStr">
        <is>
          <t xml:space="preserve">CFRSI </t>
        </is>
      </c>
      <c r="D2970" s="37" t="inlineStr">
        <is>
          <t>2026-07-14</t>
        </is>
      </c>
      <c r="E2970" s="37" t="inlineStr">
        <is>
          <t>Process Check</t>
        </is>
      </c>
      <c r="F2970" s="37" t="inlineStr">
        <is>
          <t>Check trainers submit aspirants’ placement interest areas to the AH by the batch’s 25th day (in GROW).</t>
        </is>
      </c>
      <c r="G2970" s="37" t="inlineStr">
        <is>
          <t>Not Applicable</t>
        </is>
      </c>
    </row>
    <row r="2971">
      <c r="A2971" s="37" t="inlineStr">
        <is>
          <t>S Jakir</t>
        </is>
      </c>
      <c r="B2971" s="37" t="inlineStr">
        <is>
          <t>CFRSI - Bengaluru</t>
        </is>
      </c>
      <c r="C2971" s="37" t="inlineStr">
        <is>
          <t xml:space="preserve">CFRSI </t>
        </is>
      </c>
      <c r="D2971" s="37" t="inlineStr">
        <is>
          <t>2026-07-14</t>
        </is>
      </c>
      <c r="E2971" s="37" t="inlineStr">
        <is>
          <t>Process Check</t>
        </is>
      </c>
      <c r="F2971" s="37" t="inlineStr">
        <is>
          <t>Ckeck For technical programs, placement is done only in technical jobs,on which aspirants are trained and relevant emplyers are identified by 45th day.</t>
        </is>
      </c>
      <c r="G2971" s="37" t="inlineStr">
        <is>
          <t>Need Improvement</t>
        </is>
      </c>
    </row>
    <row r="2972">
      <c r="A2972" s="37" t="inlineStr">
        <is>
          <t>S Jakir</t>
        </is>
      </c>
      <c r="B2972" s="37" t="inlineStr">
        <is>
          <t>CFRSI - Bengaluru</t>
        </is>
      </c>
      <c r="C2972" s="37" t="inlineStr">
        <is>
          <t xml:space="preserve">CFRSI </t>
        </is>
      </c>
      <c r="D2972" s="37" t="inlineStr">
        <is>
          <t>2026-07-14</t>
        </is>
      </c>
      <c r="E2972" s="37" t="inlineStr">
        <is>
          <t>Process Check</t>
        </is>
      </c>
      <c r="F2972" s="37" t="inlineStr">
        <is>
          <t>Check the AH follows EP guidelines and minimum benchmark salary guidelines.</t>
        </is>
      </c>
      <c r="G2972" s="37" t="inlineStr">
        <is>
          <t>All is Well</t>
        </is>
      </c>
    </row>
    <row r="2973">
      <c r="A2973" s="37" t="inlineStr">
        <is>
          <t>S Jakir</t>
        </is>
      </c>
      <c r="B2973" s="37" t="inlineStr">
        <is>
          <t>CFRSI - Bengaluru</t>
        </is>
      </c>
      <c r="C2973" s="37" t="inlineStr">
        <is>
          <t xml:space="preserve">CFRSI </t>
        </is>
      </c>
      <c r="D2973" s="37" t="inlineStr">
        <is>
          <t>2026-07-14</t>
        </is>
      </c>
      <c r="E2973" s="37" t="inlineStr">
        <is>
          <t>Process Check</t>
        </is>
      </c>
      <c r="F2973" s="37" t="inlineStr">
        <is>
          <t>Check that AH is enrolling only the right traget group in the program -as per the defined target.</t>
        </is>
      </c>
      <c r="G2973" s="37" t="inlineStr">
        <is>
          <t>All is Well</t>
        </is>
      </c>
    </row>
    <row r="2974">
      <c r="A2974" s="37" t="inlineStr">
        <is>
          <t>S Jakir</t>
        </is>
      </c>
      <c r="B2974" s="37" t="inlineStr">
        <is>
          <t>CFRSI - Bengaluru</t>
        </is>
      </c>
      <c r="C2974" s="37" t="inlineStr">
        <is>
          <t xml:space="preserve">CFRSI </t>
        </is>
      </c>
      <c r="D2974" s="37" t="inlineStr">
        <is>
          <t>2026-07-14</t>
        </is>
      </c>
      <c r="E2974" s="37" t="inlineStr">
        <is>
          <t>Process Check</t>
        </is>
      </c>
      <c r="F2974" s="37" t="inlineStr">
        <is>
          <t>Check the AH announces the next batch-start date by the 3rd of the month on all notice boards — focus on Zero-Day start.</t>
        </is>
      </c>
      <c r="G2974" s="37" t="inlineStr">
        <is>
          <t>All is Well</t>
        </is>
      </c>
    </row>
    <row r="2975">
      <c r="A2975" s="37" t="inlineStr">
        <is>
          <t>S Jakir</t>
        </is>
      </c>
      <c r="B2975" s="37" t="inlineStr">
        <is>
          <t>CFRSI - Bengaluru</t>
        </is>
      </c>
      <c r="C2975" s="37" t="inlineStr">
        <is>
          <t xml:space="preserve">CFRSI </t>
        </is>
      </c>
      <c r="D2975" s="37" t="inlineStr">
        <is>
          <t>2026-07-14</t>
        </is>
      </c>
      <c r="E2975" s="37" t="inlineStr">
        <is>
          <t>Process Check</t>
        </is>
      </c>
      <c r="F2975" s="37" t="inlineStr">
        <is>
          <t>Check the Aspirant Mock Interview Score Tracker is updated after every mock interview in the L&amp;D Google Sheet.</t>
        </is>
      </c>
      <c r="G2975" s="37" t="inlineStr">
        <is>
          <t>All is Well</t>
        </is>
      </c>
    </row>
    <row r="2976">
      <c r="A2976" s="37" t="inlineStr">
        <is>
          <t>S Jakir</t>
        </is>
      </c>
      <c r="B2976" s="37" t="inlineStr">
        <is>
          <t>CFRSI - Bengaluru</t>
        </is>
      </c>
      <c r="C2976" s="37" t="inlineStr">
        <is>
          <t xml:space="preserve">CFRSI </t>
        </is>
      </c>
      <c r="D2976" s="37" t="inlineStr">
        <is>
          <t>2026-07-14</t>
        </is>
      </c>
      <c r="E2976" s="37" t="inlineStr">
        <is>
          <t>Process Check</t>
        </is>
      </c>
      <c r="F2976" s="37" t="inlineStr">
        <is>
          <t>Confirm NPS (Net Promoter Score) is collected at MSDF centres.</t>
        </is>
      </c>
      <c r="G2976" s="37" t="inlineStr">
        <is>
          <t>All is Well</t>
        </is>
      </c>
    </row>
    <row r="2977">
      <c r="A2977" s="37" t="inlineStr">
        <is>
          <t>S Jakir</t>
        </is>
      </c>
      <c r="B2977" s="37" t="inlineStr">
        <is>
          <t>CFRSI - Bengaluru</t>
        </is>
      </c>
      <c r="C2977" s="37" t="inlineStr">
        <is>
          <t xml:space="preserve">CFRSI </t>
        </is>
      </c>
      <c r="D2977" s="37" t="inlineStr">
        <is>
          <t>2026-07-14</t>
        </is>
      </c>
      <c r="E2977" s="37" t="inlineStr">
        <is>
          <t>Process Check</t>
        </is>
      </c>
      <c r="F2977" s="37" t="inlineStr">
        <is>
          <t>Confirm that QAE is collecting student feedback for every batch.</t>
        </is>
      </c>
      <c r="G2977" s="37" t="inlineStr">
        <is>
          <t>All is Well</t>
        </is>
      </c>
    </row>
    <row r="2978">
      <c r="A2978" s="37" t="inlineStr">
        <is>
          <t>S Jakir</t>
        </is>
      </c>
      <c r="B2978" s="37" t="inlineStr">
        <is>
          <t>CFRSI - Bengaluru</t>
        </is>
      </c>
      <c r="C2978" s="37" t="inlineStr">
        <is>
          <t xml:space="preserve">CFRSI </t>
        </is>
      </c>
      <c r="D2978" s="37" t="inlineStr">
        <is>
          <t>2026-07-14</t>
        </is>
      </c>
      <c r="E2978" s="37" t="inlineStr">
        <is>
          <t>Process Check</t>
        </is>
      </c>
      <c r="F2978" s="37" t="inlineStr">
        <is>
          <t>Confirm all centre teams have completed the GROW Manual Course on Skillfy — ask for achievement certificates.</t>
        </is>
      </c>
      <c r="G2978" s="37" t="inlineStr">
        <is>
          <t>All is Well</t>
        </is>
      </c>
    </row>
    <row r="2979">
      <c r="A2979" s="37" t="inlineStr">
        <is>
          <t>S Jakir</t>
        </is>
      </c>
      <c r="B2979" s="37" t="inlineStr">
        <is>
          <t>CFRSI - Bengaluru</t>
        </is>
      </c>
      <c r="C2979" s="37" t="inlineStr">
        <is>
          <t xml:space="preserve">CFRSI </t>
        </is>
      </c>
      <c r="D2979" s="37" t="inlineStr">
        <is>
          <t>2026-07-14</t>
        </is>
      </c>
      <c r="E2979" s="37" t="inlineStr">
        <is>
          <t>Process Check</t>
        </is>
      </c>
      <c r="F2979" s="37" t="inlineStr">
        <is>
          <t>Check AH holds a quality weekly team meeting, documents action points in the weekly meeting format, and sends you a photo on WhatsApp.</t>
        </is>
      </c>
      <c r="G2979" s="37" t="inlineStr">
        <is>
          <t>All is Well</t>
        </is>
      </c>
    </row>
    <row r="2980">
      <c r="A2980" s="37" t="inlineStr">
        <is>
          <t>S Jakir</t>
        </is>
      </c>
      <c r="B2980" s="37" t="inlineStr">
        <is>
          <t>CFRSI - Bengaluru</t>
        </is>
      </c>
      <c r="C2980" s="37" t="inlineStr">
        <is>
          <t xml:space="preserve">CFRSI </t>
        </is>
      </c>
      <c r="D2980" s="37" t="inlineStr">
        <is>
          <t>2026-07-14</t>
        </is>
      </c>
      <c r="E2980" s="37" t="inlineStr">
        <is>
          <t>Aspirant Interaction</t>
        </is>
      </c>
      <c r="F2980" s="37" t="inlineStr">
        <is>
          <t>Ask aspirants about the session plan — confirm training is happening as planned?</t>
        </is>
      </c>
      <c r="G2980" s="37" t="inlineStr">
        <is>
          <t>All is Well</t>
        </is>
      </c>
    </row>
    <row r="2981">
      <c r="A2981" s="37" t="inlineStr">
        <is>
          <t>S Jakir</t>
        </is>
      </c>
      <c r="B2981" s="37" t="inlineStr">
        <is>
          <t>CFRSI - Bengaluru</t>
        </is>
      </c>
      <c r="C2981" s="37" t="inlineStr">
        <is>
          <t xml:space="preserve">CFRSI </t>
        </is>
      </c>
      <c r="D2981" s="37" t="inlineStr">
        <is>
          <t>2026-07-14</t>
        </is>
      </c>
      <c r="E2981" s="37" t="inlineStr">
        <is>
          <t>Aspirant Interaction</t>
        </is>
      </c>
      <c r="F2981" s="37" t="inlineStr">
        <is>
          <t>Ask about the quality of Core Employability component delivery (technical centres) and who delivers it.</t>
        </is>
      </c>
      <c r="G2981" s="37" t="inlineStr">
        <is>
          <t>All is Well</t>
        </is>
      </c>
    </row>
    <row r="2982">
      <c r="A2982" s="37" t="inlineStr">
        <is>
          <t>S Jakir</t>
        </is>
      </c>
      <c r="B2982" s="37" t="inlineStr">
        <is>
          <t>CFRSI - Bengaluru</t>
        </is>
      </c>
      <c r="C2982" s="37" t="inlineStr">
        <is>
          <t xml:space="preserve">CFRSI </t>
        </is>
      </c>
      <c r="D2982" s="37" t="inlineStr">
        <is>
          <t>2026-07-14</t>
        </is>
      </c>
      <c r="E2982" s="37" t="inlineStr">
        <is>
          <t>Aspirant Interaction</t>
        </is>
      </c>
      <c r="F2982" s="37" t="inlineStr">
        <is>
          <t>Ask whether they are aware of the referral scheme?</t>
        </is>
      </c>
      <c r="G2982" s="37" t="inlineStr">
        <is>
          <t>All is Well</t>
        </is>
      </c>
    </row>
    <row r="2983">
      <c r="A2983" s="37" t="inlineStr">
        <is>
          <t>S Jakir</t>
        </is>
      </c>
      <c r="B2983" s="37" t="inlineStr">
        <is>
          <t>CFRSI - Bengaluru</t>
        </is>
      </c>
      <c r="C2983" s="37" t="inlineStr">
        <is>
          <t xml:space="preserve">CFRSI </t>
        </is>
      </c>
      <c r="D2983" s="37" t="inlineStr">
        <is>
          <t>2026-07-14</t>
        </is>
      </c>
      <c r="E2983" s="37" t="inlineStr">
        <is>
          <t>Aspirant Interaction</t>
        </is>
      </c>
      <c r="F2983" s="37" t="inlineStr">
        <is>
          <t>Ask whether the AH explained the importance of the offer letter and sharing it with us once received for reporting purposes?</t>
        </is>
      </c>
      <c r="G2983" s="37" t="inlineStr">
        <is>
          <t>All is Well</t>
        </is>
      </c>
    </row>
    <row r="2984">
      <c r="A2984" s="37" t="inlineStr">
        <is>
          <t>S Jakir</t>
        </is>
      </c>
      <c r="B2984" s="37" t="inlineStr">
        <is>
          <t>CFRSI - Bengaluru</t>
        </is>
      </c>
      <c r="C2984" s="37" t="inlineStr">
        <is>
          <t xml:space="preserve">CFRSI </t>
        </is>
      </c>
      <c r="D2984" s="37" t="inlineStr">
        <is>
          <t>2026-07-14</t>
        </is>
      </c>
      <c r="E2984" s="37" t="inlineStr">
        <is>
          <t>Aspirant Interaction</t>
        </is>
      </c>
      <c r="F2984" s="37" t="inlineStr">
        <is>
          <t>Ask how many are not interested in jobs — and if so, why they enrolled in the programme?</t>
        </is>
      </c>
      <c r="G2984" s="37" t="inlineStr">
        <is>
          <t>All is Well</t>
        </is>
      </c>
    </row>
    <row r="2985">
      <c r="A2985" s="37" t="inlineStr">
        <is>
          <t>S Jakir</t>
        </is>
      </c>
      <c r="B2985" s="37" t="inlineStr">
        <is>
          <t>CFRSI - Bengaluru</t>
        </is>
      </c>
      <c r="C2985" s="37" t="inlineStr">
        <is>
          <t xml:space="preserve">CFRSI </t>
        </is>
      </c>
      <c r="D2985" s="37" t="inlineStr">
        <is>
          <t>2026-07-14</t>
        </is>
      </c>
      <c r="E2985" s="37" t="inlineStr">
        <is>
          <t>Aspirant Interaction</t>
        </is>
      </c>
      <c r="F2985" s="37" t="inlineStr">
        <is>
          <t>Ask whether they were told the kind of job they would get during counselling?</t>
        </is>
      </c>
      <c r="G2985" s="37" t="inlineStr">
        <is>
          <t>All is Well</t>
        </is>
      </c>
    </row>
    <row r="2986">
      <c r="A2986" s="37" t="inlineStr">
        <is>
          <t>S Jakir</t>
        </is>
      </c>
      <c r="B2986" s="37" t="inlineStr">
        <is>
          <t>CFRSI - Bengaluru</t>
        </is>
      </c>
      <c r="C2986" s="37" t="inlineStr">
        <is>
          <t xml:space="preserve">CFRSI </t>
        </is>
      </c>
      <c r="D2986" s="37" t="inlineStr">
        <is>
          <t>2026-07-14</t>
        </is>
      </c>
      <c r="E2986" s="37" t="inlineStr">
        <is>
          <t>Aspirant Interaction</t>
        </is>
      </c>
      <c r="F2986" s="37" t="inlineStr">
        <is>
          <t>Ask whether they have been given LMS access?</t>
        </is>
      </c>
      <c r="G2986" s="37" t="inlineStr">
        <is>
          <t>All is Well</t>
        </is>
      </c>
    </row>
    <row r="2987">
      <c r="A2987" s="37" t="inlineStr">
        <is>
          <t>S Jakir</t>
        </is>
      </c>
      <c r="B2987" s="37" t="inlineStr">
        <is>
          <t>CFRSI - Bengaluru</t>
        </is>
      </c>
      <c r="C2987" s="37" t="inlineStr">
        <is>
          <t xml:space="preserve">CFRSI </t>
        </is>
      </c>
      <c r="D2987" s="37" t="inlineStr">
        <is>
          <t>2026-07-14</t>
        </is>
      </c>
      <c r="E2987" s="37" t="inlineStr">
        <is>
          <t>Aspirant Interaction</t>
        </is>
      </c>
      <c r="F2987" s="37" t="inlineStr">
        <is>
          <t>Ask whether anyone asked them for money for training or placement?</t>
        </is>
      </c>
      <c r="G2987" s="37" t="inlineStr">
        <is>
          <t>All is Well</t>
        </is>
      </c>
    </row>
    <row r="2988">
      <c r="A2988" s="37" t="inlineStr">
        <is>
          <t>S Jakir</t>
        </is>
      </c>
      <c r="B2988" s="37" t="inlineStr">
        <is>
          <t>CFRSI - Bengaluru</t>
        </is>
      </c>
      <c r="C2988" s="37" t="inlineStr">
        <is>
          <t xml:space="preserve">CFRSI </t>
        </is>
      </c>
      <c r="D2988" s="37" t="inlineStr">
        <is>
          <t>2026-07-14</t>
        </is>
      </c>
      <c r="E2988" s="37" t="inlineStr">
        <is>
          <t>Aspirant Interaction</t>
        </is>
      </c>
      <c r="F2988" s="37" t="inlineStr">
        <is>
          <t>Ask to show their mobile phones — are they enrolled on Skillfy? If not, get them enrolled and give written feedback to trainers and the AH in your presence.</t>
        </is>
      </c>
      <c r="G2988" s="37" t="inlineStr">
        <is>
          <t>All is Well</t>
        </is>
      </c>
    </row>
    <row r="2989">
      <c r="A2989" s="37" t="inlineStr">
        <is>
          <t>S Jakir</t>
        </is>
      </c>
      <c r="B2989" s="37" t="inlineStr">
        <is>
          <t>CFRSI - Bengaluru</t>
        </is>
      </c>
      <c r="C2989" s="37" t="inlineStr">
        <is>
          <t xml:space="preserve">CFRSI </t>
        </is>
      </c>
      <c r="D2989" s="37" t="inlineStr">
        <is>
          <t>2026-07-14</t>
        </is>
      </c>
      <c r="E2989" s="37" t="inlineStr">
        <is>
          <t>Aspirant Interaction</t>
        </is>
      </c>
      <c r="F2989" s="37" t="inlineStr">
        <is>
          <t>Ask about the quality of the hostel and any issues they face.</t>
        </is>
      </c>
      <c r="G2989" s="37" t="inlineStr">
        <is>
          <t>All is Well</t>
        </is>
      </c>
    </row>
    <row r="2990">
      <c r="A2990" s="37" t="inlineStr">
        <is>
          <t>S Jakir</t>
        </is>
      </c>
      <c r="B2990" s="37" t="inlineStr">
        <is>
          <t>CFRSI - Bengaluru</t>
        </is>
      </c>
      <c r="C2990" s="37" t="inlineStr">
        <is>
          <t xml:space="preserve">CFRSI </t>
        </is>
      </c>
      <c r="D2990" s="37" t="inlineStr">
        <is>
          <t>2026-07-14</t>
        </is>
      </c>
      <c r="E2990" s="37" t="inlineStr">
        <is>
          <t>Aspirant Interaction</t>
        </is>
      </c>
      <c r="F2990" s="37" t="inlineStr">
        <is>
          <t>Ask a few relevant screening questions to support the 10th-day report and remove non-serious candidates, explaining to them the reasons.</t>
        </is>
      </c>
      <c r="G2990" s="37" t="inlineStr">
        <is>
          <t>All is Well</t>
        </is>
      </c>
    </row>
    <row r="2991">
      <c r="A2991" s="37" t="inlineStr">
        <is>
          <t>Phani</t>
        </is>
      </c>
      <c r="B2991" s="37" t="inlineStr">
        <is>
          <t>Krishnalanka</t>
        </is>
      </c>
      <c r="C2991" s="37" t="inlineStr">
        <is>
          <t>Grow Youth</t>
        </is>
      </c>
      <c r="D2991" s="37" t="inlineStr">
        <is>
          <t>2026-07-07</t>
        </is>
      </c>
      <c r="E2991" s="37" t="inlineStr">
        <is>
          <t>Data Check</t>
        </is>
      </c>
      <c r="F2991" s="37" t="inlineStr">
        <is>
          <t>Reach the centre on time (unannounced) — confirm the centre opened on time.</t>
        </is>
      </c>
      <c r="G2991" s="37" t="inlineStr">
        <is>
          <t>All is Well</t>
        </is>
      </c>
    </row>
    <row r="2992">
      <c r="A2992" s="37" t="inlineStr">
        <is>
          <t>Phani</t>
        </is>
      </c>
      <c r="B2992" s="37" t="inlineStr">
        <is>
          <t>Krishnalanka</t>
        </is>
      </c>
      <c r="C2992" s="37" t="inlineStr">
        <is>
          <t>Grow Youth</t>
        </is>
      </c>
      <c r="D2992" s="37" t="inlineStr">
        <is>
          <t>2026-07-07</t>
        </is>
      </c>
      <c r="E2992" s="37" t="inlineStr">
        <is>
          <t>Data Check</t>
        </is>
      </c>
      <c r="F2992" s="37" t="inlineStr">
        <is>
          <t>Check the staff attendance register, the Google Sheet, and geo-tagged photos for aspirants.</t>
        </is>
      </c>
      <c r="G2992" s="37" t="inlineStr">
        <is>
          <t>All is Well</t>
        </is>
      </c>
    </row>
    <row r="2993">
      <c r="A2993" s="37" t="inlineStr">
        <is>
          <t>Phani</t>
        </is>
      </c>
      <c r="B2993" s="37" t="inlineStr">
        <is>
          <t>Krishnalanka</t>
        </is>
      </c>
      <c r="C2993" s="37" t="inlineStr">
        <is>
          <t>Grow Youth</t>
        </is>
      </c>
      <c r="D2993" s="37" t="inlineStr">
        <is>
          <t>2026-07-07</t>
        </is>
      </c>
      <c r="E2993" s="37" t="inlineStr">
        <is>
          <t>Data Check</t>
        </is>
      </c>
      <c r="F2993" s="37" t="inlineStr">
        <is>
          <t>Check Counselling and Screening Forms of recently started batches.</t>
        </is>
      </c>
      <c r="G2993" s="37" t="inlineStr">
        <is>
          <t>Need Improvement</t>
        </is>
      </c>
    </row>
    <row r="2994">
      <c r="A2994" s="37" t="inlineStr">
        <is>
          <t>Phani</t>
        </is>
      </c>
      <c r="B2994" s="37" t="inlineStr">
        <is>
          <t>Krishnalanka</t>
        </is>
      </c>
      <c r="C2994" s="37" t="inlineStr">
        <is>
          <t>Grow Youth</t>
        </is>
      </c>
      <c r="D2994" s="37" t="inlineStr">
        <is>
          <t>2026-07-07</t>
        </is>
      </c>
      <c r="E2994" s="37" t="inlineStr">
        <is>
          <t>Data Check</t>
        </is>
      </c>
      <c r="F2994" s="37" t="inlineStr">
        <is>
          <t>Check Aspirant Registration Forms and related documents.</t>
        </is>
      </c>
      <c r="G2994" s="37" t="inlineStr">
        <is>
          <t>Need Improvement</t>
        </is>
      </c>
    </row>
    <row r="2995">
      <c r="A2995" s="37" t="inlineStr">
        <is>
          <t>Phani</t>
        </is>
      </c>
      <c r="B2995" s="37" t="inlineStr">
        <is>
          <t>Krishnalanka</t>
        </is>
      </c>
      <c r="C2995" s="37" t="inlineStr">
        <is>
          <t>Grow Youth</t>
        </is>
      </c>
      <c r="D2995" s="37" t="inlineStr">
        <is>
          <t>2026-07-07</t>
        </is>
      </c>
      <c r="E2995" s="37" t="inlineStr">
        <is>
          <t>Data Check</t>
        </is>
      </c>
      <c r="F2995" s="37" t="inlineStr">
        <is>
          <t>On the GROW portal, confirm all student profile details and batch updates are currect.</t>
        </is>
      </c>
      <c r="G2995" s="37" t="inlineStr">
        <is>
          <t>All is Well</t>
        </is>
      </c>
    </row>
    <row r="2996">
      <c r="A2996" s="37" t="inlineStr">
        <is>
          <t>Phani</t>
        </is>
      </c>
      <c r="B2996" s="37" t="inlineStr">
        <is>
          <t>Krishnalanka</t>
        </is>
      </c>
      <c r="C2996" s="37" t="inlineStr">
        <is>
          <t>Grow Youth</t>
        </is>
      </c>
      <c r="D2996" s="37" t="inlineStr">
        <is>
          <t>2026-07-07</t>
        </is>
      </c>
      <c r="E2996" s="37" t="inlineStr">
        <is>
          <t>Data Check</t>
        </is>
      </c>
      <c r="F2996" s="37" t="inlineStr">
        <is>
          <t>Verify placement data — randomly call 3–4 alumni placed in the last 3 months to confirm veracity (random selection is essential).</t>
        </is>
      </c>
      <c r="G2996" s="37" t="inlineStr">
        <is>
          <t>Need Improvement</t>
        </is>
      </c>
    </row>
    <row r="2997">
      <c r="A2997" s="37" t="inlineStr">
        <is>
          <t>Phani</t>
        </is>
      </c>
      <c r="B2997" s="37" t="inlineStr">
        <is>
          <t>Krishnalanka</t>
        </is>
      </c>
      <c r="C2997" s="37" t="inlineStr">
        <is>
          <t>Grow Youth</t>
        </is>
      </c>
      <c r="D2997" s="37" t="inlineStr">
        <is>
          <t>2026-07-07</t>
        </is>
      </c>
      <c r="E2997" s="37" t="inlineStr">
        <is>
          <t>Data Check</t>
        </is>
      </c>
      <c r="F2997" s="37" t="inlineStr">
        <is>
          <t>Verify retention — check the Alumni Hand-holding Format is being updated as designed.</t>
        </is>
      </c>
      <c r="G2997" s="37" t="inlineStr">
        <is>
          <t>Need Improvement</t>
        </is>
      </c>
    </row>
    <row r="2998">
      <c r="A2998" s="37" t="inlineStr">
        <is>
          <t>Phani</t>
        </is>
      </c>
      <c r="B2998" s="37" t="inlineStr">
        <is>
          <t>Krishnalanka</t>
        </is>
      </c>
      <c r="C2998" s="37" t="inlineStr">
        <is>
          <t>Grow Youth</t>
        </is>
      </c>
      <c r="D2998" s="37" t="inlineStr">
        <is>
          <t>2026-07-07</t>
        </is>
      </c>
      <c r="E2998" s="37" t="inlineStr">
        <is>
          <t>Data Check</t>
        </is>
      </c>
      <c r="F2998" s="37" t="inlineStr">
        <is>
          <t>Check aspirant Hostel Forms are properly filled or not.</t>
        </is>
      </c>
      <c r="G2998" s="37" t="inlineStr">
        <is>
          <t>Not Applicable</t>
        </is>
      </c>
    </row>
    <row r="2999">
      <c r="A2999" s="37" t="inlineStr">
        <is>
          <t>Phani</t>
        </is>
      </c>
      <c r="B2999" s="37" t="inlineStr">
        <is>
          <t>Krishnalanka</t>
        </is>
      </c>
      <c r="C2999" s="37" t="inlineStr">
        <is>
          <t>Grow Youth</t>
        </is>
      </c>
      <c r="D2999" s="37" t="inlineStr">
        <is>
          <t>2026-07-07</t>
        </is>
      </c>
      <c r="E2999" s="37" t="inlineStr">
        <is>
          <t>Infra Check</t>
        </is>
      </c>
      <c r="F2999" s="37" t="inlineStr">
        <is>
          <t>Check all CCTV cameras; if any are not working, ask the AH to troubleshoot or call the vendor.</t>
        </is>
      </c>
      <c r="G2999" s="37" t="inlineStr">
        <is>
          <t>All is Well</t>
        </is>
      </c>
    </row>
    <row r="3000">
      <c r="A3000" s="37" t="inlineStr">
        <is>
          <t>Phani</t>
        </is>
      </c>
      <c r="B3000" s="37" t="inlineStr">
        <is>
          <t>Krishnalanka</t>
        </is>
      </c>
      <c r="C3000" s="37" t="inlineStr">
        <is>
          <t>Grow Youth</t>
        </is>
      </c>
      <c r="D3000" s="37" t="inlineStr">
        <is>
          <t>2026-07-07</t>
        </is>
      </c>
      <c r="E3000" s="37" t="inlineStr">
        <is>
          <t>Infra Check</t>
        </is>
      </c>
      <c r="F3000" s="37" t="inlineStr">
        <is>
          <t>Check for any scrap material and get it cleared, with support of Admin</t>
        </is>
      </c>
      <c r="G3000" s="37" t="inlineStr">
        <is>
          <t>Need Improvement</t>
        </is>
      </c>
    </row>
    <row r="3001">
      <c r="A3001" s="37" t="inlineStr">
        <is>
          <t>Phani</t>
        </is>
      </c>
      <c r="B3001" s="37" t="inlineStr">
        <is>
          <t>Krishnalanka</t>
        </is>
      </c>
      <c r="C3001" s="37" t="inlineStr">
        <is>
          <t>Grow Youth</t>
        </is>
      </c>
      <c r="D3001" s="37" t="inlineStr">
        <is>
          <t>2026-07-07</t>
        </is>
      </c>
      <c r="E3001" s="37" t="inlineStr">
        <is>
          <t>Infra Check</t>
        </is>
      </c>
      <c r="F3001" s="37" t="inlineStr">
        <is>
          <t>Check for any pending infra repairs.</t>
        </is>
      </c>
      <c r="G3001" s="37" t="inlineStr">
        <is>
          <t>Need Improvement</t>
        </is>
      </c>
    </row>
    <row r="3002">
      <c r="A3002" s="37" t="inlineStr">
        <is>
          <t>Phani</t>
        </is>
      </c>
      <c r="B3002" s="37" t="inlineStr">
        <is>
          <t>Krishnalanka</t>
        </is>
      </c>
      <c r="C3002" s="37" t="inlineStr">
        <is>
          <t>Grow Youth</t>
        </is>
      </c>
      <c r="D3002" s="37" t="inlineStr">
        <is>
          <t>2026-07-07</t>
        </is>
      </c>
      <c r="E3002" s="37" t="inlineStr">
        <is>
          <t>Infra Check</t>
        </is>
      </c>
      <c r="F3002" s="37" t="inlineStr">
        <is>
          <t>Check whether any fire extinguishers have expired (check the needle and expiry date both).</t>
        </is>
      </c>
      <c r="G3002" s="37" t="inlineStr">
        <is>
          <t>Need Improvement</t>
        </is>
      </c>
    </row>
    <row r="3003">
      <c r="A3003" s="37" t="inlineStr">
        <is>
          <t>Phani</t>
        </is>
      </c>
      <c r="B3003" s="37" t="inlineStr">
        <is>
          <t>Krishnalanka</t>
        </is>
      </c>
      <c r="C3003" s="37" t="inlineStr">
        <is>
          <t>Grow Youth</t>
        </is>
      </c>
      <c r="D3003" s="37" t="inlineStr">
        <is>
          <t>2026-07-07</t>
        </is>
      </c>
      <c r="E3003" s="37" t="inlineStr">
        <is>
          <t>Infra Check</t>
        </is>
      </c>
      <c r="F3003" s="37" t="inlineStr">
        <is>
          <t>Check basic cleanliness of the washrooms and the centre.</t>
        </is>
      </c>
      <c r="G3003" s="37" t="inlineStr">
        <is>
          <t>Need Improvement</t>
        </is>
      </c>
    </row>
    <row r="3004">
      <c r="A3004" s="37" t="inlineStr">
        <is>
          <t>Phani</t>
        </is>
      </c>
      <c r="B3004" s="37" t="inlineStr">
        <is>
          <t>Krishnalanka</t>
        </is>
      </c>
      <c r="C3004" s="37" t="inlineStr">
        <is>
          <t>Grow Youth</t>
        </is>
      </c>
      <c r="D3004" s="37" t="inlineStr">
        <is>
          <t>2026-07-07</t>
        </is>
      </c>
      <c r="E3004" s="37" t="inlineStr">
        <is>
          <t>Infra Check</t>
        </is>
      </c>
      <c r="F3004" s="37" t="inlineStr">
        <is>
          <t>Confirm the correct program and partner logos are displayed.</t>
        </is>
      </c>
      <c r="G3004" s="37" t="inlineStr">
        <is>
          <t>All is Well</t>
        </is>
      </c>
    </row>
    <row r="3005">
      <c r="A3005" s="37" t="inlineStr">
        <is>
          <t>Phani</t>
        </is>
      </c>
      <c r="B3005" s="37" t="inlineStr">
        <is>
          <t>Krishnalanka</t>
        </is>
      </c>
      <c r="C3005" s="37" t="inlineStr">
        <is>
          <t>Grow Youth</t>
        </is>
      </c>
      <c r="D3005" s="37" t="inlineStr">
        <is>
          <t>2026-07-07</t>
        </is>
      </c>
      <c r="E3005" s="37" t="inlineStr">
        <is>
          <t>Infra Check</t>
        </is>
      </c>
      <c r="F3005" s="37" t="inlineStr">
        <is>
          <t>Check the status of digital infra — PCs, smartboards, tablets, laptops, etc.</t>
        </is>
      </c>
      <c r="G3005" s="37" t="inlineStr">
        <is>
          <t>Need Improvement</t>
        </is>
      </c>
    </row>
    <row r="3006">
      <c r="A3006" s="37" t="inlineStr">
        <is>
          <t>Phani</t>
        </is>
      </c>
      <c r="B3006" s="37" t="inlineStr">
        <is>
          <t>Krishnalanka</t>
        </is>
      </c>
      <c r="C3006" s="37" t="inlineStr">
        <is>
          <t>Grow Youth</t>
        </is>
      </c>
      <c r="D3006" s="37" t="inlineStr">
        <is>
          <t>2026-07-07</t>
        </is>
      </c>
      <c r="E3006" s="37" t="inlineStr">
        <is>
          <t>Infra Check</t>
        </is>
      </c>
      <c r="F3006" s="37" t="inlineStr">
        <is>
          <t>Make a quick hostel visit; have lunch there if possible to test the food quality.</t>
        </is>
      </c>
      <c r="G3006" s="37" t="inlineStr">
        <is>
          <t>Not Applicable</t>
        </is>
      </c>
    </row>
    <row r="3007">
      <c r="A3007" s="37" t="inlineStr">
        <is>
          <t>Phani</t>
        </is>
      </c>
      <c r="B3007" s="37" t="inlineStr">
        <is>
          <t>Krishnalanka</t>
        </is>
      </c>
      <c r="C3007" s="37" t="inlineStr">
        <is>
          <t>Grow Youth</t>
        </is>
      </c>
      <c r="D3007" s="37" t="inlineStr">
        <is>
          <t>2026-07-07</t>
        </is>
      </c>
      <c r="E3007" s="37" t="inlineStr">
        <is>
          <t>Process Check</t>
        </is>
      </c>
      <c r="F3007" s="37" t="inlineStr">
        <is>
          <t>Refer to the activity planner — check if any activities are delayed.</t>
        </is>
      </c>
      <c r="G3007" s="37" t="inlineStr">
        <is>
          <t>Need Improvement</t>
        </is>
      </c>
    </row>
    <row r="3008">
      <c r="A3008" s="37" t="inlineStr">
        <is>
          <t>Phani</t>
        </is>
      </c>
      <c r="B3008" s="37" t="inlineStr">
        <is>
          <t>Krishnalanka</t>
        </is>
      </c>
      <c r="C3008" s="37" t="inlineStr">
        <is>
          <t>Grow Youth</t>
        </is>
      </c>
      <c r="D3008" s="37" t="inlineStr">
        <is>
          <t>2026-07-07</t>
        </is>
      </c>
      <c r="E3008" s="37" t="inlineStr">
        <is>
          <t>Process Check</t>
        </is>
      </c>
      <c r="F3008" s="37" t="inlineStr">
        <is>
          <t>Check planning for the next batch-start announcement.</t>
        </is>
      </c>
      <c r="G3008" s="37" t="inlineStr">
        <is>
          <t>Need Improvement</t>
        </is>
      </c>
    </row>
    <row r="3009">
      <c r="A3009" s="37" t="inlineStr">
        <is>
          <t>Phani</t>
        </is>
      </c>
      <c r="B3009" s="37" t="inlineStr">
        <is>
          <t>Krishnalanka</t>
        </is>
      </c>
      <c r="C3009" s="37" t="inlineStr">
        <is>
          <t>Grow Youth</t>
        </is>
      </c>
      <c r="D3009" s="37" t="inlineStr">
        <is>
          <t>2026-07-07</t>
        </is>
      </c>
      <c r="E3009" s="37" t="inlineStr">
        <is>
          <t>Process Check</t>
        </is>
      </c>
      <c r="F3009" s="37" t="inlineStr">
        <is>
          <t>Check if any hiring is delayed and plan a resolution.</t>
        </is>
      </c>
      <c r="G3009" s="37" t="inlineStr">
        <is>
          <t>Not Applicable</t>
        </is>
      </c>
    </row>
    <row r="3010">
      <c r="A3010" s="37" t="inlineStr">
        <is>
          <t>Phani</t>
        </is>
      </c>
      <c r="B3010" s="37" t="inlineStr">
        <is>
          <t>Krishnalanka</t>
        </is>
      </c>
      <c r="C3010" s="37" t="inlineStr">
        <is>
          <t>Grow Youth</t>
        </is>
      </c>
      <c r="D3010" s="37" t="inlineStr">
        <is>
          <t>2026-07-07</t>
        </is>
      </c>
      <c r="E3010" s="37" t="inlineStr">
        <is>
          <t>Process Check</t>
        </is>
      </c>
      <c r="F3010" s="37" t="inlineStr">
        <is>
          <t>Check the CA’s diary — is CA guided daily by the AH during planning days?</t>
        </is>
      </c>
      <c r="G3010" s="37" t="inlineStr">
        <is>
          <t>Need Improvement</t>
        </is>
      </c>
    </row>
    <row r="3011">
      <c r="A3011" s="37" t="inlineStr">
        <is>
          <t>Phani</t>
        </is>
      </c>
      <c r="B3011" s="37" t="inlineStr">
        <is>
          <t>Krishnalanka</t>
        </is>
      </c>
      <c r="C3011" s="37" t="inlineStr">
        <is>
          <t>Grow Youth</t>
        </is>
      </c>
      <c r="D3011" s="37" t="inlineStr">
        <is>
          <t>2026-07-07</t>
        </is>
      </c>
      <c r="E3011" s="37" t="inlineStr">
        <is>
          <t>Process Check</t>
        </is>
      </c>
      <c r="F3011" s="37" t="inlineStr">
        <is>
          <t>Check the AH is regularly meeting employers (in person and online) and updating the centre’s Top 20 Employer format.</t>
        </is>
      </c>
      <c r="G3011" s="37" t="inlineStr">
        <is>
          <t>Need Improvement</t>
        </is>
      </c>
    </row>
    <row r="3012">
      <c r="A3012" s="37" t="inlineStr">
        <is>
          <t>Phani</t>
        </is>
      </c>
      <c r="B3012" s="37" t="inlineStr">
        <is>
          <t>Krishnalanka</t>
        </is>
      </c>
      <c r="C3012" s="37" t="inlineStr">
        <is>
          <t>Grow Youth</t>
        </is>
      </c>
      <c r="D3012" s="37" t="inlineStr">
        <is>
          <t>2026-07-07</t>
        </is>
      </c>
      <c r="E3012" s="37" t="inlineStr">
        <is>
          <t>Process Check</t>
        </is>
      </c>
      <c r="F3012" s="37" t="inlineStr">
        <is>
          <t>Confirm all new employers are registered on portal as per new process.</t>
        </is>
      </c>
      <c r="G3012" s="37" t="inlineStr">
        <is>
          <t>All is Well</t>
        </is>
      </c>
    </row>
    <row r="3013">
      <c r="A3013" s="37" t="inlineStr">
        <is>
          <t>Phani</t>
        </is>
      </c>
      <c r="B3013" s="37" t="inlineStr">
        <is>
          <t>Krishnalanka</t>
        </is>
      </c>
      <c r="C3013" s="37" t="inlineStr">
        <is>
          <t>Grow Youth</t>
        </is>
      </c>
      <c r="D3013" s="37" t="inlineStr">
        <is>
          <t>2026-07-07</t>
        </is>
      </c>
      <c r="E3013" s="37" t="inlineStr">
        <is>
          <t>Process Check</t>
        </is>
      </c>
      <c r="F3013" s="37" t="inlineStr">
        <is>
          <t>Confirm 100% of enrolled students undergone screening (for technical courses).</t>
        </is>
      </c>
      <c r="G3013" s="37" t="inlineStr">
        <is>
          <t>Not Applicable</t>
        </is>
      </c>
    </row>
    <row r="3014">
      <c r="A3014" s="37" t="inlineStr">
        <is>
          <t>Phani</t>
        </is>
      </c>
      <c r="B3014" s="37" t="inlineStr">
        <is>
          <t>Krishnalanka</t>
        </is>
      </c>
      <c r="C3014" s="37" t="inlineStr">
        <is>
          <t>Grow Youth</t>
        </is>
      </c>
      <c r="D3014" s="37" t="inlineStr">
        <is>
          <t>2026-07-07</t>
        </is>
      </c>
      <c r="E3014" s="37" t="inlineStr">
        <is>
          <t>Process Check</t>
        </is>
      </c>
      <c r="F3014" s="37" t="inlineStr">
        <is>
          <t>Confirm ESA is done (in GROW full ESA and in Technical courses relevant sections of Core Employability Part).</t>
        </is>
      </c>
      <c r="G3014" s="37" t="inlineStr">
        <is>
          <t>All is Well</t>
        </is>
      </c>
    </row>
    <row r="3015">
      <c r="A3015" s="37" t="inlineStr">
        <is>
          <t>Phani</t>
        </is>
      </c>
      <c r="B3015" s="37" t="inlineStr">
        <is>
          <t>Krishnalanka</t>
        </is>
      </c>
      <c r="C3015" s="37" t="inlineStr">
        <is>
          <t>Grow Youth</t>
        </is>
      </c>
      <c r="D3015" s="37" t="inlineStr">
        <is>
          <t>2026-07-07</t>
        </is>
      </c>
      <c r="E3015" s="37" t="inlineStr">
        <is>
          <t>Process Check</t>
        </is>
      </c>
      <c r="F3015" s="37" t="inlineStr">
        <is>
          <t>Check is AH giving capstone project in GROW Tech.</t>
        </is>
      </c>
      <c r="G3015" s="37" t="inlineStr">
        <is>
          <t>Not Applicable</t>
        </is>
      </c>
    </row>
    <row r="3016">
      <c r="A3016" s="37" t="inlineStr">
        <is>
          <t>Phani</t>
        </is>
      </c>
      <c r="B3016" s="37" t="inlineStr">
        <is>
          <t>Krishnalanka</t>
        </is>
      </c>
      <c r="C3016" s="37" t="inlineStr">
        <is>
          <t>Grow Youth</t>
        </is>
      </c>
      <c r="D3016" s="37" t="inlineStr">
        <is>
          <t>2026-07-07</t>
        </is>
      </c>
      <c r="E3016" s="37" t="inlineStr">
        <is>
          <t>Process Check</t>
        </is>
      </c>
      <c r="F3016" s="37" t="inlineStr">
        <is>
          <t>Check is AH planning OJT as per guidelines and proofs are collected for technical courses.</t>
        </is>
      </c>
      <c r="G3016" s="37" t="inlineStr">
        <is>
          <t>Not Applicable</t>
        </is>
      </c>
    </row>
    <row r="3017">
      <c r="A3017" s="37" t="inlineStr">
        <is>
          <t>Phani</t>
        </is>
      </c>
      <c r="B3017" s="37" t="inlineStr">
        <is>
          <t>Krishnalanka</t>
        </is>
      </c>
      <c r="C3017" s="37" t="inlineStr">
        <is>
          <t>Grow Youth</t>
        </is>
      </c>
      <c r="D3017" s="37" t="inlineStr">
        <is>
          <t>2026-07-07</t>
        </is>
      </c>
      <c r="E3017" s="37" t="inlineStr">
        <is>
          <t>Process Check</t>
        </is>
      </c>
      <c r="F3017" s="37" t="inlineStr">
        <is>
          <t>Check are trainers contacting aspirants to find reason for their absenteeism of more than 1 day.</t>
        </is>
      </c>
      <c r="G3017" s="37" t="inlineStr">
        <is>
          <t>All is Well</t>
        </is>
      </c>
    </row>
    <row r="3018">
      <c r="A3018" s="37" t="inlineStr">
        <is>
          <t>Phani</t>
        </is>
      </c>
      <c r="B3018" s="37" t="inlineStr">
        <is>
          <t>Krishnalanka</t>
        </is>
      </c>
      <c r="C3018" s="37" t="inlineStr">
        <is>
          <t>Grow Youth</t>
        </is>
      </c>
      <c r="D3018" s="37" t="inlineStr">
        <is>
          <t>2026-07-07</t>
        </is>
      </c>
      <c r="E3018" s="37" t="inlineStr">
        <is>
          <t>Process Check</t>
        </is>
      </c>
      <c r="F3018" s="37" t="inlineStr">
        <is>
          <t>Check the AH plans monthly enrolment and placement numbers by the 3rd of each month and shares them with second level managers.</t>
        </is>
      </c>
      <c r="G3018" s="37" t="inlineStr">
        <is>
          <t>Need Improvement</t>
        </is>
      </c>
    </row>
    <row r="3019">
      <c r="A3019" s="37" t="inlineStr">
        <is>
          <t>Phani</t>
        </is>
      </c>
      <c r="B3019" s="37" t="inlineStr">
        <is>
          <t>Krishnalanka</t>
        </is>
      </c>
      <c r="C3019" s="37" t="inlineStr">
        <is>
          <t>Grow Youth</t>
        </is>
      </c>
      <c r="D3019" s="37" t="inlineStr">
        <is>
          <t>2026-07-07</t>
        </is>
      </c>
      <c r="E3019" s="37" t="inlineStr">
        <is>
          <t>Process Check</t>
        </is>
      </c>
      <c r="F3019" s="37" t="inlineStr">
        <is>
          <t>Check trainers submit aspirants’ placement interest areas to the AH by the batch’s 25th day (in GROW).</t>
        </is>
      </c>
      <c r="G3019" s="37" t="inlineStr">
        <is>
          <t>All is Well</t>
        </is>
      </c>
    </row>
    <row r="3020">
      <c r="A3020" s="37" t="inlineStr">
        <is>
          <t>Phani</t>
        </is>
      </c>
      <c r="B3020" s="37" t="inlineStr">
        <is>
          <t>Krishnalanka</t>
        </is>
      </c>
      <c r="C3020" s="37" t="inlineStr">
        <is>
          <t>Grow Youth</t>
        </is>
      </c>
      <c r="D3020" s="37" t="inlineStr">
        <is>
          <t>2026-07-07</t>
        </is>
      </c>
      <c r="E3020" s="37" t="inlineStr">
        <is>
          <t>Process Check</t>
        </is>
      </c>
      <c r="F3020" s="37" t="inlineStr">
        <is>
          <t>Ckeck For technical programs, placement is done only in technical jobs,on which aspirants are trained and relevant emplyers are identified by 45th day.</t>
        </is>
      </c>
      <c r="G3020" s="37" t="inlineStr">
        <is>
          <t>Not Applicable</t>
        </is>
      </c>
    </row>
    <row r="3021">
      <c r="A3021" s="37" t="inlineStr">
        <is>
          <t>Phani</t>
        </is>
      </c>
      <c r="B3021" s="37" t="inlineStr">
        <is>
          <t>Krishnalanka</t>
        </is>
      </c>
      <c r="C3021" s="37" t="inlineStr">
        <is>
          <t>Grow Youth</t>
        </is>
      </c>
      <c r="D3021" s="37" t="inlineStr">
        <is>
          <t>2026-07-07</t>
        </is>
      </c>
      <c r="E3021" s="37" t="inlineStr">
        <is>
          <t>Process Check</t>
        </is>
      </c>
      <c r="F3021" s="37" t="inlineStr">
        <is>
          <t>Check the AH follows EP guidelines and minimum benchmark salary guidelines.</t>
        </is>
      </c>
      <c r="G3021" s="37" t="inlineStr">
        <is>
          <t>Need Improvement</t>
        </is>
      </c>
    </row>
    <row r="3022">
      <c r="A3022" s="37" t="inlineStr">
        <is>
          <t>Phani</t>
        </is>
      </c>
      <c r="B3022" s="37" t="inlineStr">
        <is>
          <t>Krishnalanka</t>
        </is>
      </c>
      <c r="C3022" s="37" t="inlineStr">
        <is>
          <t>Grow Youth</t>
        </is>
      </c>
      <c r="D3022" s="37" t="inlineStr">
        <is>
          <t>2026-07-07</t>
        </is>
      </c>
      <c r="E3022" s="37" t="inlineStr">
        <is>
          <t>Process Check</t>
        </is>
      </c>
      <c r="F3022" s="37" t="inlineStr">
        <is>
          <t>Check that AH is enrolling only the right traget group in the program -as per the defined target.</t>
        </is>
      </c>
      <c r="G3022" s="37" t="inlineStr">
        <is>
          <t>Need Improvement</t>
        </is>
      </c>
    </row>
    <row r="3023">
      <c r="A3023" s="37" t="inlineStr">
        <is>
          <t>Phani</t>
        </is>
      </c>
      <c r="B3023" s="37" t="inlineStr">
        <is>
          <t>Krishnalanka</t>
        </is>
      </c>
      <c r="C3023" s="37" t="inlineStr">
        <is>
          <t>Grow Youth</t>
        </is>
      </c>
      <c r="D3023" s="37" t="inlineStr">
        <is>
          <t>2026-07-07</t>
        </is>
      </c>
      <c r="E3023" s="37" t="inlineStr">
        <is>
          <t>Process Check</t>
        </is>
      </c>
      <c r="F3023" s="37" t="inlineStr">
        <is>
          <t>Check the AH announces the next batch-start date by the 3rd of the month on all notice boards — focus on Zero-Day start.</t>
        </is>
      </c>
      <c r="G3023" s="37" t="inlineStr">
        <is>
          <t>Need Improvement</t>
        </is>
      </c>
    </row>
    <row r="3024">
      <c r="A3024" s="37" t="inlineStr">
        <is>
          <t>Phani</t>
        </is>
      </c>
      <c r="B3024" s="37" t="inlineStr">
        <is>
          <t>Krishnalanka</t>
        </is>
      </c>
      <c r="C3024" s="37" t="inlineStr">
        <is>
          <t>Grow Youth</t>
        </is>
      </c>
      <c r="D3024" s="37" t="inlineStr">
        <is>
          <t>2026-07-07</t>
        </is>
      </c>
      <c r="E3024" s="37" t="inlineStr">
        <is>
          <t>Process Check</t>
        </is>
      </c>
      <c r="F3024" s="37" t="inlineStr">
        <is>
          <t>Check the Aspirant Mock Interview Score Tracker is updated after every mock interview in the L&amp;D Google Sheet.</t>
        </is>
      </c>
      <c r="G3024" s="37" t="inlineStr">
        <is>
          <t>Need Improvement</t>
        </is>
      </c>
    </row>
    <row r="3025">
      <c r="A3025" s="37" t="inlineStr">
        <is>
          <t>Phani</t>
        </is>
      </c>
      <c r="B3025" s="37" t="inlineStr">
        <is>
          <t>Krishnalanka</t>
        </is>
      </c>
      <c r="C3025" s="37" t="inlineStr">
        <is>
          <t>Grow Youth</t>
        </is>
      </c>
      <c r="D3025" s="37" t="inlineStr">
        <is>
          <t>2026-07-07</t>
        </is>
      </c>
      <c r="E3025" s="37" t="inlineStr">
        <is>
          <t>Process Check</t>
        </is>
      </c>
      <c r="F3025" s="37" t="inlineStr">
        <is>
          <t>Confirm NPS (Net Promoter Score) is collected at MSDF centres.</t>
        </is>
      </c>
      <c r="G3025" s="37" t="inlineStr">
        <is>
          <t>Not Applicable</t>
        </is>
      </c>
    </row>
    <row r="3026">
      <c r="A3026" s="37" t="inlineStr">
        <is>
          <t>Phani</t>
        </is>
      </c>
      <c r="B3026" s="37" t="inlineStr">
        <is>
          <t>Krishnalanka</t>
        </is>
      </c>
      <c r="C3026" s="37" t="inlineStr">
        <is>
          <t>Grow Youth</t>
        </is>
      </c>
      <c r="D3026" s="37" t="inlineStr">
        <is>
          <t>2026-07-07</t>
        </is>
      </c>
      <c r="E3026" s="37" t="inlineStr">
        <is>
          <t>Process Check</t>
        </is>
      </c>
      <c r="F3026" s="37" t="inlineStr">
        <is>
          <t>Confirm that QAE is collecting student feedback for every batch.</t>
        </is>
      </c>
      <c r="G3026" s="37" t="inlineStr">
        <is>
          <t>All is Well</t>
        </is>
      </c>
    </row>
    <row r="3027">
      <c r="A3027" s="37" t="inlineStr">
        <is>
          <t>Phani</t>
        </is>
      </c>
      <c r="B3027" s="37" t="inlineStr">
        <is>
          <t>Krishnalanka</t>
        </is>
      </c>
      <c r="C3027" s="37" t="inlineStr">
        <is>
          <t>Grow Youth</t>
        </is>
      </c>
      <c r="D3027" s="37" t="inlineStr">
        <is>
          <t>2026-07-07</t>
        </is>
      </c>
      <c r="E3027" s="37" t="inlineStr">
        <is>
          <t>Process Check</t>
        </is>
      </c>
      <c r="F3027" s="37" t="inlineStr">
        <is>
          <t>Confirm all centre teams have completed the GROW Manual Course on Skillfy — ask for achievement certificates.</t>
        </is>
      </c>
      <c r="G3027" s="37" t="inlineStr">
        <is>
          <t>All is Well</t>
        </is>
      </c>
    </row>
    <row r="3028">
      <c r="A3028" s="37" t="inlineStr">
        <is>
          <t>Phani</t>
        </is>
      </c>
      <c r="B3028" s="37" t="inlineStr">
        <is>
          <t>Krishnalanka</t>
        </is>
      </c>
      <c r="C3028" s="37" t="inlineStr">
        <is>
          <t>Grow Youth</t>
        </is>
      </c>
      <c r="D3028" s="37" t="inlineStr">
        <is>
          <t>2026-07-07</t>
        </is>
      </c>
      <c r="E3028" s="37" t="inlineStr">
        <is>
          <t>Process Check</t>
        </is>
      </c>
      <c r="F3028" s="37" t="inlineStr">
        <is>
          <t>Check AH holds a quality weekly team meeting, documents action points in the weekly meeting format, and sends you a photo on WhatsApp.</t>
        </is>
      </c>
      <c r="G3028" s="37" t="inlineStr">
        <is>
          <t>Need Improvement</t>
        </is>
      </c>
    </row>
    <row r="3029">
      <c r="A3029" s="37" t="inlineStr">
        <is>
          <t>Phani</t>
        </is>
      </c>
      <c r="B3029" s="37" t="inlineStr">
        <is>
          <t>Krishnalanka</t>
        </is>
      </c>
      <c r="C3029" s="37" t="inlineStr">
        <is>
          <t>Grow Youth</t>
        </is>
      </c>
      <c r="D3029" s="37" t="inlineStr">
        <is>
          <t>2026-07-07</t>
        </is>
      </c>
      <c r="E3029" s="37" t="inlineStr">
        <is>
          <t>Aspirant Interaction</t>
        </is>
      </c>
      <c r="F3029" s="37" t="inlineStr">
        <is>
          <t>Ask aspirants about the session plan — confirm training is happening as planned?</t>
        </is>
      </c>
      <c r="G3029" s="37" t="inlineStr">
        <is>
          <t>Need Improvement</t>
        </is>
      </c>
    </row>
    <row r="3030">
      <c r="A3030" s="37" t="inlineStr">
        <is>
          <t>Phani</t>
        </is>
      </c>
      <c r="B3030" s="37" t="inlineStr">
        <is>
          <t>Krishnalanka</t>
        </is>
      </c>
      <c r="C3030" s="37" t="inlineStr">
        <is>
          <t>Grow Youth</t>
        </is>
      </c>
      <c r="D3030" s="37" t="inlineStr">
        <is>
          <t>2026-07-07</t>
        </is>
      </c>
      <c r="E3030" s="37" t="inlineStr">
        <is>
          <t>Aspirant Interaction</t>
        </is>
      </c>
      <c r="F3030" s="37" t="inlineStr">
        <is>
          <t>Ask about the quality of Core Employability component delivery (technical centres) and who delivers it.</t>
        </is>
      </c>
      <c r="G3030" s="37" t="inlineStr">
        <is>
          <t>Need Improvement</t>
        </is>
      </c>
    </row>
    <row r="3031">
      <c r="A3031" s="37" t="inlineStr">
        <is>
          <t>Phani</t>
        </is>
      </c>
      <c r="B3031" s="37" t="inlineStr">
        <is>
          <t>Krishnalanka</t>
        </is>
      </c>
      <c r="C3031" s="37" t="inlineStr">
        <is>
          <t>Grow Youth</t>
        </is>
      </c>
      <c r="D3031" s="37" t="inlineStr">
        <is>
          <t>2026-07-07</t>
        </is>
      </c>
      <c r="E3031" s="37" t="inlineStr">
        <is>
          <t>Aspirant Interaction</t>
        </is>
      </c>
      <c r="F3031" s="37" t="inlineStr">
        <is>
          <t>Ask whether they are aware of the referral scheme?</t>
        </is>
      </c>
      <c r="G3031" s="37" t="inlineStr">
        <is>
          <t>All is Well</t>
        </is>
      </c>
    </row>
    <row r="3032">
      <c r="A3032" s="37" t="inlineStr">
        <is>
          <t>Phani</t>
        </is>
      </c>
      <c r="B3032" s="37" t="inlineStr">
        <is>
          <t>Krishnalanka</t>
        </is>
      </c>
      <c r="C3032" s="37" t="inlineStr">
        <is>
          <t>Grow Youth</t>
        </is>
      </c>
      <c r="D3032" s="37" t="inlineStr">
        <is>
          <t>2026-07-07</t>
        </is>
      </c>
      <c r="E3032" s="37" t="inlineStr">
        <is>
          <t>Aspirant Interaction</t>
        </is>
      </c>
      <c r="F3032" s="37" t="inlineStr">
        <is>
          <t>Ask whether the AH explained the importance of the offer letter and sharing it with us once received for reporting purposes?</t>
        </is>
      </c>
      <c r="G3032" s="37" t="inlineStr">
        <is>
          <t>Need Improvement</t>
        </is>
      </c>
    </row>
    <row r="3033">
      <c r="A3033" s="37" t="inlineStr">
        <is>
          <t>Phani</t>
        </is>
      </c>
      <c r="B3033" s="37" t="inlineStr">
        <is>
          <t>Krishnalanka</t>
        </is>
      </c>
      <c r="C3033" s="37" t="inlineStr">
        <is>
          <t>Grow Youth</t>
        </is>
      </c>
      <c r="D3033" s="37" t="inlineStr">
        <is>
          <t>2026-07-07</t>
        </is>
      </c>
      <c r="E3033" s="37" t="inlineStr">
        <is>
          <t>Aspirant Interaction</t>
        </is>
      </c>
      <c r="F3033" s="37" t="inlineStr">
        <is>
          <t>Ask how many are not interested in jobs — and if so, why they enrolled in the programme?</t>
        </is>
      </c>
      <c r="G3033" s="37" t="inlineStr">
        <is>
          <t>All is Well</t>
        </is>
      </c>
    </row>
    <row r="3034">
      <c r="A3034" s="37" t="inlineStr">
        <is>
          <t>Phani</t>
        </is>
      </c>
      <c r="B3034" s="37" t="inlineStr">
        <is>
          <t>Krishnalanka</t>
        </is>
      </c>
      <c r="C3034" s="37" t="inlineStr">
        <is>
          <t>Grow Youth</t>
        </is>
      </c>
      <c r="D3034" s="37" t="inlineStr">
        <is>
          <t>2026-07-07</t>
        </is>
      </c>
      <c r="E3034" s="37" t="inlineStr">
        <is>
          <t>Aspirant Interaction</t>
        </is>
      </c>
      <c r="F3034" s="37" t="inlineStr">
        <is>
          <t>Ask whether they were told the kind of job they would get during counselling?</t>
        </is>
      </c>
      <c r="G3034" s="37" t="inlineStr">
        <is>
          <t>Need Improvement</t>
        </is>
      </c>
    </row>
    <row r="3035">
      <c r="A3035" s="37" t="inlineStr">
        <is>
          <t>Phani</t>
        </is>
      </c>
      <c r="B3035" s="37" t="inlineStr">
        <is>
          <t>Krishnalanka</t>
        </is>
      </c>
      <c r="C3035" s="37" t="inlineStr">
        <is>
          <t>Grow Youth</t>
        </is>
      </c>
      <c r="D3035" s="37" t="inlineStr">
        <is>
          <t>2026-07-07</t>
        </is>
      </c>
      <c r="E3035" s="37" t="inlineStr">
        <is>
          <t>Aspirant Interaction</t>
        </is>
      </c>
      <c r="F3035" s="37" t="inlineStr">
        <is>
          <t>Ask whether they have been given LMS access?</t>
        </is>
      </c>
      <c r="G3035" s="37" t="inlineStr">
        <is>
          <t>Need Improvement</t>
        </is>
      </c>
    </row>
    <row r="3036">
      <c r="A3036" s="37" t="inlineStr">
        <is>
          <t>Phani</t>
        </is>
      </c>
      <c r="B3036" s="37" t="inlineStr">
        <is>
          <t>Krishnalanka</t>
        </is>
      </c>
      <c r="C3036" s="37" t="inlineStr">
        <is>
          <t>Grow Youth</t>
        </is>
      </c>
      <c r="D3036" s="37" t="inlineStr">
        <is>
          <t>2026-07-07</t>
        </is>
      </c>
      <c r="E3036" s="37" t="inlineStr">
        <is>
          <t>Aspirant Interaction</t>
        </is>
      </c>
      <c r="F3036" s="37" t="inlineStr">
        <is>
          <t>Ask whether anyone asked them for money for training or placement?</t>
        </is>
      </c>
      <c r="G3036" s="37" t="inlineStr">
        <is>
          <t>All is Well</t>
        </is>
      </c>
    </row>
    <row r="3037">
      <c r="A3037" s="37" t="inlineStr">
        <is>
          <t>Phani</t>
        </is>
      </c>
      <c r="B3037" s="37" t="inlineStr">
        <is>
          <t>Krishnalanka</t>
        </is>
      </c>
      <c r="C3037" s="37" t="inlineStr">
        <is>
          <t>Grow Youth</t>
        </is>
      </c>
      <c r="D3037" s="37" t="inlineStr">
        <is>
          <t>2026-07-07</t>
        </is>
      </c>
      <c r="E3037" s="37" t="inlineStr">
        <is>
          <t>Aspirant Interaction</t>
        </is>
      </c>
      <c r="F3037" s="37" t="inlineStr">
        <is>
          <t>Ask to show their mobile phones — are they enrolled on Skillfy? If not, get them enrolled and give written feedback to trainers and the AH in your presence.</t>
        </is>
      </c>
      <c r="G3037" s="37" t="inlineStr">
        <is>
          <t>Need Improvement</t>
        </is>
      </c>
    </row>
    <row r="3038">
      <c r="A3038" s="37" t="inlineStr">
        <is>
          <t>Phani</t>
        </is>
      </c>
      <c r="B3038" s="37" t="inlineStr">
        <is>
          <t>Krishnalanka</t>
        </is>
      </c>
      <c r="C3038" s="37" t="inlineStr">
        <is>
          <t>Grow Youth</t>
        </is>
      </c>
      <c r="D3038" s="37" t="inlineStr">
        <is>
          <t>2026-07-07</t>
        </is>
      </c>
      <c r="E3038" s="37" t="inlineStr">
        <is>
          <t>Aspirant Interaction</t>
        </is>
      </c>
      <c r="F3038" s="37" t="inlineStr">
        <is>
          <t>Ask about the quality of the hostel and any issues they face.</t>
        </is>
      </c>
      <c r="G3038" s="37" t="inlineStr">
        <is>
          <t>Need Improvement</t>
        </is>
      </c>
    </row>
    <row r="3039">
      <c r="A3039" s="37" t="inlineStr">
        <is>
          <t>Phani</t>
        </is>
      </c>
      <c r="B3039" s="37" t="inlineStr">
        <is>
          <t>Krishnalanka</t>
        </is>
      </c>
      <c r="C3039" s="37" t="inlineStr">
        <is>
          <t>Grow Youth</t>
        </is>
      </c>
      <c r="D3039" s="37" t="inlineStr">
        <is>
          <t>2026-07-07</t>
        </is>
      </c>
      <c r="E3039" s="37" t="inlineStr">
        <is>
          <t>Aspirant Interaction</t>
        </is>
      </c>
      <c r="F3039" s="37" t="inlineStr">
        <is>
          <t>Ask a few relevant screening questions to support the 10th-day report and remove non-serious candidates, explaining to them the reasons.</t>
        </is>
      </c>
      <c r="G3039" s="37" t="inlineStr">
        <is>
          <t>All is Well</t>
        </is>
      </c>
    </row>
    <row r="3040">
      <c r="A3040" s="37" t="inlineStr">
        <is>
          <t>Phani</t>
        </is>
      </c>
      <c r="B3040" s="37" t="inlineStr">
        <is>
          <t>Guntur</t>
        </is>
      </c>
      <c r="C3040" s="37" t="inlineStr">
        <is>
          <t>Grow Youth</t>
        </is>
      </c>
      <c r="D3040" s="37" t="inlineStr">
        <is>
          <t>2026-07-07</t>
        </is>
      </c>
      <c r="E3040" s="37" t="inlineStr">
        <is>
          <t>Data Check</t>
        </is>
      </c>
      <c r="F3040" s="37" t="inlineStr">
        <is>
          <t>Reach the centre on time (unannounced) — confirm the centre opened on time.</t>
        </is>
      </c>
      <c r="G3040" s="37" t="inlineStr">
        <is>
          <t>All is Well</t>
        </is>
      </c>
    </row>
    <row r="3041">
      <c r="A3041" s="37" t="inlineStr">
        <is>
          <t>Phani</t>
        </is>
      </c>
      <c r="B3041" s="37" t="inlineStr">
        <is>
          <t>Guntur</t>
        </is>
      </c>
      <c r="C3041" s="37" t="inlineStr">
        <is>
          <t>Grow Youth</t>
        </is>
      </c>
      <c r="D3041" s="37" t="inlineStr">
        <is>
          <t>2026-07-07</t>
        </is>
      </c>
      <c r="E3041" s="37" t="inlineStr">
        <is>
          <t>Data Check</t>
        </is>
      </c>
      <c r="F3041" s="37" t="inlineStr">
        <is>
          <t>Check the staff attendance register, the Google Sheet, and geo-tagged photos for aspirants.</t>
        </is>
      </c>
      <c r="G3041" s="37" t="inlineStr">
        <is>
          <t>All is Well</t>
        </is>
      </c>
    </row>
    <row r="3042">
      <c r="A3042" s="37" t="inlineStr">
        <is>
          <t>Phani</t>
        </is>
      </c>
      <c r="B3042" s="37" t="inlineStr">
        <is>
          <t>Guntur</t>
        </is>
      </c>
      <c r="C3042" s="37" t="inlineStr">
        <is>
          <t>Grow Youth</t>
        </is>
      </c>
      <c r="D3042" s="37" t="inlineStr">
        <is>
          <t>2026-07-07</t>
        </is>
      </c>
      <c r="E3042" s="37" t="inlineStr">
        <is>
          <t>Data Check</t>
        </is>
      </c>
      <c r="F3042" s="37" t="inlineStr">
        <is>
          <t>Check Counselling and Screening Forms of recently started batches.</t>
        </is>
      </c>
      <c r="G3042" s="37" t="inlineStr">
        <is>
          <t>All is Well</t>
        </is>
      </c>
    </row>
    <row r="3043">
      <c r="A3043" s="37" t="inlineStr">
        <is>
          <t>Phani</t>
        </is>
      </c>
      <c r="B3043" s="37" t="inlineStr">
        <is>
          <t>Guntur</t>
        </is>
      </c>
      <c r="C3043" s="37" t="inlineStr">
        <is>
          <t>Grow Youth</t>
        </is>
      </c>
      <c r="D3043" s="37" t="inlineStr">
        <is>
          <t>2026-07-07</t>
        </is>
      </c>
      <c r="E3043" s="37" t="inlineStr">
        <is>
          <t>Data Check</t>
        </is>
      </c>
      <c r="F3043" s="37" t="inlineStr">
        <is>
          <t>Check Aspirant Registration Forms and related documents.</t>
        </is>
      </c>
      <c r="G3043" s="37" t="inlineStr">
        <is>
          <t>All is Well</t>
        </is>
      </c>
    </row>
    <row r="3044">
      <c r="A3044" s="37" t="inlineStr">
        <is>
          <t>Phani</t>
        </is>
      </c>
      <c r="B3044" s="37" t="inlineStr">
        <is>
          <t>Guntur</t>
        </is>
      </c>
      <c r="C3044" s="37" t="inlineStr">
        <is>
          <t>Grow Youth</t>
        </is>
      </c>
      <c r="D3044" s="37" t="inlineStr">
        <is>
          <t>2026-07-07</t>
        </is>
      </c>
      <c r="E3044" s="37" t="inlineStr">
        <is>
          <t>Data Check</t>
        </is>
      </c>
      <c r="F3044" s="37" t="inlineStr">
        <is>
          <t>On the GROW portal, confirm all student profile details and batch updates are currect.</t>
        </is>
      </c>
      <c r="G3044" s="37" t="inlineStr">
        <is>
          <t>All is Well</t>
        </is>
      </c>
    </row>
    <row r="3045">
      <c r="A3045" s="37" t="inlineStr">
        <is>
          <t>Phani</t>
        </is>
      </c>
      <c r="B3045" s="37" t="inlineStr">
        <is>
          <t>Guntur</t>
        </is>
      </c>
      <c r="C3045" s="37" t="inlineStr">
        <is>
          <t>Grow Youth</t>
        </is>
      </c>
      <c r="D3045" s="37" t="inlineStr">
        <is>
          <t>2026-07-07</t>
        </is>
      </c>
      <c r="E3045" s="37" t="inlineStr">
        <is>
          <t>Data Check</t>
        </is>
      </c>
      <c r="F3045" s="37" t="inlineStr">
        <is>
          <t>Verify placement data — randomly call 3–4 alumni placed in the last 3 months to confirm veracity (random selection is essential).</t>
        </is>
      </c>
      <c r="G3045" s="37" t="inlineStr">
        <is>
          <t>All is Well</t>
        </is>
      </c>
    </row>
    <row r="3046">
      <c r="A3046" s="37" t="inlineStr">
        <is>
          <t>Phani</t>
        </is>
      </c>
      <c r="B3046" s="37" t="inlineStr">
        <is>
          <t>Guntur</t>
        </is>
      </c>
      <c r="C3046" s="37" t="inlineStr">
        <is>
          <t>Grow Youth</t>
        </is>
      </c>
      <c r="D3046" s="37" t="inlineStr">
        <is>
          <t>2026-07-07</t>
        </is>
      </c>
      <c r="E3046" s="37" t="inlineStr">
        <is>
          <t>Data Check</t>
        </is>
      </c>
      <c r="F3046" s="37" t="inlineStr">
        <is>
          <t>Verify retention — check the Alumni Hand-holding Format is being updated as designed.</t>
        </is>
      </c>
      <c r="G3046" s="37" t="inlineStr">
        <is>
          <t>Need Improvement</t>
        </is>
      </c>
    </row>
    <row r="3047">
      <c r="A3047" s="37" t="inlineStr">
        <is>
          <t>Phani</t>
        </is>
      </c>
      <c r="B3047" s="37" t="inlineStr">
        <is>
          <t>Guntur</t>
        </is>
      </c>
      <c r="C3047" s="37" t="inlineStr">
        <is>
          <t>Grow Youth</t>
        </is>
      </c>
      <c r="D3047" s="37" t="inlineStr">
        <is>
          <t>2026-07-07</t>
        </is>
      </c>
      <c r="E3047" s="37" t="inlineStr">
        <is>
          <t>Data Check</t>
        </is>
      </c>
      <c r="F3047" s="37" t="inlineStr">
        <is>
          <t>Check aspirant Hostel Forms are properly filled or not.</t>
        </is>
      </c>
      <c r="G3047" s="37" t="inlineStr">
        <is>
          <t>Not Applicable</t>
        </is>
      </c>
    </row>
    <row r="3048">
      <c r="A3048" s="37" t="inlineStr">
        <is>
          <t>Phani</t>
        </is>
      </c>
      <c r="B3048" s="37" t="inlineStr">
        <is>
          <t>Guntur</t>
        </is>
      </c>
      <c r="C3048" s="37" t="inlineStr">
        <is>
          <t>Grow Youth</t>
        </is>
      </c>
      <c r="D3048" s="37" t="inlineStr">
        <is>
          <t>2026-07-07</t>
        </is>
      </c>
      <c r="E3048" s="37" t="inlineStr">
        <is>
          <t>Infra Check</t>
        </is>
      </c>
      <c r="F3048" s="37" t="inlineStr">
        <is>
          <t>Check all CCTV cameras; if any are not working, ask the AH to troubleshoot or call the vendor.</t>
        </is>
      </c>
      <c r="G3048" s="37" t="inlineStr">
        <is>
          <t>All is Well</t>
        </is>
      </c>
    </row>
    <row r="3049">
      <c r="A3049" s="37" t="inlineStr">
        <is>
          <t>Phani</t>
        </is>
      </c>
      <c r="B3049" s="37" t="inlineStr">
        <is>
          <t>Guntur</t>
        </is>
      </c>
      <c r="C3049" s="37" t="inlineStr">
        <is>
          <t>Grow Youth</t>
        </is>
      </c>
      <c r="D3049" s="37" t="inlineStr">
        <is>
          <t>2026-07-07</t>
        </is>
      </c>
      <c r="E3049" s="37" t="inlineStr">
        <is>
          <t>Infra Check</t>
        </is>
      </c>
      <c r="F3049" s="37" t="inlineStr">
        <is>
          <t>Check for any scrap material and get it cleared, with support of Admin</t>
        </is>
      </c>
      <c r="G3049" s="37" t="inlineStr">
        <is>
          <t>All is Well</t>
        </is>
      </c>
    </row>
    <row r="3050">
      <c r="A3050" s="37" t="inlineStr">
        <is>
          <t>Phani</t>
        </is>
      </c>
      <c r="B3050" s="37" t="inlineStr">
        <is>
          <t>Guntur</t>
        </is>
      </c>
      <c r="C3050" s="37" t="inlineStr">
        <is>
          <t>Grow Youth</t>
        </is>
      </c>
      <c r="D3050" s="37" t="inlineStr">
        <is>
          <t>2026-07-07</t>
        </is>
      </c>
      <c r="E3050" s="37" t="inlineStr">
        <is>
          <t>Infra Check</t>
        </is>
      </c>
      <c r="F3050" s="37" t="inlineStr">
        <is>
          <t>Check for any pending infra repairs.</t>
        </is>
      </c>
      <c r="G3050" s="37" t="inlineStr">
        <is>
          <t>All is Well</t>
        </is>
      </c>
    </row>
    <row r="3051">
      <c r="A3051" s="37" t="inlineStr">
        <is>
          <t>Phani</t>
        </is>
      </c>
      <c r="B3051" s="37" t="inlineStr">
        <is>
          <t>Guntur</t>
        </is>
      </c>
      <c r="C3051" s="37" t="inlineStr">
        <is>
          <t>Grow Youth</t>
        </is>
      </c>
      <c r="D3051" s="37" t="inlineStr">
        <is>
          <t>2026-07-07</t>
        </is>
      </c>
      <c r="E3051" s="37" t="inlineStr">
        <is>
          <t>Infra Check</t>
        </is>
      </c>
      <c r="F3051" s="37" t="inlineStr">
        <is>
          <t>Check whether any fire extinguishers have expired (check the needle and expiry date both).</t>
        </is>
      </c>
      <c r="G3051" s="37" t="inlineStr">
        <is>
          <t>Need Improvement</t>
        </is>
      </c>
    </row>
    <row r="3052">
      <c r="A3052" s="37" t="inlineStr">
        <is>
          <t>Phani</t>
        </is>
      </c>
      <c r="B3052" s="37" t="inlineStr">
        <is>
          <t>Guntur</t>
        </is>
      </c>
      <c r="C3052" s="37" t="inlineStr">
        <is>
          <t>Grow Youth</t>
        </is>
      </c>
      <c r="D3052" s="37" t="inlineStr">
        <is>
          <t>2026-07-07</t>
        </is>
      </c>
      <c r="E3052" s="37" t="inlineStr">
        <is>
          <t>Infra Check</t>
        </is>
      </c>
      <c r="F3052" s="37" t="inlineStr">
        <is>
          <t>Check basic cleanliness of the washrooms and the centre.</t>
        </is>
      </c>
      <c r="G3052" s="37" t="inlineStr">
        <is>
          <t>All is Well</t>
        </is>
      </c>
    </row>
    <row r="3053">
      <c r="A3053" s="37" t="inlineStr">
        <is>
          <t>Phani</t>
        </is>
      </c>
      <c r="B3053" s="37" t="inlineStr">
        <is>
          <t>Guntur</t>
        </is>
      </c>
      <c r="C3053" s="37" t="inlineStr">
        <is>
          <t>Grow Youth</t>
        </is>
      </c>
      <c r="D3053" s="37" t="inlineStr">
        <is>
          <t>2026-07-07</t>
        </is>
      </c>
      <c r="E3053" s="37" t="inlineStr">
        <is>
          <t>Infra Check</t>
        </is>
      </c>
      <c r="F3053" s="37" t="inlineStr">
        <is>
          <t>Confirm the correct program and partner logos are displayed.</t>
        </is>
      </c>
      <c r="G3053" s="37" t="inlineStr">
        <is>
          <t>All is Well</t>
        </is>
      </c>
    </row>
    <row r="3054">
      <c r="A3054" s="37" t="inlineStr">
        <is>
          <t>Phani</t>
        </is>
      </c>
      <c r="B3054" s="37" t="inlineStr">
        <is>
          <t>Guntur</t>
        </is>
      </c>
      <c r="C3054" s="37" t="inlineStr">
        <is>
          <t>Grow Youth</t>
        </is>
      </c>
      <c r="D3054" s="37" t="inlineStr">
        <is>
          <t>2026-07-07</t>
        </is>
      </c>
      <c r="E3054" s="37" t="inlineStr">
        <is>
          <t>Infra Check</t>
        </is>
      </c>
      <c r="F3054" s="37" t="inlineStr">
        <is>
          <t>Check the status of digital infra — PCs, smartboards, tablets, laptops, etc.</t>
        </is>
      </c>
      <c r="G3054" s="37" t="inlineStr">
        <is>
          <t>All is Well</t>
        </is>
      </c>
    </row>
    <row r="3055">
      <c r="A3055" s="37" t="inlineStr">
        <is>
          <t>Phani</t>
        </is>
      </c>
      <c r="B3055" s="37" t="inlineStr">
        <is>
          <t>Guntur</t>
        </is>
      </c>
      <c r="C3055" s="37" t="inlineStr">
        <is>
          <t>Grow Youth</t>
        </is>
      </c>
      <c r="D3055" s="37" t="inlineStr">
        <is>
          <t>2026-07-07</t>
        </is>
      </c>
      <c r="E3055" s="37" t="inlineStr">
        <is>
          <t>Infra Check</t>
        </is>
      </c>
      <c r="F3055" s="37" t="inlineStr">
        <is>
          <t>Make a quick hostel visit; have lunch there if possible to test the food quality.</t>
        </is>
      </c>
      <c r="G3055" s="37" t="inlineStr">
        <is>
          <t>Not Applicable</t>
        </is>
      </c>
    </row>
    <row r="3056">
      <c r="A3056" s="37" t="inlineStr">
        <is>
          <t>Phani</t>
        </is>
      </c>
      <c r="B3056" s="37" t="inlineStr">
        <is>
          <t>Guntur</t>
        </is>
      </c>
      <c r="C3056" s="37" t="inlineStr">
        <is>
          <t>Grow Youth</t>
        </is>
      </c>
      <c r="D3056" s="37" t="inlineStr">
        <is>
          <t>2026-07-07</t>
        </is>
      </c>
      <c r="E3056" s="37" t="inlineStr">
        <is>
          <t>Process Check</t>
        </is>
      </c>
      <c r="F3056" s="37" t="inlineStr">
        <is>
          <t>Refer to the activity planner — check if any activities are delayed.</t>
        </is>
      </c>
      <c r="G3056" s="37" t="inlineStr">
        <is>
          <t>Not Applicable</t>
        </is>
      </c>
    </row>
    <row r="3057">
      <c r="A3057" s="37" t="inlineStr">
        <is>
          <t>Phani</t>
        </is>
      </c>
      <c r="B3057" s="37" t="inlineStr">
        <is>
          <t>Guntur</t>
        </is>
      </c>
      <c r="C3057" s="37" t="inlineStr">
        <is>
          <t>Grow Youth</t>
        </is>
      </c>
      <c r="D3057" s="37" t="inlineStr">
        <is>
          <t>2026-07-07</t>
        </is>
      </c>
      <c r="E3057" s="37" t="inlineStr">
        <is>
          <t>Process Check</t>
        </is>
      </c>
      <c r="F3057" s="37" t="inlineStr">
        <is>
          <t>Check planning for the next batch-start announcement.</t>
        </is>
      </c>
      <c r="G3057" s="37" t="inlineStr">
        <is>
          <t>All is Well</t>
        </is>
      </c>
    </row>
    <row r="3058">
      <c r="A3058" s="37" t="inlineStr">
        <is>
          <t>Phani</t>
        </is>
      </c>
      <c r="B3058" s="37" t="inlineStr">
        <is>
          <t>Guntur</t>
        </is>
      </c>
      <c r="C3058" s="37" t="inlineStr">
        <is>
          <t>Grow Youth</t>
        </is>
      </c>
      <c r="D3058" s="37" t="inlineStr">
        <is>
          <t>2026-07-07</t>
        </is>
      </c>
      <c r="E3058" s="37" t="inlineStr">
        <is>
          <t>Process Check</t>
        </is>
      </c>
      <c r="F3058" s="37" t="inlineStr">
        <is>
          <t>Check if any hiring is delayed and plan a resolution.</t>
        </is>
      </c>
      <c r="G3058" s="37" t="inlineStr">
        <is>
          <t>All is Well</t>
        </is>
      </c>
    </row>
    <row r="3059">
      <c r="A3059" s="37" t="inlineStr">
        <is>
          <t>Phani</t>
        </is>
      </c>
      <c r="B3059" s="37" t="inlineStr">
        <is>
          <t>Guntur</t>
        </is>
      </c>
      <c r="C3059" s="37" t="inlineStr">
        <is>
          <t>Grow Youth</t>
        </is>
      </c>
      <c r="D3059" s="37" t="inlineStr">
        <is>
          <t>2026-07-07</t>
        </is>
      </c>
      <c r="E3059" s="37" t="inlineStr">
        <is>
          <t>Process Check</t>
        </is>
      </c>
      <c r="F3059" s="37" t="inlineStr">
        <is>
          <t>Check the CA’s diary — is CA guided daily by the AH during planning days?</t>
        </is>
      </c>
      <c r="G3059" s="37" t="inlineStr">
        <is>
          <t>All is Well</t>
        </is>
      </c>
    </row>
    <row r="3060">
      <c r="A3060" s="37" t="inlineStr">
        <is>
          <t>Phani</t>
        </is>
      </c>
      <c r="B3060" s="37" t="inlineStr">
        <is>
          <t>Guntur</t>
        </is>
      </c>
      <c r="C3060" s="37" t="inlineStr">
        <is>
          <t>Grow Youth</t>
        </is>
      </c>
      <c r="D3060" s="37" t="inlineStr">
        <is>
          <t>2026-07-07</t>
        </is>
      </c>
      <c r="E3060" s="37" t="inlineStr">
        <is>
          <t>Process Check</t>
        </is>
      </c>
      <c r="F3060" s="37" t="inlineStr">
        <is>
          <t>Check the AH is regularly meeting employers (in person and online) and updating the centre’s Top 20 Employer format.</t>
        </is>
      </c>
      <c r="G3060" s="37" t="inlineStr">
        <is>
          <t>All is Well</t>
        </is>
      </c>
    </row>
    <row r="3061">
      <c r="A3061" s="37" t="inlineStr">
        <is>
          <t>Phani</t>
        </is>
      </c>
      <c r="B3061" s="37" t="inlineStr">
        <is>
          <t>Guntur</t>
        </is>
      </c>
      <c r="C3061" s="37" t="inlineStr">
        <is>
          <t>Grow Youth</t>
        </is>
      </c>
      <c r="D3061" s="37" t="inlineStr">
        <is>
          <t>2026-07-07</t>
        </is>
      </c>
      <c r="E3061" s="37" t="inlineStr">
        <is>
          <t>Process Check</t>
        </is>
      </c>
      <c r="F3061" s="37" t="inlineStr">
        <is>
          <t>Confirm all new employers are registered on portal as per new process.</t>
        </is>
      </c>
      <c r="G3061" s="37" t="inlineStr">
        <is>
          <t>All is Well</t>
        </is>
      </c>
    </row>
    <row r="3062">
      <c r="A3062" s="37" t="inlineStr">
        <is>
          <t>Phani</t>
        </is>
      </c>
      <c r="B3062" s="37" t="inlineStr">
        <is>
          <t>Guntur</t>
        </is>
      </c>
      <c r="C3062" s="37" t="inlineStr">
        <is>
          <t>Grow Youth</t>
        </is>
      </c>
      <c r="D3062" s="37" t="inlineStr">
        <is>
          <t>2026-07-07</t>
        </is>
      </c>
      <c r="E3062" s="37" t="inlineStr">
        <is>
          <t>Process Check</t>
        </is>
      </c>
      <c r="F3062" s="37" t="inlineStr">
        <is>
          <t>Confirm 100% of enrolled students undergone screening (for technical courses).</t>
        </is>
      </c>
      <c r="G3062" s="37" t="inlineStr">
        <is>
          <t>Not Applicable</t>
        </is>
      </c>
    </row>
    <row r="3063">
      <c r="A3063" s="37" t="inlineStr">
        <is>
          <t>Phani</t>
        </is>
      </c>
      <c r="B3063" s="37" t="inlineStr">
        <is>
          <t>Guntur</t>
        </is>
      </c>
      <c r="C3063" s="37" t="inlineStr">
        <is>
          <t>Grow Youth</t>
        </is>
      </c>
      <c r="D3063" s="37" t="inlineStr">
        <is>
          <t>2026-07-07</t>
        </is>
      </c>
      <c r="E3063" s="37" t="inlineStr">
        <is>
          <t>Process Check</t>
        </is>
      </c>
      <c r="F3063" s="37" t="inlineStr">
        <is>
          <t>Confirm ESA is done (in GROW full ESA and in Technical courses relevant sections of Core Employability Part).</t>
        </is>
      </c>
      <c r="G3063" s="37" t="inlineStr">
        <is>
          <t>All is Well</t>
        </is>
      </c>
    </row>
    <row r="3064">
      <c r="A3064" s="37" t="inlineStr">
        <is>
          <t>Phani</t>
        </is>
      </c>
      <c r="B3064" s="37" t="inlineStr">
        <is>
          <t>Guntur</t>
        </is>
      </c>
      <c r="C3064" s="37" t="inlineStr">
        <is>
          <t>Grow Youth</t>
        </is>
      </c>
      <c r="D3064" s="37" t="inlineStr">
        <is>
          <t>2026-07-07</t>
        </is>
      </c>
      <c r="E3064" s="37" t="inlineStr">
        <is>
          <t>Process Check</t>
        </is>
      </c>
      <c r="F3064" s="37" t="inlineStr">
        <is>
          <t>Check is AH giving capstone project in GROW Tech.</t>
        </is>
      </c>
      <c r="G3064" s="37" t="inlineStr">
        <is>
          <t>Not Applicable</t>
        </is>
      </c>
    </row>
    <row r="3065">
      <c r="A3065" s="37" t="inlineStr">
        <is>
          <t>Phani</t>
        </is>
      </c>
      <c r="B3065" s="37" t="inlineStr">
        <is>
          <t>Guntur</t>
        </is>
      </c>
      <c r="C3065" s="37" t="inlineStr">
        <is>
          <t>Grow Youth</t>
        </is>
      </c>
      <c r="D3065" s="37" t="inlineStr">
        <is>
          <t>2026-07-07</t>
        </is>
      </c>
      <c r="E3065" s="37" t="inlineStr">
        <is>
          <t>Process Check</t>
        </is>
      </c>
      <c r="F3065" s="37" t="inlineStr">
        <is>
          <t>Check is AH planning OJT as per guidelines and proofs are collected for technical courses.</t>
        </is>
      </c>
      <c r="G3065" s="37" t="inlineStr">
        <is>
          <t>Not Applicable</t>
        </is>
      </c>
    </row>
    <row r="3066">
      <c r="A3066" s="37" t="inlineStr">
        <is>
          <t>Phani</t>
        </is>
      </c>
      <c r="B3066" s="37" t="inlineStr">
        <is>
          <t>Guntur</t>
        </is>
      </c>
      <c r="C3066" s="37" t="inlineStr">
        <is>
          <t>Grow Youth</t>
        </is>
      </c>
      <c r="D3066" s="37" t="inlineStr">
        <is>
          <t>2026-07-07</t>
        </is>
      </c>
      <c r="E3066" s="37" t="inlineStr">
        <is>
          <t>Process Check</t>
        </is>
      </c>
      <c r="F3066" s="37" t="inlineStr">
        <is>
          <t>Check are trainers contacting aspirants to find reason for their absenteeism of more than 1 day.</t>
        </is>
      </c>
      <c r="G3066" s="37" t="inlineStr">
        <is>
          <t>All is Well</t>
        </is>
      </c>
    </row>
    <row r="3067">
      <c r="A3067" s="37" t="inlineStr">
        <is>
          <t>Phani</t>
        </is>
      </c>
      <c r="B3067" s="37" t="inlineStr">
        <is>
          <t>Guntur</t>
        </is>
      </c>
      <c r="C3067" s="37" t="inlineStr">
        <is>
          <t>Grow Youth</t>
        </is>
      </c>
      <c r="D3067" s="37" t="inlineStr">
        <is>
          <t>2026-07-07</t>
        </is>
      </c>
      <c r="E3067" s="37" t="inlineStr">
        <is>
          <t>Process Check</t>
        </is>
      </c>
      <c r="F3067" s="37" t="inlineStr">
        <is>
          <t>Check the AH plans monthly enrolment and placement numbers by the 3rd of each month and shares them with second level managers.</t>
        </is>
      </c>
      <c r="G3067" s="37" t="inlineStr">
        <is>
          <t>All is Well</t>
        </is>
      </c>
    </row>
    <row r="3068">
      <c r="A3068" s="37" t="inlineStr">
        <is>
          <t>Phani</t>
        </is>
      </c>
      <c r="B3068" s="37" t="inlineStr">
        <is>
          <t>Guntur</t>
        </is>
      </c>
      <c r="C3068" s="37" t="inlineStr">
        <is>
          <t>Grow Youth</t>
        </is>
      </c>
      <c r="D3068" s="37" t="inlineStr">
        <is>
          <t>2026-07-07</t>
        </is>
      </c>
      <c r="E3068" s="37" t="inlineStr">
        <is>
          <t>Process Check</t>
        </is>
      </c>
      <c r="F3068" s="37" t="inlineStr">
        <is>
          <t>Check trainers submit aspirants’ placement interest areas to the AH by the batch’s 25th day (in GROW).</t>
        </is>
      </c>
      <c r="G3068" s="37" t="inlineStr">
        <is>
          <t>All is Well</t>
        </is>
      </c>
    </row>
    <row r="3069">
      <c r="A3069" s="37" t="inlineStr">
        <is>
          <t>Phani</t>
        </is>
      </c>
      <c r="B3069" s="37" t="inlineStr">
        <is>
          <t>Guntur</t>
        </is>
      </c>
      <c r="C3069" s="37" t="inlineStr">
        <is>
          <t>Grow Youth</t>
        </is>
      </c>
      <c r="D3069" s="37" t="inlineStr">
        <is>
          <t>2026-07-07</t>
        </is>
      </c>
      <c r="E3069" s="37" t="inlineStr">
        <is>
          <t>Process Check</t>
        </is>
      </c>
      <c r="F3069" s="37" t="inlineStr">
        <is>
          <t>Ckeck For technical programs, placement is done only in technical jobs,on which aspirants are trained and relevant emplyers are identified by 45th day.</t>
        </is>
      </c>
      <c r="G3069" s="37" t="inlineStr">
        <is>
          <t>Not Applicable</t>
        </is>
      </c>
    </row>
    <row r="3070">
      <c r="A3070" s="37" t="inlineStr">
        <is>
          <t>Phani</t>
        </is>
      </c>
      <c r="B3070" s="37" t="inlineStr">
        <is>
          <t>Guntur</t>
        </is>
      </c>
      <c r="C3070" s="37" t="inlineStr">
        <is>
          <t>Grow Youth</t>
        </is>
      </c>
      <c r="D3070" s="37" t="inlineStr">
        <is>
          <t>2026-07-07</t>
        </is>
      </c>
      <c r="E3070" s="37" t="inlineStr">
        <is>
          <t>Process Check</t>
        </is>
      </c>
      <c r="F3070" s="37" t="inlineStr">
        <is>
          <t>Check the AH follows EP guidelines and minimum benchmark salary guidelines.</t>
        </is>
      </c>
      <c r="G3070" s="37" t="inlineStr">
        <is>
          <t>All is Well</t>
        </is>
      </c>
    </row>
    <row r="3071">
      <c r="A3071" s="37" t="inlineStr">
        <is>
          <t>Phani</t>
        </is>
      </c>
      <c r="B3071" s="37" t="inlineStr">
        <is>
          <t>Guntur</t>
        </is>
      </c>
      <c r="C3071" s="37" t="inlineStr">
        <is>
          <t>Grow Youth</t>
        </is>
      </c>
      <c r="D3071" s="37" t="inlineStr">
        <is>
          <t>2026-07-07</t>
        </is>
      </c>
      <c r="E3071" s="37" t="inlineStr">
        <is>
          <t>Process Check</t>
        </is>
      </c>
      <c r="F3071" s="37" t="inlineStr">
        <is>
          <t>Check that AH is enrolling only the right traget group in the program -as per the defined target.</t>
        </is>
      </c>
      <c r="G3071" s="37" t="inlineStr">
        <is>
          <t>All is Well</t>
        </is>
      </c>
    </row>
    <row r="3072">
      <c r="A3072" s="37" t="inlineStr">
        <is>
          <t>Phani</t>
        </is>
      </c>
      <c r="B3072" s="37" t="inlineStr">
        <is>
          <t>Guntur</t>
        </is>
      </c>
      <c r="C3072" s="37" t="inlineStr">
        <is>
          <t>Grow Youth</t>
        </is>
      </c>
      <c r="D3072" s="37" t="inlineStr">
        <is>
          <t>2026-07-07</t>
        </is>
      </c>
      <c r="E3072" s="37" t="inlineStr">
        <is>
          <t>Process Check</t>
        </is>
      </c>
      <c r="F3072" s="37" t="inlineStr">
        <is>
          <t>Check the AH announces the next batch-start date by the 3rd of the month on all notice boards — focus on Zero-Day start.</t>
        </is>
      </c>
      <c r="G3072" s="37" t="inlineStr">
        <is>
          <t>All is Well</t>
        </is>
      </c>
    </row>
    <row r="3073">
      <c r="A3073" s="37" t="inlineStr">
        <is>
          <t>Phani</t>
        </is>
      </c>
      <c r="B3073" s="37" t="inlineStr">
        <is>
          <t>Guntur</t>
        </is>
      </c>
      <c r="C3073" s="37" t="inlineStr">
        <is>
          <t>Grow Youth</t>
        </is>
      </c>
      <c r="D3073" s="37" t="inlineStr">
        <is>
          <t>2026-07-07</t>
        </is>
      </c>
      <c r="E3073" s="37" t="inlineStr">
        <is>
          <t>Process Check</t>
        </is>
      </c>
      <c r="F3073" s="37" t="inlineStr">
        <is>
          <t>Check the Aspirant Mock Interview Score Tracker is updated after every mock interview in the L&amp;D Google Sheet.</t>
        </is>
      </c>
      <c r="G3073" s="37" t="inlineStr">
        <is>
          <t>All is Well</t>
        </is>
      </c>
    </row>
    <row r="3074">
      <c r="A3074" s="37" t="inlineStr">
        <is>
          <t>Phani</t>
        </is>
      </c>
      <c r="B3074" s="37" t="inlineStr">
        <is>
          <t>Guntur</t>
        </is>
      </c>
      <c r="C3074" s="37" t="inlineStr">
        <is>
          <t>Grow Youth</t>
        </is>
      </c>
      <c r="D3074" s="37" t="inlineStr">
        <is>
          <t>2026-07-07</t>
        </is>
      </c>
      <c r="E3074" s="37" t="inlineStr">
        <is>
          <t>Process Check</t>
        </is>
      </c>
      <c r="F3074" s="37" t="inlineStr">
        <is>
          <t>Confirm NPS (Net Promoter Score) is collected at MSDF centres.</t>
        </is>
      </c>
      <c r="G3074" s="37" t="inlineStr">
        <is>
          <t>Not Applicable</t>
        </is>
      </c>
    </row>
    <row r="3075">
      <c r="A3075" s="37" t="inlineStr">
        <is>
          <t>Phani</t>
        </is>
      </c>
      <c r="B3075" s="37" t="inlineStr">
        <is>
          <t>Guntur</t>
        </is>
      </c>
      <c r="C3075" s="37" t="inlineStr">
        <is>
          <t>Grow Youth</t>
        </is>
      </c>
      <c r="D3075" s="37" t="inlineStr">
        <is>
          <t>2026-07-07</t>
        </is>
      </c>
      <c r="E3075" s="37" t="inlineStr">
        <is>
          <t>Process Check</t>
        </is>
      </c>
      <c r="F3075" s="37" t="inlineStr">
        <is>
          <t>Confirm that QAE is collecting student feedback for every batch.</t>
        </is>
      </c>
      <c r="G3075" s="37" t="inlineStr">
        <is>
          <t>All is Well</t>
        </is>
      </c>
    </row>
    <row r="3076">
      <c r="A3076" s="37" t="inlineStr">
        <is>
          <t>Phani</t>
        </is>
      </c>
      <c r="B3076" s="37" t="inlineStr">
        <is>
          <t>Guntur</t>
        </is>
      </c>
      <c r="C3076" s="37" t="inlineStr">
        <is>
          <t>Grow Youth</t>
        </is>
      </c>
      <c r="D3076" s="37" t="inlineStr">
        <is>
          <t>2026-07-07</t>
        </is>
      </c>
      <c r="E3076" s="37" t="inlineStr">
        <is>
          <t>Process Check</t>
        </is>
      </c>
      <c r="F3076" s="37" t="inlineStr">
        <is>
          <t>Confirm all centre teams have completed the GROW Manual Course on Skillfy — ask for achievement certificates.</t>
        </is>
      </c>
      <c r="G3076" s="37" t="inlineStr">
        <is>
          <t>All is Well</t>
        </is>
      </c>
    </row>
    <row r="3077">
      <c r="A3077" s="37" t="inlineStr">
        <is>
          <t>Phani</t>
        </is>
      </c>
      <c r="B3077" s="37" t="inlineStr">
        <is>
          <t>Guntur</t>
        </is>
      </c>
      <c r="C3077" s="37" t="inlineStr">
        <is>
          <t>Grow Youth</t>
        </is>
      </c>
      <c r="D3077" s="37" t="inlineStr">
        <is>
          <t>2026-07-07</t>
        </is>
      </c>
      <c r="E3077" s="37" t="inlineStr">
        <is>
          <t>Process Check</t>
        </is>
      </c>
      <c r="F3077" s="37" t="inlineStr">
        <is>
          <t>Check AH holds a quality weekly team meeting, documents action points in the weekly meeting format, and sends you a photo on WhatsApp.</t>
        </is>
      </c>
      <c r="G3077" s="37" t="inlineStr">
        <is>
          <t>Need Improvement</t>
        </is>
      </c>
    </row>
    <row r="3078">
      <c r="A3078" s="37" t="inlineStr">
        <is>
          <t>Phani</t>
        </is>
      </c>
      <c r="B3078" s="37" t="inlineStr">
        <is>
          <t>Guntur</t>
        </is>
      </c>
      <c r="C3078" s="37" t="inlineStr">
        <is>
          <t>Grow Youth</t>
        </is>
      </c>
      <c r="D3078" s="37" t="inlineStr">
        <is>
          <t>2026-07-07</t>
        </is>
      </c>
      <c r="E3078" s="37" t="inlineStr">
        <is>
          <t>Aspirant Interaction</t>
        </is>
      </c>
      <c r="F3078" s="37" t="inlineStr">
        <is>
          <t>Ask aspirants about the session plan — confirm training is happening as planned?</t>
        </is>
      </c>
      <c r="G3078" s="37" t="inlineStr">
        <is>
          <t>All is Well</t>
        </is>
      </c>
    </row>
    <row r="3079">
      <c r="A3079" s="37" t="inlineStr">
        <is>
          <t>Phani</t>
        </is>
      </c>
      <c r="B3079" s="37" t="inlineStr">
        <is>
          <t>Guntur</t>
        </is>
      </c>
      <c r="C3079" s="37" t="inlineStr">
        <is>
          <t>Grow Youth</t>
        </is>
      </c>
      <c r="D3079" s="37" t="inlineStr">
        <is>
          <t>2026-07-07</t>
        </is>
      </c>
      <c r="E3079" s="37" t="inlineStr">
        <is>
          <t>Aspirant Interaction</t>
        </is>
      </c>
      <c r="F3079" s="37" t="inlineStr">
        <is>
          <t>Ask about the quality of Core Employability component delivery (technical centres) and who delivers it.</t>
        </is>
      </c>
      <c r="G3079" s="37" t="inlineStr">
        <is>
          <t>Not Applicable</t>
        </is>
      </c>
    </row>
    <row r="3080">
      <c r="A3080" s="37" t="inlineStr">
        <is>
          <t>Phani</t>
        </is>
      </c>
      <c r="B3080" s="37" t="inlineStr">
        <is>
          <t>Guntur</t>
        </is>
      </c>
      <c r="C3080" s="37" t="inlineStr">
        <is>
          <t>Grow Youth</t>
        </is>
      </c>
      <c r="D3080" s="37" t="inlineStr">
        <is>
          <t>2026-07-07</t>
        </is>
      </c>
      <c r="E3080" s="37" t="inlineStr">
        <is>
          <t>Aspirant Interaction</t>
        </is>
      </c>
      <c r="F3080" s="37" t="inlineStr">
        <is>
          <t>Ask whether they are aware of the referral scheme?</t>
        </is>
      </c>
      <c r="G3080" s="37" t="inlineStr">
        <is>
          <t>All is Well</t>
        </is>
      </c>
    </row>
    <row r="3081">
      <c r="A3081" s="37" t="inlineStr">
        <is>
          <t>Phani</t>
        </is>
      </c>
      <c r="B3081" s="37" t="inlineStr">
        <is>
          <t>Guntur</t>
        </is>
      </c>
      <c r="C3081" s="37" t="inlineStr">
        <is>
          <t>Grow Youth</t>
        </is>
      </c>
      <c r="D3081" s="37" t="inlineStr">
        <is>
          <t>2026-07-07</t>
        </is>
      </c>
      <c r="E3081" s="37" t="inlineStr">
        <is>
          <t>Aspirant Interaction</t>
        </is>
      </c>
      <c r="F3081" s="37" t="inlineStr">
        <is>
          <t>Ask whether the AH explained the importance of the offer letter and sharing it with us once received for reporting purposes?</t>
        </is>
      </c>
      <c r="G3081" s="37" t="inlineStr">
        <is>
          <t>Need Improvement</t>
        </is>
      </c>
    </row>
    <row r="3082">
      <c r="A3082" s="37" t="inlineStr">
        <is>
          <t>Phani</t>
        </is>
      </c>
      <c r="B3082" s="37" t="inlineStr">
        <is>
          <t>Guntur</t>
        </is>
      </c>
      <c r="C3082" s="37" t="inlineStr">
        <is>
          <t>Grow Youth</t>
        </is>
      </c>
      <c r="D3082" s="37" t="inlineStr">
        <is>
          <t>2026-07-07</t>
        </is>
      </c>
      <c r="E3082" s="37" t="inlineStr">
        <is>
          <t>Aspirant Interaction</t>
        </is>
      </c>
      <c r="F3082" s="37" t="inlineStr">
        <is>
          <t>Ask how many are not interested in jobs — and if so, why they enrolled in the programme?</t>
        </is>
      </c>
      <c r="G3082" s="37" t="inlineStr">
        <is>
          <t>All is Well</t>
        </is>
      </c>
    </row>
    <row r="3083">
      <c r="A3083" s="37" t="inlineStr">
        <is>
          <t>Phani</t>
        </is>
      </c>
      <c r="B3083" s="37" t="inlineStr">
        <is>
          <t>Guntur</t>
        </is>
      </c>
      <c r="C3083" s="37" t="inlineStr">
        <is>
          <t>Grow Youth</t>
        </is>
      </c>
      <c r="D3083" s="37" t="inlineStr">
        <is>
          <t>2026-07-07</t>
        </is>
      </c>
      <c r="E3083" s="37" t="inlineStr">
        <is>
          <t>Aspirant Interaction</t>
        </is>
      </c>
      <c r="F3083" s="37" t="inlineStr">
        <is>
          <t>Ask whether they were told the kind of job they would get during counselling?</t>
        </is>
      </c>
      <c r="G3083" s="37" t="inlineStr">
        <is>
          <t>All is Well</t>
        </is>
      </c>
    </row>
    <row r="3084">
      <c r="A3084" s="37" t="inlineStr">
        <is>
          <t>Phani</t>
        </is>
      </c>
      <c r="B3084" s="37" t="inlineStr">
        <is>
          <t>Guntur</t>
        </is>
      </c>
      <c r="C3084" s="37" t="inlineStr">
        <is>
          <t>Grow Youth</t>
        </is>
      </c>
      <c r="D3084" s="37" t="inlineStr">
        <is>
          <t>2026-07-07</t>
        </is>
      </c>
      <c r="E3084" s="37" t="inlineStr">
        <is>
          <t>Aspirant Interaction</t>
        </is>
      </c>
      <c r="F3084" s="37" t="inlineStr">
        <is>
          <t>Ask whether they have been given LMS access?</t>
        </is>
      </c>
      <c r="G3084" s="37" t="inlineStr">
        <is>
          <t>All is Well</t>
        </is>
      </c>
    </row>
    <row r="3085">
      <c r="A3085" s="37" t="inlineStr">
        <is>
          <t>Phani</t>
        </is>
      </c>
      <c r="B3085" s="37" t="inlineStr">
        <is>
          <t>Guntur</t>
        </is>
      </c>
      <c r="C3085" s="37" t="inlineStr">
        <is>
          <t>Grow Youth</t>
        </is>
      </c>
      <c r="D3085" s="37" t="inlineStr">
        <is>
          <t>2026-07-07</t>
        </is>
      </c>
      <c r="E3085" s="37" t="inlineStr">
        <is>
          <t>Aspirant Interaction</t>
        </is>
      </c>
      <c r="F3085" s="37" t="inlineStr">
        <is>
          <t>Ask whether anyone asked them for money for training or placement?</t>
        </is>
      </c>
      <c r="G3085" s="37" t="inlineStr">
        <is>
          <t>All is Well</t>
        </is>
      </c>
    </row>
    <row r="3086">
      <c r="A3086" s="37" t="inlineStr">
        <is>
          <t>Phani</t>
        </is>
      </c>
      <c r="B3086" s="37" t="inlineStr">
        <is>
          <t>Guntur</t>
        </is>
      </c>
      <c r="C3086" s="37" t="inlineStr">
        <is>
          <t>Grow Youth</t>
        </is>
      </c>
      <c r="D3086" s="37" t="inlineStr">
        <is>
          <t>2026-07-07</t>
        </is>
      </c>
      <c r="E3086" s="37" t="inlineStr">
        <is>
          <t>Aspirant Interaction</t>
        </is>
      </c>
      <c r="F3086" s="37" t="inlineStr">
        <is>
          <t>Ask to show their mobile phones — are they enrolled on Skillfy? If not, get them enrolled and give written feedback to trainers and the AH in your presence.</t>
        </is>
      </c>
      <c r="G3086" s="37" t="inlineStr">
        <is>
          <t>All is Well</t>
        </is>
      </c>
    </row>
    <row r="3087">
      <c r="A3087" s="37" t="inlineStr">
        <is>
          <t>Phani</t>
        </is>
      </c>
      <c r="B3087" s="37" t="inlineStr">
        <is>
          <t>Guntur</t>
        </is>
      </c>
      <c r="C3087" s="37" t="inlineStr">
        <is>
          <t>Grow Youth</t>
        </is>
      </c>
      <c r="D3087" s="37" t="inlineStr">
        <is>
          <t>2026-07-07</t>
        </is>
      </c>
      <c r="E3087" s="37" t="inlineStr">
        <is>
          <t>Aspirant Interaction</t>
        </is>
      </c>
      <c r="F3087" s="37" t="inlineStr">
        <is>
          <t>Ask about the quality of the hostel and any issues they face.</t>
        </is>
      </c>
      <c r="G3087" s="37" t="inlineStr">
        <is>
          <t>Not Applicable</t>
        </is>
      </c>
    </row>
    <row r="3088">
      <c r="A3088" s="37" t="inlineStr">
        <is>
          <t>Phani</t>
        </is>
      </c>
      <c r="B3088" s="37" t="inlineStr">
        <is>
          <t>Guntur</t>
        </is>
      </c>
      <c r="C3088" s="37" t="inlineStr">
        <is>
          <t>Grow Youth</t>
        </is>
      </c>
      <c r="D3088" s="37" t="inlineStr">
        <is>
          <t>2026-07-07</t>
        </is>
      </c>
      <c r="E3088" s="37" t="inlineStr">
        <is>
          <t>Aspirant Interaction</t>
        </is>
      </c>
      <c r="F3088" s="37" t="inlineStr">
        <is>
          <t>Ask a few relevant screening questions to support the 10th-day report and remove non-serious candidates, explaining to them the reasons.</t>
        </is>
      </c>
      <c r="G3088" s="37" t="inlineStr">
        <is>
          <t>All is Well</t>
        </is>
      </c>
    </row>
    <row r="3089">
      <c r="A3089" s="37" t="inlineStr">
        <is>
          <t>Phani</t>
        </is>
      </c>
      <c r="B3089" s="37" t="inlineStr">
        <is>
          <t>MG Road (Vijayawada)</t>
        </is>
      </c>
      <c r="C3089" s="37" t="inlineStr">
        <is>
          <t>Grow Youth</t>
        </is>
      </c>
      <c r="D3089" s="37" t="inlineStr">
        <is>
          <t>2026-07-03</t>
        </is>
      </c>
      <c r="E3089" s="37" t="inlineStr">
        <is>
          <t>Data Check</t>
        </is>
      </c>
      <c r="F3089" s="37" t="inlineStr">
        <is>
          <t>Reach the centre on time (unannounced) — confirm the centre opened on time.</t>
        </is>
      </c>
      <c r="G3089" s="37" t="inlineStr">
        <is>
          <t>All is Well</t>
        </is>
      </c>
    </row>
    <row r="3090">
      <c r="A3090" s="37" t="inlineStr">
        <is>
          <t>Phani</t>
        </is>
      </c>
      <c r="B3090" s="37" t="inlineStr">
        <is>
          <t>MG Road (Vijayawada)</t>
        </is>
      </c>
      <c r="C3090" s="37" t="inlineStr">
        <is>
          <t>Grow Youth</t>
        </is>
      </c>
      <c r="D3090" s="37" t="inlineStr">
        <is>
          <t>2026-07-03</t>
        </is>
      </c>
      <c r="E3090" s="37" t="inlineStr">
        <is>
          <t>Data Check</t>
        </is>
      </c>
      <c r="F3090" s="37" t="inlineStr">
        <is>
          <t>Check the staff attendance register, the Google Sheet, and geo-tagged photos for aspirants.</t>
        </is>
      </c>
      <c r="G3090" s="37" t="inlineStr">
        <is>
          <t>All is Well</t>
        </is>
      </c>
    </row>
    <row r="3091">
      <c r="A3091" s="37" t="inlineStr">
        <is>
          <t>Phani</t>
        </is>
      </c>
      <c r="B3091" s="37" t="inlineStr">
        <is>
          <t>MG Road (Vijayawada)</t>
        </is>
      </c>
      <c r="C3091" s="37" t="inlineStr">
        <is>
          <t>Grow Youth</t>
        </is>
      </c>
      <c r="D3091" s="37" t="inlineStr">
        <is>
          <t>2026-07-03</t>
        </is>
      </c>
      <c r="E3091" s="37" t="inlineStr">
        <is>
          <t>Data Check</t>
        </is>
      </c>
      <c r="F3091" s="37" t="inlineStr">
        <is>
          <t>Check Counselling and Screening Forms of recently started batches.</t>
        </is>
      </c>
      <c r="G3091" s="37" t="inlineStr">
        <is>
          <t>All is Well</t>
        </is>
      </c>
    </row>
    <row r="3092">
      <c r="A3092" s="37" t="inlineStr">
        <is>
          <t>Phani</t>
        </is>
      </c>
      <c r="B3092" s="37" t="inlineStr">
        <is>
          <t>MG Road (Vijayawada)</t>
        </is>
      </c>
      <c r="C3092" s="37" t="inlineStr">
        <is>
          <t>Grow Youth</t>
        </is>
      </c>
      <c r="D3092" s="37" t="inlineStr">
        <is>
          <t>2026-07-03</t>
        </is>
      </c>
      <c r="E3092" s="37" t="inlineStr">
        <is>
          <t>Data Check</t>
        </is>
      </c>
      <c r="F3092" s="37" t="inlineStr">
        <is>
          <t>Check Aspirant Registration Forms and related documents.</t>
        </is>
      </c>
      <c r="G3092" s="37" t="inlineStr">
        <is>
          <t>All is Well</t>
        </is>
      </c>
    </row>
    <row r="3093">
      <c r="A3093" s="37" t="inlineStr">
        <is>
          <t>Phani</t>
        </is>
      </c>
      <c r="B3093" s="37" t="inlineStr">
        <is>
          <t>MG Road (Vijayawada)</t>
        </is>
      </c>
      <c r="C3093" s="37" t="inlineStr">
        <is>
          <t>Grow Youth</t>
        </is>
      </c>
      <c r="D3093" s="37" t="inlineStr">
        <is>
          <t>2026-07-03</t>
        </is>
      </c>
      <c r="E3093" s="37" t="inlineStr">
        <is>
          <t>Data Check</t>
        </is>
      </c>
      <c r="F3093" s="37" t="inlineStr">
        <is>
          <t>On the GROW portal, confirm all student profile details and batch updates are currect.</t>
        </is>
      </c>
      <c r="G3093" s="37" t="inlineStr">
        <is>
          <t>All is Well</t>
        </is>
      </c>
    </row>
    <row r="3094">
      <c r="A3094" s="37" t="inlineStr">
        <is>
          <t>Phani</t>
        </is>
      </c>
      <c r="B3094" s="37" t="inlineStr">
        <is>
          <t>MG Road (Vijayawada)</t>
        </is>
      </c>
      <c r="C3094" s="37" t="inlineStr">
        <is>
          <t>Grow Youth</t>
        </is>
      </c>
      <c r="D3094" s="37" t="inlineStr">
        <is>
          <t>2026-07-03</t>
        </is>
      </c>
      <c r="E3094" s="37" t="inlineStr">
        <is>
          <t>Data Check</t>
        </is>
      </c>
      <c r="F3094" s="37" t="inlineStr">
        <is>
          <t>Verify placement data — randomly call 3–4 alumni placed in the last 3 months to confirm veracity (random selection is essential).</t>
        </is>
      </c>
      <c r="G3094" s="37" t="inlineStr">
        <is>
          <t>All is Well</t>
        </is>
      </c>
    </row>
    <row r="3095">
      <c r="A3095" s="37" t="inlineStr">
        <is>
          <t>Phani</t>
        </is>
      </c>
      <c r="B3095" s="37" t="inlineStr">
        <is>
          <t>MG Road (Vijayawada)</t>
        </is>
      </c>
      <c r="C3095" s="37" t="inlineStr">
        <is>
          <t>Grow Youth</t>
        </is>
      </c>
      <c r="D3095" s="37" t="inlineStr">
        <is>
          <t>2026-07-03</t>
        </is>
      </c>
      <c r="E3095" s="37" t="inlineStr">
        <is>
          <t>Data Check</t>
        </is>
      </c>
      <c r="F3095" s="37" t="inlineStr">
        <is>
          <t>Verify retention — check the Alumni Hand-holding Format is being updated as designed.</t>
        </is>
      </c>
      <c r="G3095" s="37" t="inlineStr">
        <is>
          <t>All is Well</t>
        </is>
      </c>
    </row>
    <row r="3096">
      <c r="A3096" s="37" t="inlineStr">
        <is>
          <t>Phani</t>
        </is>
      </c>
      <c r="B3096" s="37" t="inlineStr">
        <is>
          <t>MG Road (Vijayawada)</t>
        </is>
      </c>
      <c r="C3096" s="37" t="inlineStr">
        <is>
          <t>Grow Youth</t>
        </is>
      </c>
      <c r="D3096" s="37" t="inlineStr">
        <is>
          <t>2026-07-03</t>
        </is>
      </c>
      <c r="E3096" s="37" t="inlineStr">
        <is>
          <t>Data Check</t>
        </is>
      </c>
      <c r="F3096" s="37" t="inlineStr">
        <is>
          <t>Check aspirant Hostel Forms are properly filled or not.</t>
        </is>
      </c>
      <c r="G3096" s="37" t="inlineStr">
        <is>
          <t>Not Applicable</t>
        </is>
      </c>
    </row>
    <row r="3097">
      <c r="A3097" s="37" t="inlineStr">
        <is>
          <t>Phani</t>
        </is>
      </c>
      <c r="B3097" s="37" t="inlineStr">
        <is>
          <t>MG Road (Vijayawada)</t>
        </is>
      </c>
      <c r="C3097" s="37" t="inlineStr">
        <is>
          <t>Grow Youth</t>
        </is>
      </c>
      <c r="D3097" s="37" t="inlineStr">
        <is>
          <t>2026-07-03</t>
        </is>
      </c>
      <c r="E3097" s="37" t="inlineStr">
        <is>
          <t>Infra Check</t>
        </is>
      </c>
      <c r="F3097" s="37" t="inlineStr">
        <is>
          <t>Check all CCTV cameras; if any are not working, ask the AH to troubleshoot or call the vendor.</t>
        </is>
      </c>
      <c r="G3097" s="37" t="inlineStr">
        <is>
          <t>All is Well</t>
        </is>
      </c>
    </row>
    <row r="3098">
      <c r="A3098" s="37" t="inlineStr">
        <is>
          <t>Phani</t>
        </is>
      </c>
      <c r="B3098" s="37" t="inlineStr">
        <is>
          <t>MG Road (Vijayawada)</t>
        </is>
      </c>
      <c r="C3098" s="37" t="inlineStr">
        <is>
          <t>Grow Youth</t>
        </is>
      </c>
      <c r="D3098" s="37" t="inlineStr">
        <is>
          <t>2026-07-03</t>
        </is>
      </c>
      <c r="E3098" s="37" t="inlineStr">
        <is>
          <t>Infra Check</t>
        </is>
      </c>
      <c r="F3098" s="37" t="inlineStr">
        <is>
          <t>Check for any scrap material and get it cleared, with support of Admin</t>
        </is>
      </c>
      <c r="G3098" s="37" t="inlineStr">
        <is>
          <t>All is Well</t>
        </is>
      </c>
    </row>
    <row r="3099">
      <c r="A3099" s="37" t="inlineStr">
        <is>
          <t>Phani</t>
        </is>
      </c>
      <c r="B3099" s="37" t="inlineStr">
        <is>
          <t>MG Road (Vijayawada)</t>
        </is>
      </c>
      <c r="C3099" s="37" t="inlineStr">
        <is>
          <t>Grow Youth</t>
        </is>
      </c>
      <c r="D3099" s="37" t="inlineStr">
        <is>
          <t>2026-07-03</t>
        </is>
      </c>
      <c r="E3099" s="37" t="inlineStr">
        <is>
          <t>Infra Check</t>
        </is>
      </c>
      <c r="F3099" s="37" t="inlineStr">
        <is>
          <t>Check for any pending infra repairs.</t>
        </is>
      </c>
      <c r="G3099" s="37" t="inlineStr">
        <is>
          <t>Need Improvement</t>
        </is>
      </c>
    </row>
    <row r="3100">
      <c r="A3100" s="37" t="inlineStr">
        <is>
          <t>Phani</t>
        </is>
      </c>
      <c r="B3100" s="37" t="inlineStr">
        <is>
          <t>MG Road (Vijayawada)</t>
        </is>
      </c>
      <c r="C3100" s="37" t="inlineStr">
        <is>
          <t>Grow Youth</t>
        </is>
      </c>
      <c r="D3100" s="37" t="inlineStr">
        <is>
          <t>2026-07-03</t>
        </is>
      </c>
      <c r="E3100" s="37" t="inlineStr">
        <is>
          <t>Infra Check</t>
        </is>
      </c>
      <c r="F3100" s="37" t="inlineStr">
        <is>
          <t>Check whether any fire extinguishers have expired (check the needle and expiry date both).</t>
        </is>
      </c>
      <c r="G3100" s="37" t="inlineStr">
        <is>
          <t>All is Well</t>
        </is>
      </c>
    </row>
    <row r="3101">
      <c r="A3101" s="37" t="inlineStr">
        <is>
          <t>Phani</t>
        </is>
      </c>
      <c r="B3101" s="37" t="inlineStr">
        <is>
          <t>MG Road (Vijayawada)</t>
        </is>
      </c>
      <c r="C3101" s="37" t="inlineStr">
        <is>
          <t>Grow Youth</t>
        </is>
      </c>
      <c r="D3101" s="37" t="inlineStr">
        <is>
          <t>2026-07-03</t>
        </is>
      </c>
      <c r="E3101" s="37" t="inlineStr">
        <is>
          <t>Infra Check</t>
        </is>
      </c>
      <c r="F3101" s="37" t="inlineStr">
        <is>
          <t>Check basic cleanliness of the washrooms and the centre.</t>
        </is>
      </c>
      <c r="G3101" s="37" t="inlineStr">
        <is>
          <t>All is Well</t>
        </is>
      </c>
    </row>
    <row r="3102">
      <c r="A3102" s="37" t="inlineStr">
        <is>
          <t>Phani</t>
        </is>
      </c>
      <c r="B3102" s="37" t="inlineStr">
        <is>
          <t>MG Road (Vijayawada)</t>
        </is>
      </c>
      <c r="C3102" s="37" t="inlineStr">
        <is>
          <t>Grow Youth</t>
        </is>
      </c>
      <c r="D3102" s="37" t="inlineStr">
        <is>
          <t>2026-07-03</t>
        </is>
      </c>
      <c r="E3102" s="37" t="inlineStr">
        <is>
          <t>Infra Check</t>
        </is>
      </c>
      <c r="F3102" s="37" t="inlineStr">
        <is>
          <t>Confirm the correct program and partner logos are displayed.</t>
        </is>
      </c>
      <c r="G3102" s="37" t="inlineStr">
        <is>
          <t>All is Well</t>
        </is>
      </c>
    </row>
    <row r="3103">
      <c r="A3103" s="37" t="inlineStr">
        <is>
          <t>Phani</t>
        </is>
      </c>
      <c r="B3103" s="37" t="inlineStr">
        <is>
          <t>MG Road (Vijayawada)</t>
        </is>
      </c>
      <c r="C3103" s="37" t="inlineStr">
        <is>
          <t>Grow Youth</t>
        </is>
      </c>
      <c r="D3103" s="37" t="inlineStr">
        <is>
          <t>2026-07-03</t>
        </is>
      </c>
      <c r="E3103" s="37" t="inlineStr">
        <is>
          <t>Infra Check</t>
        </is>
      </c>
      <c r="F3103" s="37" t="inlineStr">
        <is>
          <t>Check the status of digital infra — PCs, smartboards, tablets, laptops, etc.</t>
        </is>
      </c>
      <c r="G3103" s="37" t="inlineStr">
        <is>
          <t>All is Well</t>
        </is>
      </c>
    </row>
    <row r="3104">
      <c r="A3104" s="37" t="inlineStr">
        <is>
          <t>Phani</t>
        </is>
      </c>
      <c r="B3104" s="37" t="inlineStr">
        <is>
          <t>MG Road (Vijayawada)</t>
        </is>
      </c>
      <c r="C3104" s="37" t="inlineStr">
        <is>
          <t>Grow Youth</t>
        </is>
      </c>
      <c r="D3104" s="37" t="inlineStr">
        <is>
          <t>2026-07-03</t>
        </is>
      </c>
      <c r="E3104" s="37" t="inlineStr">
        <is>
          <t>Infra Check</t>
        </is>
      </c>
      <c r="F3104" s="37" t="inlineStr">
        <is>
          <t>Make a quick hostel visit; have lunch there if possible to test the food quality.</t>
        </is>
      </c>
      <c r="G3104" s="37" t="inlineStr">
        <is>
          <t>Not Applicable</t>
        </is>
      </c>
    </row>
    <row r="3105">
      <c r="A3105" s="37" t="inlineStr">
        <is>
          <t>Phani</t>
        </is>
      </c>
      <c r="B3105" s="37" t="inlineStr">
        <is>
          <t>MG Road (Vijayawada)</t>
        </is>
      </c>
      <c r="C3105" s="37" t="inlineStr">
        <is>
          <t>Grow Youth</t>
        </is>
      </c>
      <c r="D3105" s="37" t="inlineStr">
        <is>
          <t>2026-07-03</t>
        </is>
      </c>
      <c r="E3105" s="37" t="inlineStr">
        <is>
          <t>Process Check</t>
        </is>
      </c>
      <c r="F3105" s="37" t="inlineStr">
        <is>
          <t>Refer to the activity planner — check if any activities are delayed.</t>
        </is>
      </c>
      <c r="G3105" s="37" t="inlineStr">
        <is>
          <t>Not Applicable</t>
        </is>
      </c>
    </row>
    <row r="3106">
      <c r="A3106" s="37" t="inlineStr">
        <is>
          <t>Phani</t>
        </is>
      </c>
      <c r="B3106" s="37" t="inlineStr">
        <is>
          <t>MG Road (Vijayawada)</t>
        </is>
      </c>
      <c r="C3106" s="37" t="inlineStr">
        <is>
          <t>Grow Youth</t>
        </is>
      </c>
      <c r="D3106" s="37" t="inlineStr">
        <is>
          <t>2026-07-03</t>
        </is>
      </c>
      <c r="E3106" s="37" t="inlineStr">
        <is>
          <t>Process Check</t>
        </is>
      </c>
      <c r="F3106" s="37" t="inlineStr">
        <is>
          <t>Check planning for the next batch-start announcement.</t>
        </is>
      </c>
      <c r="G3106" s="37" t="inlineStr">
        <is>
          <t>All is Well</t>
        </is>
      </c>
    </row>
    <row r="3107">
      <c r="A3107" s="37" t="inlineStr">
        <is>
          <t>Phani</t>
        </is>
      </c>
      <c r="B3107" s="37" t="inlineStr">
        <is>
          <t>MG Road (Vijayawada)</t>
        </is>
      </c>
      <c r="C3107" s="37" t="inlineStr">
        <is>
          <t>Grow Youth</t>
        </is>
      </c>
      <c r="D3107" s="37" t="inlineStr">
        <is>
          <t>2026-07-03</t>
        </is>
      </c>
      <c r="E3107" s="37" t="inlineStr">
        <is>
          <t>Process Check</t>
        </is>
      </c>
      <c r="F3107" s="37" t="inlineStr">
        <is>
          <t>Check if any hiring is delayed and plan a resolution.</t>
        </is>
      </c>
      <c r="G3107" s="37" t="inlineStr">
        <is>
          <t>Need Improvement</t>
        </is>
      </c>
    </row>
    <row r="3108">
      <c r="A3108" s="37" t="inlineStr">
        <is>
          <t>Phani</t>
        </is>
      </c>
      <c r="B3108" s="37" t="inlineStr">
        <is>
          <t>MG Road (Vijayawada)</t>
        </is>
      </c>
      <c r="C3108" s="37" t="inlineStr">
        <is>
          <t>Grow Youth</t>
        </is>
      </c>
      <c r="D3108" s="37" t="inlineStr">
        <is>
          <t>2026-07-03</t>
        </is>
      </c>
      <c r="E3108" s="37" t="inlineStr">
        <is>
          <t>Process Check</t>
        </is>
      </c>
      <c r="F3108" s="37" t="inlineStr">
        <is>
          <t>Check the CA’s diary — is CA guided daily by the AH during planning days?</t>
        </is>
      </c>
      <c r="G3108" s="37" t="inlineStr">
        <is>
          <t>Not Applicable</t>
        </is>
      </c>
    </row>
    <row r="3109">
      <c r="A3109" s="37" t="inlineStr">
        <is>
          <t>Phani</t>
        </is>
      </c>
      <c r="B3109" s="37" t="inlineStr">
        <is>
          <t>MG Road (Vijayawada)</t>
        </is>
      </c>
      <c r="C3109" s="37" t="inlineStr">
        <is>
          <t>Grow Youth</t>
        </is>
      </c>
      <c r="D3109" s="37" t="inlineStr">
        <is>
          <t>2026-07-03</t>
        </is>
      </c>
      <c r="E3109" s="37" t="inlineStr">
        <is>
          <t>Process Check</t>
        </is>
      </c>
      <c r="F3109" s="37" t="inlineStr">
        <is>
          <t>Check the AH is regularly meeting employers (in person and online) and updating the centre’s Top 20 Employer format.</t>
        </is>
      </c>
      <c r="G3109" s="37" t="inlineStr">
        <is>
          <t>All is Well</t>
        </is>
      </c>
    </row>
    <row r="3110">
      <c r="A3110" s="37" t="inlineStr">
        <is>
          <t>Phani</t>
        </is>
      </c>
      <c r="B3110" s="37" t="inlineStr">
        <is>
          <t>MG Road (Vijayawada)</t>
        </is>
      </c>
      <c r="C3110" s="37" t="inlineStr">
        <is>
          <t>Grow Youth</t>
        </is>
      </c>
      <c r="D3110" s="37" t="inlineStr">
        <is>
          <t>2026-07-03</t>
        </is>
      </c>
      <c r="E3110" s="37" t="inlineStr">
        <is>
          <t>Process Check</t>
        </is>
      </c>
      <c r="F3110" s="37" t="inlineStr">
        <is>
          <t>Confirm all new employers are registered on portal as per new process.</t>
        </is>
      </c>
      <c r="G3110" s="37" t="inlineStr">
        <is>
          <t>All is Well</t>
        </is>
      </c>
    </row>
    <row r="3111">
      <c r="A3111" s="37" t="inlineStr">
        <is>
          <t>Phani</t>
        </is>
      </c>
      <c r="B3111" s="37" t="inlineStr">
        <is>
          <t>MG Road (Vijayawada)</t>
        </is>
      </c>
      <c r="C3111" s="37" t="inlineStr">
        <is>
          <t>Grow Youth</t>
        </is>
      </c>
      <c r="D3111" s="37" t="inlineStr">
        <is>
          <t>2026-07-03</t>
        </is>
      </c>
      <c r="E3111" s="37" t="inlineStr">
        <is>
          <t>Process Check</t>
        </is>
      </c>
      <c r="F3111" s="37" t="inlineStr">
        <is>
          <t>Confirm 100% of enrolled students undergone screening (for technical courses).</t>
        </is>
      </c>
      <c r="G3111" s="37" t="inlineStr">
        <is>
          <t>All is Well</t>
        </is>
      </c>
    </row>
    <row r="3112">
      <c r="A3112" s="37" t="inlineStr">
        <is>
          <t>Phani</t>
        </is>
      </c>
      <c r="B3112" s="37" t="inlineStr">
        <is>
          <t>MG Road (Vijayawada)</t>
        </is>
      </c>
      <c r="C3112" s="37" t="inlineStr">
        <is>
          <t>Grow Youth</t>
        </is>
      </c>
      <c r="D3112" s="37" t="inlineStr">
        <is>
          <t>2026-07-03</t>
        </is>
      </c>
      <c r="E3112" s="37" t="inlineStr">
        <is>
          <t>Process Check</t>
        </is>
      </c>
      <c r="F3112" s="37" t="inlineStr">
        <is>
          <t>Confirm ESA is done (in GROW full ESA and in Technical courses relevant sections of Core Employability Part).</t>
        </is>
      </c>
      <c r="G3112" s="37" t="inlineStr">
        <is>
          <t>All is Well</t>
        </is>
      </c>
    </row>
    <row r="3113">
      <c r="A3113" s="37" t="inlineStr">
        <is>
          <t>Phani</t>
        </is>
      </c>
      <c r="B3113" s="37" t="inlineStr">
        <is>
          <t>MG Road (Vijayawada)</t>
        </is>
      </c>
      <c r="C3113" s="37" t="inlineStr">
        <is>
          <t>Grow Youth</t>
        </is>
      </c>
      <c r="D3113" s="37" t="inlineStr">
        <is>
          <t>2026-07-03</t>
        </is>
      </c>
      <c r="E3113" s="37" t="inlineStr">
        <is>
          <t>Process Check</t>
        </is>
      </c>
      <c r="F3113" s="37" t="inlineStr">
        <is>
          <t>Check is AH giving capstone project in GROW Tech.</t>
        </is>
      </c>
      <c r="G3113" s="37" t="inlineStr">
        <is>
          <t>Not Applicable</t>
        </is>
      </c>
    </row>
    <row r="3114">
      <c r="A3114" s="37" t="inlineStr">
        <is>
          <t>Phani</t>
        </is>
      </c>
      <c r="B3114" s="37" t="inlineStr">
        <is>
          <t>MG Road (Vijayawada)</t>
        </is>
      </c>
      <c r="C3114" s="37" t="inlineStr">
        <is>
          <t>Grow Youth</t>
        </is>
      </c>
      <c r="D3114" s="37" t="inlineStr">
        <is>
          <t>2026-07-03</t>
        </is>
      </c>
      <c r="E3114" s="37" t="inlineStr">
        <is>
          <t>Process Check</t>
        </is>
      </c>
      <c r="F3114" s="37" t="inlineStr">
        <is>
          <t>Check is AH planning OJT as per guidelines and proofs are collected for technical courses.</t>
        </is>
      </c>
      <c r="G3114" s="37" t="inlineStr">
        <is>
          <t>Not Applicable</t>
        </is>
      </c>
    </row>
    <row r="3115">
      <c r="A3115" s="37" t="inlineStr">
        <is>
          <t>Phani</t>
        </is>
      </c>
      <c r="B3115" s="37" t="inlineStr">
        <is>
          <t>MG Road (Vijayawada)</t>
        </is>
      </c>
      <c r="C3115" s="37" t="inlineStr">
        <is>
          <t>Grow Youth</t>
        </is>
      </c>
      <c r="D3115" s="37" t="inlineStr">
        <is>
          <t>2026-07-03</t>
        </is>
      </c>
      <c r="E3115" s="37" t="inlineStr">
        <is>
          <t>Process Check</t>
        </is>
      </c>
      <c r="F3115" s="37" t="inlineStr">
        <is>
          <t>Check are trainers contacting aspirants to find reason for their absenteeism of more than 1 day.</t>
        </is>
      </c>
      <c r="G3115" s="37" t="inlineStr">
        <is>
          <t>All is Well</t>
        </is>
      </c>
    </row>
    <row r="3116">
      <c r="A3116" s="37" t="inlineStr">
        <is>
          <t>Phani</t>
        </is>
      </c>
      <c r="B3116" s="37" t="inlineStr">
        <is>
          <t>MG Road (Vijayawada)</t>
        </is>
      </c>
      <c r="C3116" s="37" t="inlineStr">
        <is>
          <t>Grow Youth</t>
        </is>
      </c>
      <c r="D3116" s="37" t="inlineStr">
        <is>
          <t>2026-07-03</t>
        </is>
      </c>
      <c r="E3116" s="37" t="inlineStr">
        <is>
          <t>Process Check</t>
        </is>
      </c>
      <c r="F3116" s="37" t="inlineStr">
        <is>
          <t>Check the AH plans monthly enrolment and placement numbers by the 3rd of each month and shares them with second level managers.</t>
        </is>
      </c>
      <c r="G3116" s="37" t="inlineStr">
        <is>
          <t>All is Well</t>
        </is>
      </c>
    </row>
    <row r="3117">
      <c r="A3117" s="37" t="inlineStr">
        <is>
          <t>Phani</t>
        </is>
      </c>
      <c r="B3117" s="37" t="inlineStr">
        <is>
          <t>MG Road (Vijayawada)</t>
        </is>
      </c>
      <c r="C3117" s="37" t="inlineStr">
        <is>
          <t>Grow Youth</t>
        </is>
      </c>
      <c r="D3117" s="37" t="inlineStr">
        <is>
          <t>2026-07-03</t>
        </is>
      </c>
      <c r="E3117" s="37" t="inlineStr">
        <is>
          <t>Process Check</t>
        </is>
      </c>
      <c r="F3117" s="37" t="inlineStr">
        <is>
          <t>Check trainers submit aspirants’ placement interest areas to the AH by the batch’s 25th day (in GROW).</t>
        </is>
      </c>
      <c r="G3117" s="37" t="inlineStr">
        <is>
          <t>All is Well</t>
        </is>
      </c>
    </row>
    <row r="3118">
      <c r="A3118" s="37" t="inlineStr">
        <is>
          <t>Phani</t>
        </is>
      </c>
      <c r="B3118" s="37" t="inlineStr">
        <is>
          <t>MG Road (Vijayawada)</t>
        </is>
      </c>
      <c r="C3118" s="37" t="inlineStr">
        <is>
          <t>Grow Youth</t>
        </is>
      </c>
      <c r="D3118" s="37" t="inlineStr">
        <is>
          <t>2026-07-03</t>
        </is>
      </c>
      <c r="E3118" s="37" t="inlineStr">
        <is>
          <t>Process Check</t>
        </is>
      </c>
      <c r="F3118" s="37" t="inlineStr">
        <is>
          <t>Ckeck For technical programs, placement is done only in technical jobs,on which aspirants are trained and relevant emplyers are identified by 45th day.</t>
        </is>
      </c>
      <c r="G3118" s="37" t="inlineStr">
        <is>
          <t>Not Applicable</t>
        </is>
      </c>
    </row>
    <row r="3119">
      <c r="A3119" s="37" t="inlineStr">
        <is>
          <t>Phani</t>
        </is>
      </c>
      <c r="B3119" s="37" t="inlineStr">
        <is>
          <t>MG Road (Vijayawada)</t>
        </is>
      </c>
      <c r="C3119" s="37" t="inlineStr">
        <is>
          <t>Grow Youth</t>
        </is>
      </c>
      <c r="D3119" s="37" t="inlineStr">
        <is>
          <t>2026-07-03</t>
        </is>
      </c>
      <c r="E3119" s="37" t="inlineStr">
        <is>
          <t>Process Check</t>
        </is>
      </c>
      <c r="F3119" s="37" t="inlineStr">
        <is>
          <t>Check the AH follows EP guidelines and minimum benchmark salary guidelines.</t>
        </is>
      </c>
      <c r="G3119" s="37" t="inlineStr">
        <is>
          <t>All is Well</t>
        </is>
      </c>
    </row>
    <row r="3120">
      <c r="A3120" s="37" t="inlineStr">
        <is>
          <t>Phani</t>
        </is>
      </c>
      <c r="B3120" s="37" t="inlineStr">
        <is>
          <t>MG Road (Vijayawada)</t>
        </is>
      </c>
      <c r="C3120" s="37" t="inlineStr">
        <is>
          <t>Grow Youth</t>
        </is>
      </c>
      <c r="D3120" s="37" t="inlineStr">
        <is>
          <t>2026-07-03</t>
        </is>
      </c>
      <c r="E3120" s="37" t="inlineStr">
        <is>
          <t>Process Check</t>
        </is>
      </c>
      <c r="F3120" s="37" t="inlineStr">
        <is>
          <t>Check that AH is enrolling only the right traget group in the program -as per the defined target.</t>
        </is>
      </c>
      <c r="G3120" s="37" t="inlineStr">
        <is>
          <t>All is Well</t>
        </is>
      </c>
    </row>
    <row r="3121">
      <c r="A3121" s="37" t="inlineStr">
        <is>
          <t>Phani</t>
        </is>
      </c>
      <c r="B3121" s="37" t="inlineStr">
        <is>
          <t>MG Road (Vijayawada)</t>
        </is>
      </c>
      <c r="C3121" s="37" t="inlineStr">
        <is>
          <t>Grow Youth</t>
        </is>
      </c>
      <c r="D3121" s="37" t="inlineStr">
        <is>
          <t>2026-07-03</t>
        </is>
      </c>
      <c r="E3121" s="37" t="inlineStr">
        <is>
          <t>Process Check</t>
        </is>
      </c>
      <c r="F3121" s="37" t="inlineStr">
        <is>
          <t>Check the AH announces the next batch-start date by the 3rd of the month on all notice boards — focus on Zero-Day start.</t>
        </is>
      </c>
      <c r="G3121" s="37" t="inlineStr">
        <is>
          <t>All is Well</t>
        </is>
      </c>
    </row>
    <row r="3122">
      <c r="A3122" s="37" t="inlineStr">
        <is>
          <t>Phani</t>
        </is>
      </c>
      <c r="B3122" s="37" t="inlineStr">
        <is>
          <t>MG Road (Vijayawada)</t>
        </is>
      </c>
      <c r="C3122" s="37" t="inlineStr">
        <is>
          <t>Grow Youth</t>
        </is>
      </c>
      <c r="D3122" s="37" t="inlineStr">
        <is>
          <t>2026-07-03</t>
        </is>
      </c>
      <c r="E3122" s="37" t="inlineStr">
        <is>
          <t>Process Check</t>
        </is>
      </c>
      <c r="F3122" s="37" t="inlineStr">
        <is>
          <t>Check the Aspirant Mock Interview Score Tracker is updated after every mock interview in the L&amp;D Google Sheet.</t>
        </is>
      </c>
      <c r="G3122" s="37" t="inlineStr">
        <is>
          <t>All is Well</t>
        </is>
      </c>
    </row>
    <row r="3123">
      <c r="A3123" s="37" t="inlineStr">
        <is>
          <t>Phani</t>
        </is>
      </c>
      <c r="B3123" s="37" t="inlineStr">
        <is>
          <t>MG Road (Vijayawada)</t>
        </is>
      </c>
      <c r="C3123" s="37" t="inlineStr">
        <is>
          <t>Grow Youth</t>
        </is>
      </c>
      <c r="D3123" s="37" t="inlineStr">
        <is>
          <t>2026-07-03</t>
        </is>
      </c>
      <c r="E3123" s="37" t="inlineStr">
        <is>
          <t>Process Check</t>
        </is>
      </c>
      <c r="F3123" s="37" t="inlineStr">
        <is>
          <t>Confirm NPS (Net Promoter Score) is collected at MSDF centres.</t>
        </is>
      </c>
      <c r="G3123" s="37" t="inlineStr">
        <is>
          <t>Not Applicable</t>
        </is>
      </c>
    </row>
    <row r="3124">
      <c r="A3124" s="37" t="inlineStr">
        <is>
          <t>Phani</t>
        </is>
      </c>
      <c r="B3124" s="37" t="inlineStr">
        <is>
          <t>MG Road (Vijayawada)</t>
        </is>
      </c>
      <c r="C3124" s="37" t="inlineStr">
        <is>
          <t>Grow Youth</t>
        </is>
      </c>
      <c r="D3124" s="37" t="inlineStr">
        <is>
          <t>2026-07-03</t>
        </is>
      </c>
      <c r="E3124" s="37" t="inlineStr">
        <is>
          <t>Process Check</t>
        </is>
      </c>
      <c r="F3124" s="37" t="inlineStr">
        <is>
          <t>Confirm that QAE is collecting student feedback for every batch.</t>
        </is>
      </c>
      <c r="G3124" s="37" t="inlineStr">
        <is>
          <t>All is Well</t>
        </is>
      </c>
    </row>
    <row r="3125">
      <c r="A3125" s="37" t="inlineStr">
        <is>
          <t>Phani</t>
        </is>
      </c>
      <c r="B3125" s="37" t="inlineStr">
        <is>
          <t>MG Road (Vijayawada)</t>
        </is>
      </c>
      <c r="C3125" s="37" t="inlineStr">
        <is>
          <t>Grow Youth</t>
        </is>
      </c>
      <c r="D3125" s="37" t="inlineStr">
        <is>
          <t>2026-07-03</t>
        </is>
      </c>
      <c r="E3125" s="37" t="inlineStr">
        <is>
          <t>Process Check</t>
        </is>
      </c>
      <c r="F3125" s="37" t="inlineStr">
        <is>
          <t>Confirm all centre teams have completed the GROW Manual Course on Skillfy — ask for achievement certificates.</t>
        </is>
      </c>
      <c r="G3125" s="37" t="inlineStr">
        <is>
          <t>All is Well</t>
        </is>
      </c>
    </row>
    <row r="3126">
      <c r="A3126" s="37" t="inlineStr">
        <is>
          <t>Phani</t>
        </is>
      </c>
      <c r="B3126" s="37" t="inlineStr">
        <is>
          <t>MG Road (Vijayawada)</t>
        </is>
      </c>
      <c r="C3126" s="37" t="inlineStr">
        <is>
          <t>Grow Youth</t>
        </is>
      </c>
      <c r="D3126" s="37" t="inlineStr">
        <is>
          <t>2026-07-03</t>
        </is>
      </c>
      <c r="E3126" s="37" t="inlineStr">
        <is>
          <t>Process Check</t>
        </is>
      </c>
      <c r="F3126" s="37" t="inlineStr">
        <is>
          <t>Check AH holds a quality weekly team meeting, documents action points in the weekly meeting format, and sends you a photo on WhatsApp.</t>
        </is>
      </c>
      <c r="G3126" s="37" t="inlineStr">
        <is>
          <t>Need Improvement</t>
        </is>
      </c>
    </row>
    <row r="3127">
      <c r="A3127" s="37" t="inlineStr">
        <is>
          <t>Phani</t>
        </is>
      </c>
      <c r="B3127" s="37" t="inlineStr">
        <is>
          <t>MG Road (Vijayawada)</t>
        </is>
      </c>
      <c r="C3127" s="37" t="inlineStr">
        <is>
          <t>Grow Youth</t>
        </is>
      </c>
      <c r="D3127" s="37" t="inlineStr">
        <is>
          <t>2026-07-03</t>
        </is>
      </c>
      <c r="E3127" s="37" t="inlineStr">
        <is>
          <t>Aspirant Interaction</t>
        </is>
      </c>
      <c r="F3127" s="37" t="inlineStr">
        <is>
          <t>Ask aspirants about the session plan — confirm training is happening as planned?</t>
        </is>
      </c>
      <c r="G3127" s="37" t="inlineStr">
        <is>
          <t>All is Well</t>
        </is>
      </c>
    </row>
    <row r="3128">
      <c r="A3128" s="37" t="inlineStr">
        <is>
          <t>Phani</t>
        </is>
      </c>
      <c r="B3128" s="37" t="inlineStr">
        <is>
          <t>MG Road (Vijayawada)</t>
        </is>
      </c>
      <c r="C3128" s="37" t="inlineStr">
        <is>
          <t>Grow Youth</t>
        </is>
      </c>
      <c r="D3128" s="37" t="inlineStr">
        <is>
          <t>2026-07-03</t>
        </is>
      </c>
      <c r="E3128" s="37" t="inlineStr">
        <is>
          <t>Aspirant Interaction</t>
        </is>
      </c>
      <c r="F3128" s="37" t="inlineStr">
        <is>
          <t>Ask about the quality of Core Employability component delivery (technical centres) and who delivers it.</t>
        </is>
      </c>
      <c r="G3128" s="37" t="inlineStr">
        <is>
          <t>All is Well</t>
        </is>
      </c>
    </row>
    <row r="3129">
      <c r="A3129" s="37" t="inlineStr">
        <is>
          <t>Phani</t>
        </is>
      </c>
      <c r="B3129" s="37" t="inlineStr">
        <is>
          <t>MG Road (Vijayawada)</t>
        </is>
      </c>
      <c r="C3129" s="37" t="inlineStr">
        <is>
          <t>Grow Youth</t>
        </is>
      </c>
      <c r="D3129" s="37" t="inlineStr">
        <is>
          <t>2026-07-03</t>
        </is>
      </c>
      <c r="E3129" s="37" t="inlineStr">
        <is>
          <t>Aspirant Interaction</t>
        </is>
      </c>
      <c r="F3129" s="37" t="inlineStr">
        <is>
          <t>Ask whether they are aware of the referral scheme?</t>
        </is>
      </c>
      <c r="G3129" s="37" t="inlineStr">
        <is>
          <t>All is Well</t>
        </is>
      </c>
    </row>
    <row r="3130">
      <c r="A3130" s="37" t="inlineStr">
        <is>
          <t>Phani</t>
        </is>
      </c>
      <c r="B3130" s="37" t="inlineStr">
        <is>
          <t>MG Road (Vijayawada)</t>
        </is>
      </c>
      <c r="C3130" s="37" t="inlineStr">
        <is>
          <t>Grow Youth</t>
        </is>
      </c>
      <c r="D3130" s="37" t="inlineStr">
        <is>
          <t>2026-07-03</t>
        </is>
      </c>
      <c r="E3130" s="37" t="inlineStr">
        <is>
          <t>Aspirant Interaction</t>
        </is>
      </c>
      <c r="F3130" s="37" t="inlineStr">
        <is>
          <t>Ask whether the AH explained the importance of the offer letter and sharing it with us once received for reporting purposes?</t>
        </is>
      </c>
      <c r="G3130" s="37" t="inlineStr">
        <is>
          <t>All is Well</t>
        </is>
      </c>
    </row>
    <row r="3131">
      <c r="A3131" s="37" t="inlineStr">
        <is>
          <t>Phani</t>
        </is>
      </c>
      <c r="B3131" s="37" t="inlineStr">
        <is>
          <t>MG Road (Vijayawada)</t>
        </is>
      </c>
      <c r="C3131" s="37" t="inlineStr">
        <is>
          <t>Grow Youth</t>
        </is>
      </c>
      <c r="D3131" s="37" t="inlineStr">
        <is>
          <t>2026-07-03</t>
        </is>
      </c>
      <c r="E3131" s="37" t="inlineStr">
        <is>
          <t>Aspirant Interaction</t>
        </is>
      </c>
      <c r="F3131" s="37" t="inlineStr">
        <is>
          <t>Ask how many are not interested in jobs — and if so, why they enrolled in the programme?</t>
        </is>
      </c>
      <c r="G3131" s="37" t="inlineStr">
        <is>
          <t>All is Well</t>
        </is>
      </c>
    </row>
    <row r="3132">
      <c r="A3132" s="37" t="inlineStr">
        <is>
          <t>Phani</t>
        </is>
      </c>
      <c r="B3132" s="37" t="inlineStr">
        <is>
          <t>MG Road (Vijayawada)</t>
        </is>
      </c>
      <c r="C3132" s="37" t="inlineStr">
        <is>
          <t>Grow Youth</t>
        </is>
      </c>
      <c r="D3132" s="37" t="inlineStr">
        <is>
          <t>2026-07-03</t>
        </is>
      </c>
      <c r="E3132" s="37" t="inlineStr">
        <is>
          <t>Aspirant Interaction</t>
        </is>
      </c>
      <c r="F3132" s="37" t="inlineStr">
        <is>
          <t>Ask whether they were told the kind of job they would get during counselling?</t>
        </is>
      </c>
      <c r="G3132" s="37" t="inlineStr">
        <is>
          <t>All is Well</t>
        </is>
      </c>
    </row>
    <row r="3133">
      <c r="A3133" s="37" t="inlineStr">
        <is>
          <t>Phani</t>
        </is>
      </c>
      <c r="B3133" s="37" t="inlineStr">
        <is>
          <t>MG Road (Vijayawada)</t>
        </is>
      </c>
      <c r="C3133" s="37" t="inlineStr">
        <is>
          <t>Grow Youth</t>
        </is>
      </c>
      <c r="D3133" s="37" t="inlineStr">
        <is>
          <t>2026-07-03</t>
        </is>
      </c>
      <c r="E3133" s="37" t="inlineStr">
        <is>
          <t>Aspirant Interaction</t>
        </is>
      </c>
      <c r="F3133" s="37" t="inlineStr">
        <is>
          <t>Ask whether they have been given LMS access?</t>
        </is>
      </c>
      <c r="G3133" s="37" t="inlineStr">
        <is>
          <t>All is Well</t>
        </is>
      </c>
    </row>
    <row r="3134">
      <c r="A3134" s="37" t="inlineStr">
        <is>
          <t>Phani</t>
        </is>
      </c>
      <c r="B3134" s="37" t="inlineStr">
        <is>
          <t>MG Road (Vijayawada)</t>
        </is>
      </c>
      <c r="C3134" s="37" t="inlineStr">
        <is>
          <t>Grow Youth</t>
        </is>
      </c>
      <c r="D3134" s="37" t="inlineStr">
        <is>
          <t>2026-07-03</t>
        </is>
      </c>
      <c r="E3134" s="37" t="inlineStr">
        <is>
          <t>Aspirant Interaction</t>
        </is>
      </c>
      <c r="F3134" s="37" t="inlineStr">
        <is>
          <t>Ask whether anyone asked them for money for training or placement?</t>
        </is>
      </c>
      <c r="G3134" s="37" t="inlineStr">
        <is>
          <t>All is Well</t>
        </is>
      </c>
    </row>
    <row r="3135">
      <c r="A3135" s="37" t="inlineStr">
        <is>
          <t>Phani</t>
        </is>
      </c>
      <c r="B3135" s="37" t="inlineStr">
        <is>
          <t>MG Road (Vijayawada)</t>
        </is>
      </c>
      <c r="C3135" s="37" t="inlineStr">
        <is>
          <t>Grow Youth</t>
        </is>
      </c>
      <c r="D3135" s="37" t="inlineStr">
        <is>
          <t>2026-07-03</t>
        </is>
      </c>
      <c r="E3135" s="37" t="inlineStr">
        <is>
          <t>Aspirant Interaction</t>
        </is>
      </c>
      <c r="F3135" s="37" t="inlineStr">
        <is>
          <t>Ask to show their mobile phones — are they enrolled on Skillfy? If not, get them enrolled and give written feedback to trainers and the AH in your presence.</t>
        </is>
      </c>
      <c r="G3135" s="37" t="inlineStr">
        <is>
          <t>All is Well</t>
        </is>
      </c>
    </row>
    <row r="3136">
      <c r="A3136" s="37" t="inlineStr">
        <is>
          <t>Phani</t>
        </is>
      </c>
      <c r="B3136" s="37" t="inlineStr">
        <is>
          <t>MG Road (Vijayawada)</t>
        </is>
      </c>
      <c r="C3136" s="37" t="inlineStr">
        <is>
          <t>Grow Youth</t>
        </is>
      </c>
      <c r="D3136" s="37" t="inlineStr">
        <is>
          <t>2026-07-03</t>
        </is>
      </c>
      <c r="E3136" s="37" t="inlineStr">
        <is>
          <t>Aspirant Interaction</t>
        </is>
      </c>
      <c r="F3136" s="37" t="inlineStr">
        <is>
          <t>Ask about the quality of the hostel and any issues they face.</t>
        </is>
      </c>
      <c r="G3136" s="37" t="inlineStr">
        <is>
          <t>Not Applicable</t>
        </is>
      </c>
    </row>
    <row r="3137">
      <c r="A3137" s="37" t="inlineStr">
        <is>
          <t>Phani</t>
        </is>
      </c>
      <c r="B3137" s="37" t="inlineStr">
        <is>
          <t>MG Road (Vijayawada)</t>
        </is>
      </c>
      <c r="C3137" s="37" t="inlineStr">
        <is>
          <t>Grow Youth</t>
        </is>
      </c>
      <c r="D3137" s="37" t="inlineStr">
        <is>
          <t>2026-07-03</t>
        </is>
      </c>
      <c r="E3137" s="37" t="inlineStr">
        <is>
          <t>Aspirant Interaction</t>
        </is>
      </c>
      <c r="F3137" s="37" t="inlineStr">
        <is>
          <t>Ask a few relevant screening questions to support the 10th-day report and remove non-serious candidates, explaining to them the reasons.</t>
        </is>
      </c>
      <c r="G3137" s="37" t="inlineStr">
        <is>
          <t>All is Well</t>
        </is>
      </c>
    </row>
    <row r="3138">
      <c r="A3138" s="37" t="inlineStr">
        <is>
          <t>Phani</t>
        </is>
      </c>
      <c r="B3138" s="37" t="inlineStr">
        <is>
          <t>Trivendrum CITI</t>
        </is>
      </c>
      <c r="C3138" s="37" t="inlineStr">
        <is>
          <t>Grow Youth</t>
        </is>
      </c>
      <c r="D3138" s="37" t="inlineStr">
        <is>
          <t>2026-07-09</t>
        </is>
      </c>
      <c r="E3138" s="37" t="inlineStr">
        <is>
          <t>Data Check</t>
        </is>
      </c>
      <c r="F3138" s="37" t="inlineStr">
        <is>
          <t>Reach the centre on time (unannounced) — confirm the centre opened on time.</t>
        </is>
      </c>
      <c r="G3138" s="37" t="inlineStr">
        <is>
          <t>Need Improvement</t>
        </is>
      </c>
    </row>
    <row r="3139">
      <c r="A3139" s="37" t="inlineStr">
        <is>
          <t>Phani</t>
        </is>
      </c>
      <c r="B3139" s="37" t="inlineStr">
        <is>
          <t>Trivendrum CITI</t>
        </is>
      </c>
      <c r="C3139" s="37" t="inlineStr">
        <is>
          <t>Grow Youth</t>
        </is>
      </c>
      <c r="D3139" s="37" t="inlineStr">
        <is>
          <t>2026-07-09</t>
        </is>
      </c>
      <c r="E3139" s="37" t="inlineStr">
        <is>
          <t>Data Check</t>
        </is>
      </c>
      <c r="F3139" s="37" t="inlineStr">
        <is>
          <t>Check the staff attendance register, the Google Sheet, and geo-tagged photos for aspirants.</t>
        </is>
      </c>
      <c r="G3139" s="37" t="inlineStr">
        <is>
          <t>Need Improvement</t>
        </is>
      </c>
    </row>
    <row r="3140">
      <c r="A3140" s="37" t="inlineStr">
        <is>
          <t>Phani</t>
        </is>
      </c>
      <c r="B3140" s="37" t="inlineStr">
        <is>
          <t>Trivendrum CITI</t>
        </is>
      </c>
      <c r="C3140" s="37" t="inlineStr">
        <is>
          <t>Grow Youth</t>
        </is>
      </c>
      <c r="D3140" s="37" t="inlineStr">
        <is>
          <t>2026-07-09</t>
        </is>
      </c>
      <c r="E3140" s="37" t="inlineStr">
        <is>
          <t>Data Check</t>
        </is>
      </c>
      <c r="F3140" s="37" t="inlineStr">
        <is>
          <t>Check Counselling and Screening Forms of recently started batches.</t>
        </is>
      </c>
      <c r="G3140" s="37" t="inlineStr">
        <is>
          <t>All is Well</t>
        </is>
      </c>
    </row>
    <row r="3141">
      <c r="A3141" s="37" t="inlineStr">
        <is>
          <t>Phani</t>
        </is>
      </c>
      <c r="B3141" s="37" t="inlineStr">
        <is>
          <t>Trivendrum CITI</t>
        </is>
      </c>
      <c r="C3141" s="37" t="inlineStr">
        <is>
          <t>Grow Youth</t>
        </is>
      </c>
      <c r="D3141" s="37" t="inlineStr">
        <is>
          <t>2026-07-09</t>
        </is>
      </c>
      <c r="E3141" s="37" t="inlineStr">
        <is>
          <t>Data Check</t>
        </is>
      </c>
      <c r="F3141" s="37" t="inlineStr">
        <is>
          <t>Check Aspirant Registration Forms and related documents.</t>
        </is>
      </c>
      <c r="G3141" s="37" t="inlineStr">
        <is>
          <t>All is Well</t>
        </is>
      </c>
    </row>
    <row r="3142">
      <c r="A3142" s="37" t="inlineStr">
        <is>
          <t>Phani</t>
        </is>
      </c>
      <c r="B3142" s="37" t="inlineStr">
        <is>
          <t>Trivendrum CITI</t>
        </is>
      </c>
      <c r="C3142" s="37" t="inlineStr">
        <is>
          <t>Grow Youth</t>
        </is>
      </c>
      <c r="D3142" s="37" t="inlineStr">
        <is>
          <t>2026-07-09</t>
        </is>
      </c>
      <c r="E3142" s="37" t="inlineStr">
        <is>
          <t>Data Check</t>
        </is>
      </c>
      <c r="F3142" s="37" t="inlineStr">
        <is>
          <t>On the GROW portal, confirm all student profile details and batch updates are currect.</t>
        </is>
      </c>
      <c r="G3142" s="37" t="inlineStr">
        <is>
          <t>All is Well</t>
        </is>
      </c>
    </row>
    <row r="3143">
      <c r="A3143" s="37" t="inlineStr">
        <is>
          <t>Phani</t>
        </is>
      </c>
      <c r="B3143" s="37" t="inlineStr">
        <is>
          <t>Trivendrum CITI</t>
        </is>
      </c>
      <c r="C3143" s="37" t="inlineStr">
        <is>
          <t>Grow Youth</t>
        </is>
      </c>
      <c r="D3143" s="37" t="inlineStr">
        <is>
          <t>2026-07-09</t>
        </is>
      </c>
      <c r="E3143" s="37" t="inlineStr">
        <is>
          <t>Data Check</t>
        </is>
      </c>
      <c r="F3143" s="37" t="inlineStr">
        <is>
          <t>Verify placement data — randomly call 3–4 alumni placed in the last 3 months to confirm veracity (random selection is essential).</t>
        </is>
      </c>
      <c r="G3143" s="37" t="inlineStr">
        <is>
          <t>Not Applicable</t>
        </is>
      </c>
    </row>
    <row r="3144">
      <c r="A3144" s="37" t="inlineStr">
        <is>
          <t>Phani</t>
        </is>
      </c>
      <c r="B3144" s="37" t="inlineStr">
        <is>
          <t>Trivendrum CITI</t>
        </is>
      </c>
      <c r="C3144" s="37" t="inlineStr">
        <is>
          <t>Grow Youth</t>
        </is>
      </c>
      <c r="D3144" s="37" t="inlineStr">
        <is>
          <t>2026-07-09</t>
        </is>
      </c>
      <c r="E3144" s="37" t="inlineStr">
        <is>
          <t>Data Check</t>
        </is>
      </c>
      <c r="F3144" s="37" t="inlineStr">
        <is>
          <t>Verify retention — check the Alumni Hand-holding Format is being updated as designed.</t>
        </is>
      </c>
      <c r="G3144" s="37" t="inlineStr">
        <is>
          <t>Not Applicable</t>
        </is>
      </c>
    </row>
    <row r="3145">
      <c r="A3145" s="37" t="inlineStr">
        <is>
          <t>Phani</t>
        </is>
      </c>
      <c r="B3145" s="37" t="inlineStr">
        <is>
          <t>Trivendrum CITI</t>
        </is>
      </c>
      <c r="C3145" s="37" t="inlineStr">
        <is>
          <t>Grow Youth</t>
        </is>
      </c>
      <c r="D3145" s="37" t="inlineStr">
        <is>
          <t>2026-07-09</t>
        </is>
      </c>
      <c r="E3145" s="37" t="inlineStr">
        <is>
          <t>Data Check</t>
        </is>
      </c>
      <c r="F3145" s="37" t="inlineStr">
        <is>
          <t>Check aspirant Hostel Forms are properly filled or not.</t>
        </is>
      </c>
      <c r="G3145" s="37" t="inlineStr">
        <is>
          <t>Not Applicable</t>
        </is>
      </c>
    </row>
    <row r="3146">
      <c r="A3146" s="37" t="inlineStr">
        <is>
          <t>Phani</t>
        </is>
      </c>
      <c r="B3146" s="37" t="inlineStr">
        <is>
          <t>Trivendrum CITI</t>
        </is>
      </c>
      <c r="C3146" s="37" t="inlineStr">
        <is>
          <t>Grow Youth</t>
        </is>
      </c>
      <c r="D3146" s="37" t="inlineStr">
        <is>
          <t>2026-07-09</t>
        </is>
      </c>
      <c r="E3146" s="37" t="inlineStr">
        <is>
          <t>Infra Check</t>
        </is>
      </c>
      <c r="F3146" s="37" t="inlineStr">
        <is>
          <t>Check all CCTV cameras; if any are not working, ask the AH to troubleshoot or call the vendor.</t>
        </is>
      </c>
      <c r="G3146" s="37" t="inlineStr">
        <is>
          <t>All is Well</t>
        </is>
      </c>
    </row>
    <row r="3147">
      <c r="A3147" s="37" t="inlineStr">
        <is>
          <t>Phani</t>
        </is>
      </c>
      <c r="B3147" s="37" t="inlineStr">
        <is>
          <t>Trivendrum CITI</t>
        </is>
      </c>
      <c r="C3147" s="37" t="inlineStr">
        <is>
          <t>Grow Youth</t>
        </is>
      </c>
      <c r="D3147" s="37" t="inlineStr">
        <is>
          <t>2026-07-09</t>
        </is>
      </c>
      <c r="E3147" s="37" t="inlineStr">
        <is>
          <t>Infra Check</t>
        </is>
      </c>
      <c r="F3147" s="37" t="inlineStr">
        <is>
          <t>Check for any scrap material and get it cleared, with support of Admin</t>
        </is>
      </c>
      <c r="G3147" s="37" t="inlineStr">
        <is>
          <t>All is Well</t>
        </is>
      </c>
    </row>
    <row r="3148">
      <c r="A3148" s="37" t="inlineStr">
        <is>
          <t>Phani</t>
        </is>
      </c>
      <c r="B3148" s="37" t="inlineStr">
        <is>
          <t>Trivendrum CITI</t>
        </is>
      </c>
      <c r="C3148" s="37" t="inlineStr">
        <is>
          <t>Grow Youth</t>
        </is>
      </c>
      <c r="D3148" s="37" t="inlineStr">
        <is>
          <t>2026-07-09</t>
        </is>
      </c>
      <c r="E3148" s="37" t="inlineStr">
        <is>
          <t>Infra Check</t>
        </is>
      </c>
      <c r="F3148" s="37" t="inlineStr">
        <is>
          <t>Check for any pending infra repairs.</t>
        </is>
      </c>
      <c r="G3148" s="37" t="inlineStr">
        <is>
          <t>Need Improvement</t>
        </is>
      </c>
    </row>
    <row r="3149">
      <c r="A3149" s="37" t="inlineStr">
        <is>
          <t>Phani</t>
        </is>
      </c>
      <c r="B3149" s="37" t="inlineStr">
        <is>
          <t>Trivendrum CITI</t>
        </is>
      </c>
      <c r="C3149" s="37" t="inlineStr">
        <is>
          <t>Grow Youth</t>
        </is>
      </c>
      <c r="D3149" s="37" t="inlineStr">
        <is>
          <t>2026-07-09</t>
        </is>
      </c>
      <c r="E3149" s="37" t="inlineStr">
        <is>
          <t>Infra Check</t>
        </is>
      </c>
      <c r="F3149" s="37" t="inlineStr">
        <is>
          <t>Check whether any fire extinguishers have expired (check the needle and expiry date both).</t>
        </is>
      </c>
      <c r="G3149" s="37" t="inlineStr">
        <is>
          <t>All is Well</t>
        </is>
      </c>
    </row>
    <row r="3150">
      <c r="A3150" s="37" t="inlineStr">
        <is>
          <t>Phani</t>
        </is>
      </c>
      <c r="B3150" s="37" t="inlineStr">
        <is>
          <t>Trivendrum CITI</t>
        </is>
      </c>
      <c r="C3150" s="37" t="inlineStr">
        <is>
          <t>Grow Youth</t>
        </is>
      </c>
      <c r="D3150" s="37" t="inlineStr">
        <is>
          <t>2026-07-09</t>
        </is>
      </c>
      <c r="E3150" s="37" t="inlineStr">
        <is>
          <t>Infra Check</t>
        </is>
      </c>
      <c r="F3150" s="37" t="inlineStr">
        <is>
          <t>Check basic cleanliness of the washrooms and the centre.</t>
        </is>
      </c>
      <c r="G3150" s="37" t="inlineStr">
        <is>
          <t>All is Well</t>
        </is>
      </c>
    </row>
    <row r="3151">
      <c r="A3151" s="37" t="inlineStr">
        <is>
          <t>Phani</t>
        </is>
      </c>
      <c r="B3151" s="37" t="inlineStr">
        <is>
          <t>Trivendrum CITI</t>
        </is>
      </c>
      <c r="C3151" s="37" t="inlineStr">
        <is>
          <t>Grow Youth</t>
        </is>
      </c>
      <c r="D3151" s="37" t="inlineStr">
        <is>
          <t>2026-07-09</t>
        </is>
      </c>
      <c r="E3151" s="37" t="inlineStr">
        <is>
          <t>Infra Check</t>
        </is>
      </c>
      <c r="F3151" s="37" t="inlineStr">
        <is>
          <t>Confirm the correct program and partner logos are displayed.</t>
        </is>
      </c>
      <c r="G3151" s="37" t="inlineStr">
        <is>
          <t>All is Well</t>
        </is>
      </c>
    </row>
    <row r="3152">
      <c r="A3152" s="37" t="inlineStr">
        <is>
          <t>Phani</t>
        </is>
      </c>
      <c r="B3152" s="37" t="inlineStr">
        <is>
          <t>Trivendrum CITI</t>
        </is>
      </c>
      <c r="C3152" s="37" t="inlineStr">
        <is>
          <t>Grow Youth</t>
        </is>
      </c>
      <c r="D3152" s="37" t="inlineStr">
        <is>
          <t>2026-07-09</t>
        </is>
      </c>
      <c r="E3152" s="37" t="inlineStr">
        <is>
          <t>Infra Check</t>
        </is>
      </c>
      <c r="F3152" s="37" t="inlineStr">
        <is>
          <t>Check the status of digital infra — PCs, smartboards, tablets, laptops, etc.</t>
        </is>
      </c>
      <c r="G3152" s="37" t="inlineStr">
        <is>
          <t>All is Well</t>
        </is>
      </c>
    </row>
    <row r="3153">
      <c r="A3153" s="37" t="inlineStr">
        <is>
          <t>Phani</t>
        </is>
      </c>
      <c r="B3153" s="37" t="inlineStr">
        <is>
          <t>Trivendrum CITI</t>
        </is>
      </c>
      <c r="C3153" s="37" t="inlineStr">
        <is>
          <t>Grow Youth</t>
        </is>
      </c>
      <c r="D3153" s="37" t="inlineStr">
        <is>
          <t>2026-07-09</t>
        </is>
      </c>
      <c r="E3153" s="37" t="inlineStr">
        <is>
          <t>Infra Check</t>
        </is>
      </c>
      <c r="F3153" s="37" t="inlineStr">
        <is>
          <t>Make a quick hostel visit; have lunch there if possible to test the food quality.</t>
        </is>
      </c>
      <c r="G3153" s="37" t="inlineStr">
        <is>
          <t>Not Applicable</t>
        </is>
      </c>
    </row>
    <row r="3154">
      <c r="A3154" s="37" t="inlineStr">
        <is>
          <t>Phani</t>
        </is>
      </c>
      <c r="B3154" s="37" t="inlineStr">
        <is>
          <t>Trivendrum CITI</t>
        </is>
      </c>
      <c r="C3154" s="37" t="inlineStr">
        <is>
          <t>Grow Youth</t>
        </is>
      </c>
      <c r="D3154" s="37" t="inlineStr">
        <is>
          <t>2026-07-09</t>
        </is>
      </c>
      <c r="E3154" s="37" t="inlineStr">
        <is>
          <t>Process Check</t>
        </is>
      </c>
      <c r="F3154" s="37" t="inlineStr">
        <is>
          <t>Refer to the activity planner — check if any activities are delayed.</t>
        </is>
      </c>
      <c r="G3154" s="37" t="inlineStr">
        <is>
          <t>Not Applicable</t>
        </is>
      </c>
    </row>
    <row r="3155">
      <c r="A3155" s="37" t="inlineStr">
        <is>
          <t>Phani</t>
        </is>
      </c>
      <c r="B3155" s="37" t="inlineStr">
        <is>
          <t>Trivendrum CITI</t>
        </is>
      </c>
      <c r="C3155" s="37" t="inlineStr">
        <is>
          <t>Grow Youth</t>
        </is>
      </c>
      <c r="D3155" s="37" t="inlineStr">
        <is>
          <t>2026-07-09</t>
        </is>
      </c>
      <c r="E3155" s="37" t="inlineStr">
        <is>
          <t>Process Check</t>
        </is>
      </c>
      <c r="F3155" s="37" t="inlineStr">
        <is>
          <t>Check planning for the next batch-start announcement.</t>
        </is>
      </c>
      <c r="G3155" s="37" t="inlineStr">
        <is>
          <t>All is Well</t>
        </is>
      </c>
    </row>
    <row r="3156">
      <c r="A3156" s="37" t="inlineStr">
        <is>
          <t>Phani</t>
        </is>
      </c>
      <c r="B3156" s="37" t="inlineStr">
        <is>
          <t>Trivendrum CITI</t>
        </is>
      </c>
      <c r="C3156" s="37" t="inlineStr">
        <is>
          <t>Grow Youth</t>
        </is>
      </c>
      <c r="D3156" s="37" t="inlineStr">
        <is>
          <t>2026-07-09</t>
        </is>
      </c>
      <c r="E3156" s="37" t="inlineStr">
        <is>
          <t>Process Check</t>
        </is>
      </c>
      <c r="F3156" s="37" t="inlineStr">
        <is>
          <t>Check if any hiring is delayed and plan a resolution.</t>
        </is>
      </c>
      <c r="G3156" s="37" t="inlineStr">
        <is>
          <t>All is Well</t>
        </is>
      </c>
    </row>
    <row r="3157">
      <c r="A3157" s="37" t="inlineStr">
        <is>
          <t>Phani</t>
        </is>
      </c>
      <c r="B3157" s="37" t="inlineStr">
        <is>
          <t>Trivendrum CITI</t>
        </is>
      </c>
      <c r="C3157" s="37" t="inlineStr">
        <is>
          <t>Grow Youth</t>
        </is>
      </c>
      <c r="D3157" s="37" t="inlineStr">
        <is>
          <t>2026-07-09</t>
        </is>
      </c>
      <c r="E3157" s="37" t="inlineStr">
        <is>
          <t>Process Check</t>
        </is>
      </c>
      <c r="F3157" s="37" t="inlineStr">
        <is>
          <t>Check the CA’s diary — is CA guided daily by the AH during planning days?</t>
        </is>
      </c>
      <c r="G3157" s="37" t="inlineStr">
        <is>
          <t>All is Well</t>
        </is>
      </c>
    </row>
    <row r="3158">
      <c r="A3158" s="37" t="inlineStr">
        <is>
          <t>Phani</t>
        </is>
      </c>
      <c r="B3158" s="37" t="inlineStr">
        <is>
          <t>Trivendrum CITI</t>
        </is>
      </c>
      <c r="C3158" s="37" t="inlineStr">
        <is>
          <t>Grow Youth</t>
        </is>
      </c>
      <c r="D3158" s="37" t="inlineStr">
        <is>
          <t>2026-07-09</t>
        </is>
      </c>
      <c r="E3158" s="37" t="inlineStr">
        <is>
          <t>Process Check</t>
        </is>
      </c>
      <c r="F3158" s="37" t="inlineStr">
        <is>
          <t>Check the AH is regularly meeting employers (in person and online) and updating the centre’s Top 20 Employer format.</t>
        </is>
      </c>
      <c r="G3158" s="37" t="inlineStr">
        <is>
          <t>Need Improvement</t>
        </is>
      </c>
    </row>
    <row r="3159">
      <c r="A3159" s="37" t="inlineStr">
        <is>
          <t>Phani</t>
        </is>
      </c>
      <c r="B3159" s="37" t="inlineStr">
        <is>
          <t>Trivendrum CITI</t>
        </is>
      </c>
      <c r="C3159" s="37" t="inlineStr">
        <is>
          <t>Grow Youth</t>
        </is>
      </c>
      <c r="D3159" s="37" t="inlineStr">
        <is>
          <t>2026-07-09</t>
        </is>
      </c>
      <c r="E3159" s="37" t="inlineStr">
        <is>
          <t>Process Check</t>
        </is>
      </c>
      <c r="F3159" s="37" t="inlineStr">
        <is>
          <t>Confirm all new employers are registered on portal as per new process.</t>
        </is>
      </c>
      <c r="G3159" s="37" t="inlineStr">
        <is>
          <t>Not Applicable</t>
        </is>
      </c>
    </row>
    <row r="3160">
      <c r="A3160" s="37" t="inlineStr">
        <is>
          <t>Phani</t>
        </is>
      </c>
      <c r="B3160" s="37" t="inlineStr">
        <is>
          <t>Trivendrum CITI</t>
        </is>
      </c>
      <c r="C3160" s="37" t="inlineStr">
        <is>
          <t>Grow Youth</t>
        </is>
      </c>
      <c r="D3160" s="37" t="inlineStr">
        <is>
          <t>2026-07-09</t>
        </is>
      </c>
      <c r="E3160" s="37" t="inlineStr">
        <is>
          <t>Process Check</t>
        </is>
      </c>
      <c r="F3160" s="37" t="inlineStr">
        <is>
          <t>Confirm 100% of enrolled students undergone screening (for technical courses).</t>
        </is>
      </c>
      <c r="G3160" s="37" t="inlineStr">
        <is>
          <t>Not Applicable</t>
        </is>
      </c>
    </row>
    <row r="3161">
      <c r="A3161" s="37" t="inlineStr">
        <is>
          <t>Phani</t>
        </is>
      </c>
      <c r="B3161" s="37" t="inlineStr">
        <is>
          <t>Trivendrum CITI</t>
        </is>
      </c>
      <c r="C3161" s="37" t="inlineStr">
        <is>
          <t>Grow Youth</t>
        </is>
      </c>
      <c r="D3161" s="37" t="inlineStr">
        <is>
          <t>2026-07-09</t>
        </is>
      </c>
      <c r="E3161" s="37" t="inlineStr">
        <is>
          <t>Process Check</t>
        </is>
      </c>
      <c r="F3161" s="37" t="inlineStr">
        <is>
          <t>Confirm ESA is done (in GROW full ESA and in Technical courses relevant sections of Core Employability Part).</t>
        </is>
      </c>
      <c r="G3161" s="37" t="inlineStr">
        <is>
          <t>All is Well</t>
        </is>
      </c>
    </row>
    <row r="3162">
      <c r="A3162" s="37" t="inlineStr">
        <is>
          <t>Phani</t>
        </is>
      </c>
      <c r="B3162" s="37" t="inlineStr">
        <is>
          <t>Trivendrum CITI</t>
        </is>
      </c>
      <c r="C3162" s="37" t="inlineStr">
        <is>
          <t>Grow Youth</t>
        </is>
      </c>
      <c r="D3162" s="37" t="inlineStr">
        <is>
          <t>2026-07-09</t>
        </is>
      </c>
      <c r="E3162" s="37" t="inlineStr">
        <is>
          <t>Process Check</t>
        </is>
      </c>
      <c r="F3162" s="37" t="inlineStr">
        <is>
          <t>Check is AH giving capstone project in GROW Tech.</t>
        </is>
      </c>
      <c r="G3162" s="37" t="inlineStr">
        <is>
          <t>Not Applicable</t>
        </is>
      </c>
    </row>
    <row r="3163">
      <c r="A3163" s="37" t="inlineStr">
        <is>
          <t>Phani</t>
        </is>
      </c>
      <c r="B3163" s="37" t="inlineStr">
        <is>
          <t>Trivendrum CITI</t>
        </is>
      </c>
      <c r="C3163" s="37" t="inlineStr">
        <is>
          <t>Grow Youth</t>
        </is>
      </c>
      <c r="D3163" s="37" t="inlineStr">
        <is>
          <t>2026-07-09</t>
        </is>
      </c>
      <c r="E3163" s="37" t="inlineStr">
        <is>
          <t>Process Check</t>
        </is>
      </c>
      <c r="F3163" s="37" t="inlineStr">
        <is>
          <t>Check is AH planning OJT as per guidelines and proofs are collected for technical courses.</t>
        </is>
      </c>
      <c r="G3163" s="37" t="inlineStr">
        <is>
          <t>Not Applicable</t>
        </is>
      </c>
    </row>
    <row r="3164">
      <c r="A3164" s="37" t="inlineStr">
        <is>
          <t>Phani</t>
        </is>
      </c>
      <c r="B3164" s="37" t="inlineStr">
        <is>
          <t>Trivendrum CITI</t>
        </is>
      </c>
      <c r="C3164" s="37" t="inlineStr">
        <is>
          <t>Grow Youth</t>
        </is>
      </c>
      <c r="D3164" s="37" t="inlineStr">
        <is>
          <t>2026-07-09</t>
        </is>
      </c>
      <c r="E3164" s="37" t="inlineStr">
        <is>
          <t>Process Check</t>
        </is>
      </c>
      <c r="F3164" s="37" t="inlineStr">
        <is>
          <t>Check are trainers contacting aspirants to find reason for their absenteeism of more than 1 day.</t>
        </is>
      </c>
      <c r="G3164" s="37" t="inlineStr">
        <is>
          <t>All is Well</t>
        </is>
      </c>
    </row>
    <row r="3165">
      <c r="A3165" s="37" t="inlineStr">
        <is>
          <t>Phani</t>
        </is>
      </c>
      <c r="B3165" s="37" t="inlineStr">
        <is>
          <t>Trivendrum CITI</t>
        </is>
      </c>
      <c r="C3165" s="37" t="inlineStr">
        <is>
          <t>Grow Youth</t>
        </is>
      </c>
      <c r="D3165" s="37" t="inlineStr">
        <is>
          <t>2026-07-09</t>
        </is>
      </c>
      <c r="E3165" s="37" t="inlineStr">
        <is>
          <t>Process Check</t>
        </is>
      </c>
      <c r="F3165" s="37" t="inlineStr">
        <is>
          <t>Check the AH plans monthly enrolment and placement numbers by the 3rd of each month and shares them with second level managers.</t>
        </is>
      </c>
      <c r="G3165" s="37" t="inlineStr">
        <is>
          <t>All is Well</t>
        </is>
      </c>
    </row>
    <row r="3166">
      <c r="A3166" s="37" t="inlineStr">
        <is>
          <t>Phani</t>
        </is>
      </c>
      <c r="B3166" s="37" t="inlineStr">
        <is>
          <t>Trivendrum CITI</t>
        </is>
      </c>
      <c r="C3166" s="37" t="inlineStr">
        <is>
          <t>Grow Youth</t>
        </is>
      </c>
      <c r="D3166" s="37" t="inlineStr">
        <is>
          <t>2026-07-09</t>
        </is>
      </c>
      <c r="E3166" s="37" t="inlineStr">
        <is>
          <t>Process Check</t>
        </is>
      </c>
      <c r="F3166" s="37" t="inlineStr">
        <is>
          <t>Check trainers submit aspirants’ placement interest areas to the AH by the batch’s 25th day (in GROW).</t>
        </is>
      </c>
      <c r="G3166" s="37" t="inlineStr">
        <is>
          <t>All is Well</t>
        </is>
      </c>
    </row>
    <row r="3167">
      <c r="A3167" s="37" t="inlineStr">
        <is>
          <t>Phani</t>
        </is>
      </c>
      <c r="B3167" s="37" t="inlineStr">
        <is>
          <t>Trivendrum CITI</t>
        </is>
      </c>
      <c r="C3167" s="37" t="inlineStr">
        <is>
          <t>Grow Youth</t>
        </is>
      </c>
      <c r="D3167" s="37" t="inlineStr">
        <is>
          <t>2026-07-09</t>
        </is>
      </c>
      <c r="E3167" s="37" t="inlineStr">
        <is>
          <t>Process Check</t>
        </is>
      </c>
      <c r="F3167" s="37" t="inlineStr">
        <is>
          <t>Ckeck For technical programs, placement is done only in technical jobs,on which aspirants are trained and relevant emplyers are identified by 45th day.</t>
        </is>
      </c>
      <c r="G3167" s="37" t="inlineStr">
        <is>
          <t>Not Applicable</t>
        </is>
      </c>
    </row>
    <row r="3168">
      <c r="A3168" s="37" t="inlineStr">
        <is>
          <t>Phani</t>
        </is>
      </c>
      <c r="B3168" s="37" t="inlineStr">
        <is>
          <t>Trivendrum CITI</t>
        </is>
      </c>
      <c r="C3168" s="37" t="inlineStr">
        <is>
          <t>Grow Youth</t>
        </is>
      </c>
      <c r="D3168" s="37" t="inlineStr">
        <is>
          <t>2026-07-09</t>
        </is>
      </c>
      <c r="E3168" s="37" t="inlineStr">
        <is>
          <t>Process Check</t>
        </is>
      </c>
      <c r="F3168" s="37" t="inlineStr">
        <is>
          <t>Check the AH follows EP guidelines and minimum benchmark salary guidelines.</t>
        </is>
      </c>
      <c r="G3168" s="37" t="inlineStr">
        <is>
          <t>All is Well</t>
        </is>
      </c>
    </row>
    <row r="3169">
      <c r="A3169" s="37" t="inlineStr">
        <is>
          <t>Phani</t>
        </is>
      </c>
      <c r="B3169" s="37" t="inlineStr">
        <is>
          <t>Trivendrum CITI</t>
        </is>
      </c>
      <c r="C3169" s="37" t="inlineStr">
        <is>
          <t>Grow Youth</t>
        </is>
      </c>
      <c r="D3169" s="37" t="inlineStr">
        <is>
          <t>2026-07-09</t>
        </is>
      </c>
      <c r="E3169" s="37" t="inlineStr">
        <is>
          <t>Process Check</t>
        </is>
      </c>
      <c r="F3169" s="37" t="inlineStr">
        <is>
          <t>Check that AH is enrolling only the right traget group in the program -as per the defined target.</t>
        </is>
      </c>
      <c r="G3169" s="37" t="inlineStr">
        <is>
          <t>All is Well</t>
        </is>
      </c>
    </row>
    <row r="3170">
      <c r="A3170" s="37" t="inlineStr">
        <is>
          <t>Phani</t>
        </is>
      </c>
      <c r="B3170" s="37" t="inlineStr">
        <is>
          <t>Trivendrum CITI</t>
        </is>
      </c>
      <c r="C3170" s="37" t="inlineStr">
        <is>
          <t>Grow Youth</t>
        </is>
      </c>
      <c r="D3170" s="37" t="inlineStr">
        <is>
          <t>2026-07-09</t>
        </is>
      </c>
      <c r="E3170" s="37" t="inlineStr">
        <is>
          <t>Process Check</t>
        </is>
      </c>
      <c r="F3170" s="37" t="inlineStr">
        <is>
          <t>Check the AH announces the next batch-start date by the 3rd of the month on all notice boards — focus on Zero-Day start.</t>
        </is>
      </c>
      <c r="G3170" s="37" t="inlineStr">
        <is>
          <t>All is Well</t>
        </is>
      </c>
    </row>
    <row r="3171">
      <c r="A3171" s="37" t="inlineStr">
        <is>
          <t>Phani</t>
        </is>
      </c>
      <c r="B3171" s="37" t="inlineStr">
        <is>
          <t>Trivendrum CITI</t>
        </is>
      </c>
      <c r="C3171" s="37" t="inlineStr">
        <is>
          <t>Grow Youth</t>
        </is>
      </c>
      <c r="D3171" s="37" t="inlineStr">
        <is>
          <t>2026-07-09</t>
        </is>
      </c>
      <c r="E3171" s="37" t="inlineStr">
        <is>
          <t>Process Check</t>
        </is>
      </c>
      <c r="F3171" s="37" t="inlineStr">
        <is>
          <t>Check the Aspirant Mock Interview Score Tracker is updated after every mock interview in the L&amp;D Google Sheet.</t>
        </is>
      </c>
      <c r="G3171" s="37" t="inlineStr">
        <is>
          <t>All is Well</t>
        </is>
      </c>
    </row>
    <row r="3172">
      <c r="A3172" s="37" t="inlineStr">
        <is>
          <t>Phani</t>
        </is>
      </c>
      <c r="B3172" s="37" t="inlineStr">
        <is>
          <t>Trivendrum CITI</t>
        </is>
      </c>
      <c r="C3172" s="37" t="inlineStr">
        <is>
          <t>Grow Youth</t>
        </is>
      </c>
      <c r="D3172" s="37" t="inlineStr">
        <is>
          <t>2026-07-09</t>
        </is>
      </c>
      <c r="E3172" s="37" t="inlineStr">
        <is>
          <t>Process Check</t>
        </is>
      </c>
      <c r="F3172" s="37" t="inlineStr">
        <is>
          <t>Confirm NPS (Net Promoter Score) is collected at MSDF centres.</t>
        </is>
      </c>
      <c r="G3172" s="37" t="inlineStr">
        <is>
          <t>Not Applicable</t>
        </is>
      </c>
    </row>
    <row r="3173">
      <c r="A3173" s="37" t="inlineStr">
        <is>
          <t>Phani</t>
        </is>
      </c>
      <c r="B3173" s="37" t="inlineStr">
        <is>
          <t>Trivendrum CITI</t>
        </is>
      </c>
      <c r="C3173" s="37" t="inlineStr">
        <is>
          <t>Grow Youth</t>
        </is>
      </c>
      <c r="D3173" s="37" t="inlineStr">
        <is>
          <t>2026-07-09</t>
        </is>
      </c>
      <c r="E3173" s="37" t="inlineStr">
        <is>
          <t>Process Check</t>
        </is>
      </c>
      <c r="F3173" s="37" t="inlineStr">
        <is>
          <t>Confirm that QAE is collecting student feedback for every batch.</t>
        </is>
      </c>
      <c r="G3173" s="37" t="inlineStr">
        <is>
          <t>All is Well</t>
        </is>
      </c>
    </row>
    <row r="3174">
      <c r="A3174" s="37" t="inlineStr">
        <is>
          <t>Phani</t>
        </is>
      </c>
      <c r="B3174" s="37" t="inlineStr">
        <is>
          <t>Trivendrum CITI</t>
        </is>
      </c>
      <c r="C3174" s="37" t="inlineStr">
        <is>
          <t>Grow Youth</t>
        </is>
      </c>
      <c r="D3174" s="37" t="inlineStr">
        <is>
          <t>2026-07-09</t>
        </is>
      </c>
      <c r="E3174" s="37" t="inlineStr">
        <is>
          <t>Process Check</t>
        </is>
      </c>
      <c r="F3174" s="37" t="inlineStr">
        <is>
          <t>Confirm all centre teams have completed the GROW Manual Course on Skillfy — ask for achievement certificates.</t>
        </is>
      </c>
      <c r="G3174" s="37" t="inlineStr">
        <is>
          <t>Need Improvement</t>
        </is>
      </c>
    </row>
    <row r="3175">
      <c r="A3175" s="37" t="inlineStr">
        <is>
          <t>Phani</t>
        </is>
      </c>
      <c r="B3175" s="37" t="inlineStr">
        <is>
          <t>Trivendrum CITI</t>
        </is>
      </c>
      <c r="C3175" s="37" t="inlineStr">
        <is>
          <t>Grow Youth</t>
        </is>
      </c>
      <c r="D3175" s="37" t="inlineStr">
        <is>
          <t>2026-07-09</t>
        </is>
      </c>
      <c r="E3175" s="37" t="inlineStr">
        <is>
          <t>Process Check</t>
        </is>
      </c>
      <c r="F3175" s="37" t="inlineStr">
        <is>
          <t>Check AH holds a quality weekly team meeting, documents action points in the weekly meeting format, and sends you a photo on WhatsApp.</t>
        </is>
      </c>
      <c r="G3175" s="37" t="inlineStr">
        <is>
          <t>All is Well</t>
        </is>
      </c>
    </row>
    <row r="3176">
      <c r="A3176" s="37" t="inlineStr">
        <is>
          <t>Phani</t>
        </is>
      </c>
      <c r="B3176" s="37" t="inlineStr">
        <is>
          <t>Trivendrum CITI</t>
        </is>
      </c>
      <c r="C3176" s="37" t="inlineStr">
        <is>
          <t>Grow Youth</t>
        </is>
      </c>
      <c r="D3176" s="37" t="inlineStr">
        <is>
          <t>2026-07-09</t>
        </is>
      </c>
      <c r="E3176" s="37" t="inlineStr">
        <is>
          <t>Aspirant Interaction</t>
        </is>
      </c>
      <c r="F3176" s="37" t="inlineStr">
        <is>
          <t>Ask aspirants about the session plan — confirm training is happening as planned?</t>
        </is>
      </c>
      <c r="G3176" s="37" t="inlineStr">
        <is>
          <t>All is Well</t>
        </is>
      </c>
    </row>
    <row r="3177">
      <c r="A3177" s="37" t="inlineStr">
        <is>
          <t>Phani</t>
        </is>
      </c>
      <c r="B3177" s="37" t="inlineStr">
        <is>
          <t>Trivendrum CITI</t>
        </is>
      </c>
      <c r="C3177" s="37" t="inlineStr">
        <is>
          <t>Grow Youth</t>
        </is>
      </c>
      <c r="D3177" s="37" t="inlineStr">
        <is>
          <t>2026-07-09</t>
        </is>
      </c>
      <c r="E3177" s="37" t="inlineStr">
        <is>
          <t>Aspirant Interaction</t>
        </is>
      </c>
      <c r="F3177" s="37" t="inlineStr">
        <is>
          <t>Ask about the quality of Core Employability component delivery (technical centres) and who delivers it.</t>
        </is>
      </c>
      <c r="G3177" s="37" t="inlineStr">
        <is>
          <t>Not Applicable</t>
        </is>
      </c>
    </row>
    <row r="3178">
      <c r="A3178" s="37" t="inlineStr">
        <is>
          <t>Phani</t>
        </is>
      </c>
      <c r="B3178" s="37" t="inlineStr">
        <is>
          <t>Trivendrum CITI</t>
        </is>
      </c>
      <c r="C3178" s="37" t="inlineStr">
        <is>
          <t>Grow Youth</t>
        </is>
      </c>
      <c r="D3178" s="37" t="inlineStr">
        <is>
          <t>2026-07-09</t>
        </is>
      </c>
      <c r="E3178" s="37" t="inlineStr">
        <is>
          <t>Aspirant Interaction</t>
        </is>
      </c>
      <c r="F3178" s="37" t="inlineStr">
        <is>
          <t>Ask whether they are aware of the referral scheme?</t>
        </is>
      </c>
      <c r="G3178" s="37" t="inlineStr">
        <is>
          <t>All is Well</t>
        </is>
      </c>
    </row>
    <row r="3179">
      <c r="A3179" s="37" t="inlineStr">
        <is>
          <t>Phani</t>
        </is>
      </c>
      <c r="B3179" s="37" t="inlineStr">
        <is>
          <t>Trivendrum CITI</t>
        </is>
      </c>
      <c r="C3179" s="37" t="inlineStr">
        <is>
          <t>Grow Youth</t>
        </is>
      </c>
      <c r="D3179" s="37" t="inlineStr">
        <is>
          <t>2026-07-09</t>
        </is>
      </c>
      <c r="E3179" s="37" t="inlineStr">
        <is>
          <t>Aspirant Interaction</t>
        </is>
      </c>
      <c r="F3179" s="37" t="inlineStr">
        <is>
          <t>Ask whether the AH explained the importance of the offer letter and sharing it with us once received for reporting purposes?</t>
        </is>
      </c>
      <c r="G3179" s="37" t="inlineStr">
        <is>
          <t>All is Well</t>
        </is>
      </c>
    </row>
    <row r="3180">
      <c r="A3180" s="37" t="inlineStr">
        <is>
          <t>Phani</t>
        </is>
      </c>
      <c r="B3180" s="37" t="inlineStr">
        <is>
          <t>Trivendrum CITI</t>
        </is>
      </c>
      <c r="C3180" s="37" t="inlineStr">
        <is>
          <t>Grow Youth</t>
        </is>
      </c>
      <c r="D3180" s="37" t="inlineStr">
        <is>
          <t>2026-07-09</t>
        </is>
      </c>
      <c r="E3180" s="37" t="inlineStr">
        <is>
          <t>Aspirant Interaction</t>
        </is>
      </c>
      <c r="F3180" s="37" t="inlineStr">
        <is>
          <t>Ask how many are not interested in jobs — and if so, why they enrolled in the programme?</t>
        </is>
      </c>
      <c r="G3180" s="37" t="inlineStr">
        <is>
          <t>All is Well</t>
        </is>
      </c>
    </row>
    <row r="3181">
      <c r="A3181" s="37" t="inlineStr">
        <is>
          <t>Phani</t>
        </is>
      </c>
      <c r="B3181" s="37" t="inlineStr">
        <is>
          <t>Trivendrum CITI</t>
        </is>
      </c>
      <c r="C3181" s="37" t="inlineStr">
        <is>
          <t>Grow Youth</t>
        </is>
      </c>
      <c r="D3181" s="37" t="inlineStr">
        <is>
          <t>2026-07-09</t>
        </is>
      </c>
      <c r="E3181" s="37" t="inlineStr">
        <is>
          <t>Aspirant Interaction</t>
        </is>
      </c>
      <c r="F3181" s="37" t="inlineStr">
        <is>
          <t>Ask whether they were told the kind of job they would get during counselling?</t>
        </is>
      </c>
      <c r="G3181" s="37" t="inlineStr">
        <is>
          <t>All is Well</t>
        </is>
      </c>
    </row>
    <row r="3182">
      <c r="A3182" s="37" t="inlineStr">
        <is>
          <t>Phani</t>
        </is>
      </c>
      <c r="B3182" s="37" t="inlineStr">
        <is>
          <t>Trivendrum CITI</t>
        </is>
      </c>
      <c r="C3182" s="37" t="inlineStr">
        <is>
          <t>Grow Youth</t>
        </is>
      </c>
      <c r="D3182" s="37" t="inlineStr">
        <is>
          <t>2026-07-09</t>
        </is>
      </c>
      <c r="E3182" s="37" t="inlineStr">
        <is>
          <t>Aspirant Interaction</t>
        </is>
      </c>
      <c r="F3182" s="37" t="inlineStr">
        <is>
          <t>Ask whether they have been given LMS access?</t>
        </is>
      </c>
      <c r="G3182" s="37" t="inlineStr">
        <is>
          <t>All is Well</t>
        </is>
      </c>
    </row>
    <row r="3183">
      <c r="A3183" s="37" t="inlineStr">
        <is>
          <t>Phani</t>
        </is>
      </c>
      <c r="B3183" s="37" t="inlineStr">
        <is>
          <t>Trivendrum CITI</t>
        </is>
      </c>
      <c r="C3183" s="37" t="inlineStr">
        <is>
          <t>Grow Youth</t>
        </is>
      </c>
      <c r="D3183" s="37" t="inlineStr">
        <is>
          <t>2026-07-09</t>
        </is>
      </c>
      <c r="E3183" s="37" t="inlineStr">
        <is>
          <t>Aspirant Interaction</t>
        </is>
      </c>
      <c r="F3183" s="37" t="inlineStr">
        <is>
          <t>Ask whether anyone asked them for money for training or placement?</t>
        </is>
      </c>
      <c r="G3183" s="37" t="inlineStr">
        <is>
          <t>All is Well</t>
        </is>
      </c>
    </row>
    <row r="3184">
      <c r="A3184" s="37" t="inlineStr">
        <is>
          <t>Phani</t>
        </is>
      </c>
      <c r="B3184" s="37" t="inlineStr">
        <is>
          <t>Trivendrum CITI</t>
        </is>
      </c>
      <c r="C3184" s="37" t="inlineStr">
        <is>
          <t>Grow Youth</t>
        </is>
      </c>
      <c r="D3184" s="37" t="inlineStr">
        <is>
          <t>2026-07-09</t>
        </is>
      </c>
      <c r="E3184" s="37" t="inlineStr">
        <is>
          <t>Aspirant Interaction</t>
        </is>
      </c>
      <c r="F3184" s="37" t="inlineStr">
        <is>
          <t>Ask to show their mobile phones — are they enrolled on Skillfy? If not, get them enrolled and give written feedback to trainers and the AH in your presence.</t>
        </is>
      </c>
      <c r="G3184" s="37" t="inlineStr">
        <is>
          <t>All is Well</t>
        </is>
      </c>
    </row>
    <row r="3185">
      <c r="A3185" s="37" t="inlineStr">
        <is>
          <t>Phani</t>
        </is>
      </c>
      <c r="B3185" s="37" t="inlineStr">
        <is>
          <t>Trivendrum CITI</t>
        </is>
      </c>
      <c r="C3185" s="37" t="inlineStr">
        <is>
          <t>Grow Youth</t>
        </is>
      </c>
      <c r="D3185" s="37" t="inlineStr">
        <is>
          <t>2026-07-09</t>
        </is>
      </c>
      <c r="E3185" s="37" t="inlineStr">
        <is>
          <t>Aspirant Interaction</t>
        </is>
      </c>
      <c r="F3185" s="37" t="inlineStr">
        <is>
          <t>Ask about the quality of the hostel and any issues they face.</t>
        </is>
      </c>
      <c r="G3185" s="37" t="inlineStr">
        <is>
          <t>Not Applicable</t>
        </is>
      </c>
    </row>
    <row r="3186">
      <c r="A3186" s="37" t="inlineStr">
        <is>
          <t>Phani</t>
        </is>
      </c>
      <c r="B3186" s="37" t="inlineStr">
        <is>
          <t>Trivendrum CITI</t>
        </is>
      </c>
      <c r="C3186" s="37" t="inlineStr">
        <is>
          <t>Grow Youth</t>
        </is>
      </c>
      <c r="D3186" s="37" t="inlineStr">
        <is>
          <t>2026-07-09</t>
        </is>
      </c>
      <c r="E3186" s="37" t="inlineStr">
        <is>
          <t>Aspirant Interaction</t>
        </is>
      </c>
      <c r="F3186" s="37" t="inlineStr">
        <is>
          <t>Ask a few relevant screening questions to support the 10th-day report and remove non-serious candidates, explaining to them the reasons.</t>
        </is>
      </c>
      <c r="G3186" s="37" t="inlineStr">
        <is>
          <t>All is Well</t>
        </is>
      </c>
    </row>
    <row r="3187">
      <c r="A3187" s="37" t="inlineStr">
        <is>
          <t>Phani</t>
        </is>
      </c>
      <c r="B3187" s="37" t="inlineStr">
        <is>
          <t>Kochi CITI</t>
        </is>
      </c>
      <c r="C3187" s="37" t="inlineStr">
        <is>
          <t>Grow Youth</t>
        </is>
      </c>
      <c r="D3187" s="37" t="inlineStr">
        <is>
          <t>2026-07-10</t>
        </is>
      </c>
      <c r="E3187" s="37" t="inlineStr">
        <is>
          <t>Data Check</t>
        </is>
      </c>
      <c r="F3187" s="37" t="inlineStr">
        <is>
          <t>Reach the centre on time (unannounced) — confirm the centre opened on time.</t>
        </is>
      </c>
      <c r="G3187" s="37" t="inlineStr">
        <is>
          <t>All is Well</t>
        </is>
      </c>
    </row>
    <row r="3188">
      <c r="A3188" s="37" t="inlineStr">
        <is>
          <t>Phani</t>
        </is>
      </c>
      <c r="B3188" s="37" t="inlineStr">
        <is>
          <t>Kochi CITI</t>
        </is>
      </c>
      <c r="C3188" s="37" t="inlineStr">
        <is>
          <t>Grow Youth</t>
        </is>
      </c>
      <c r="D3188" s="37" t="inlineStr">
        <is>
          <t>2026-07-10</t>
        </is>
      </c>
      <c r="E3188" s="37" t="inlineStr">
        <is>
          <t>Data Check</t>
        </is>
      </c>
      <c r="F3188" s="37" t="inlineStr">
        <is>
          <t>Check the staff attendance register, the Google Sheet, and geo-tagged photos for aspirants.</t>
        </is>
      </c>
      <c r="G3188" s="37" t="inlineStr">
        <is>
          <t>All is Well</t>
        </is>
      </c>
    </row>
    <row r="3189">
      <c r="A3189" s="37" t="inlineStr">
        <is>
          <t>Phani</t>
        </is>
      </c>
      <c r="B3189" s="37" t="inlineStr">
        <is>
          <t>Kochi CITI</t>
        </is>
      </c>
      <c r="C3189" s="37" t="inlineStr">
        <is>
          <t>Grow Youth</t>
        </is>
      </c>
      <c r="D3189" s="37" t="inlineStr">
        <is>
          <t>2026-07-10</t>
        </is>
      </c>
      <c r="E3189" s="37" t="inlineStr">
        <is>
          <t>Data Check</t>
        </is>
      </c>
      <c r="F3189" s="37" t="inlineStr">
        <is>
          <t>Check Counselling and Screening Forms of recently started batches.</t>
        </is>
      </c>
      <c r="G3189" s="37" t="inlineStr">
        <is>
          <t>All is Well</t>
        </is>
      </c>
    </row>
    <row r="3190">
      <c r="A3190" s="37" t="inlineStr">
        <is>
          <t>Phani</t>
        </is>
      </c>
      <c r="B3190" s="37" t="inlineStr">
        <is>
          <t>Kochi CITI</t>
        </is>
      </c>
      <c r="C3190" s="37" t="inlineStr">
        <is>
          <t>Grow Youth</t>
        </is>
      </c>
      <c r="D3190" s="37" t="inlineStr">
        <is>
          <t>2026-07-10</t>
        </is>
      </c>
      <c r="E3190" s="37" t="inlineStr">
        <is>
          <t>Data Check</t>
        </is>
      </c>
      <c r="F3190" s="37" t="inlineStr">
        <is>
          <t>Check Aspirant Registration Forms and related documents.</t>
        </is>
      </c>
      <c r="G3190" s="37" t="inlineStr">
        <is>
          <t>All is Well</t>
        </is>
      </c>
    </row>
    <row r="3191">
      <c r="A3191" s="37" t="inlineStr">
        <is>
          <t>Phani</t>
        </is>
      </c>
      <c r="B3191" s="37" t="inlineStr">
        <is>
          <t>Kochi CITI</t>
        </is>
      </c>
      <c r="C3191" s="37" t="inlineStr">
        <is>
          <t>Grow Youth</t>
        </is>
      </c>
      <c r="D3191" s="37" t="inlineStr">
        <is>
          <t>2026-07-10</t>
        </is>
      </c>
      <c r="E3191" s="37" t="inlineStr">
        <is>
          <t>Data Check</t>
        </is>
      </c>
      <c r="F3191" s="37" t="inlineStr">
        <is>
          <t>On the GROW portal, confirm all student profile details and batch updates are currect.</t>
        </is>
      </c>
      <c r="G3191" s="37" t="inlineStr">
        <is>
          <t>All is Well</t>
        </is>
      </c>
    </row>
    <row r="3192">
      <c r="A3192" s="37" t="inlineStr">
        <is>
          <t>Phani</t>
        </is>
      </c>
      <c r="B3192" s="37" t="inlineStr">
        <is>
          <t>Kochi CITI</t>
        </is>
      </c>
      <c r="C3192" s="37" t="inlineStr">
        <is>
          <t>Grow Youth</t>
        </is>
      </c>
      <c r="D3192" s="37" t="inlineStr">
        <is>
          <t>2026-07-10</t>
        </is>
      </c>
      <c r="E3192" s="37" t="inlineStr">
        <is>
          <t>Data Check</t>
        </is>
      </c>
      <c r="F3192" s="37" t="inlineStr">
        <is>
          <t>Verify placement data — randomly call 3–4 alumni placed in the last 3 months to confirm veracity (random selection is essential).</t>
        </is>
      </c>
      <c r="G3192" s="37" t="inlineStr">
        <is>
          <t>Not Applicable</t>
        </is>
      </c>
    </row>
    <row r="3193">
      <c r="A3193" s="37" t="inlineStr">
        <is>
          <t>Phani</t>
        </is>
      </c>
      <c r="B3193" s="37" t="inlineStr">
        <is>
          <t>Kochi CITI</t>
        </is>
      </c>
      <c r="C3193" s="37" t="inlineStr">
        <is>
          <t>Grow Youth</t>
        </is>
      </c>
      <c r="D3193" s="37" t="inlineStr">
        <is>
          <t>2026-07-10</t>
        </is>
      </c>
      <c r="E3193" s="37" t="inlineStr">
        <is>
          <t>Data Check</t>
        </is>
      </c>
      <c r="F3193" s="37" t="inlineStr">
        <is>
          <t>Verify retention — check the Alumni Hand-holding Format is being updated as designed.</t>
        </is>
      </c>
      <c r="G3193" s="37" t="inlineStr">
        <is>
          <t>Not Applicable</t>
        </is>
      </c>
    </row>
    <row r="3194">
      <c r="A3194" s="37" t="inlineStr">
        <is>
          <t>Phani</t>
        </is>
      </c>
      <c r="B3194" s="37" t="inlineStr">
        <is>
          <t>Kochi CITI</t>
        </is>
      </c>
      <c r="C3194" s="37" t="inlineStr">
        <is>
          <t>Grow Youth</t>
        </is>
      </c>
      <c r="D3194" s="37" t="inlineStr">
        <is>
          <t>2026-07-10</t>
        </is>
      </c>
      <c r="E3194" s="37" t="inlineStr">
        <is>
          <t>Data Check</t>
        </is>
      </c>
      <c r="F3194" s="37" t="inlineStr">
        <is>
          <t>Check aspirant Hostel Forms are properly filled or not.</t>
        </is>
      </c>
      <c r="G3194" s="37" t="inlineStr">
        <is>
          <t>Not Applicable</t>
        </is>
      </c>
    </row>
    <row r="3195">
      <c r="A3195" s="37" t="inlineStr">
        <is>
          <t>Phani</t>
        </is>
      </c>
      <c r="B3195" s="37" t="inlineStr">
        <is>
          <t>Kochi CITI</t>
        </is>
      </c>
      <c r="C3195" s="37" t="inlineStr">
        <is>
          <t>Grow Youth</t>
        </is>
      </c>
      <c r="D3195" s="37" t="inlineStr">
        <is>
          <t>2026-07-10</t>
        </is>
      </c>
      <c r="E3195" s="37" t="inlineStr">
        <is>
          <t>Infra Check</t>
        </is>
      </c>
      <c r="F3195" s="37" t="inlineStr">
        <is>
          <t>Check all CCTV cameras; if any are not working, ask the AH to troubleshoot or call the vendor.</t>
        </is>
      </c>
      <c r="G3195" s="37" t="inlineStr">
        <is>
          <t>All is Well</t>
        </is>
      </c>
    </row>
    <row r="3196">
      <c r="A3196" s="37" t="inlineStr">
        <is>
          <t>Phani</t>
        </is>
      </c>
      <c r="B3196" s="37" t="inlineStr">
        <is>
          <t>Kochi CITI</t>
        </is>
      </c>
      <c r="C3196" s="37" t="inlineStr">
        <is>
          <t>Grow Youth</t>
        </is>
      </c>
      <c r="D3196" s="37" t="inlineStr">
        <is>
          <t>2026-07-10</t>
        </is>
      </c>
      <c r="E3196" s="37" t="inlineStr">
        <is>
          <t>Infra Check</t>
        </is>
      </c>
      <c r="F3196" s="37" t="inlineStr">
        <is>
          <t>Check for any scrap material and get it cleared, with support of Admin</t>
        </is>
      </c>
      <c r="G3196" s="37" t="inlineStr">
        <is>
          <t>Need Improvement</t>
        </is>
      </c>
    </row>
    <row r="3197">
      <c r="A3197" s="37" t="inlineStr">
        <is>
          <t>Phani</t>
        </is>
      </c>
      <c r="B3197" s="37" t="inlineStr">
        <is>
          <t>Kochi CITI</t>
        </is>
      </c>
      <c r="C3197" s="37" t="inlineStr">
        <is>
          <t>Grow Youth</t>
        </is>
      </c>
      <c r="D3197" s="37" t="inlineStr">
        <is>
          <t>2026-07-10</t>
        </is>
      </c>
      <c r="E3197" s="37" t="inlineStr">
        <is>
          <t>Infra Check</t>
        </is>
      </c>
      <c r="F3197" s="37" t="inlineStr">
        <is>
          <t>Check for any pending infra repairs.</t>
        </is>
      </c>
      <c r="G3197" s="37" t="inlineStr">
        <is>
          <t>Need Improvement</t>
        </is>
      </c>
    </row>
    <row r="3198">
      <c r="A3198" s="37" t="inlineStr">
        <is>
          <t>Phani</t>
        </is>
      </c>
      <c r="B3198" s="37" t="inlineStr">
        <is>
          <t>Kochi CITI</t>
        </is>
      </c>
      <c r="C3198" s="37" t="inlineStr">
        <is>
          <t>Grow Youth</t>
        </is>
      </c>
      <c r="D3198" s="37" t="inlineStr">
        <is>
          <t>2026-07-10</t>
        </is>
      </c>
      <c r="E3198" s="37" t="inlineStr">
        <is>
          <t>Infra Check</t>
        </is>
      </c>
      <c r="F3198" s="37" t="inlineStr">
        <is>
          <t>Check whether any fire extinguishers have expired (check the needle and expiry date both).</t>
        </is>
      </c>
      <c r="G3198" s="37" t="inlineStr">
        <is>
          <t>All is Well</t>
        </is>
      </c>
    </row>
    <row r="3199">
      <c r="A3199" s="37" t="inlineStr">
        <is>
          <t>Phani</t>
        </is>
      </c>
      <c r="B3199" s="37" t="inlineStr">
        <is>
          <t>Kochi CITI</t>
        </is>
      </c>
      <c r="C3199" s="37" t="inlineStr">
        <is>
          <t>Grow Youth</t>
        </is>
      </c>
      <c r="D3199" s="37" t="inlineStr">
        <is>
          <t>2026-07-10</t>
        </is>
      </c>
      <c r="E3199" s="37" t="inlineStr">
        <is>
          <t>Infra Check</t>
        </is>
      </c>
      <c r="F3199" s="37" t="inlineStr">
        <is>
          <t>Check basic cleanliness of the washrooms and the centre.</t>
        </is>
      </c>
      <c r="G3199" s="37" t="inlineStr">
        <is>
          <t>All is Well</t>
        </is>
      </c>
    </row>
    <row r="3200">
      <c r="A3200" s="37" t="inlineStr">
        <is>
          <t>Phani</t>
        </is>
      </c>
      <c r="B3200" s="37" t="inlineStr">
        <is>
          <t>Kochi CITI</t>
        </is>
      </c>
      <c r="C3200" s="37" t="inlineStr">
        <is>
          <t>Grow Youth</t>
        </is>
      </c>
      <c r="D3200" s="37" t="inlineStr">
        <is>
          <t>2026-07-10</t>
        </is>
      </c>
      <c r="E3200" s="37" t="inlineStr">
        <is>
          <t>Infra Check</t>
        </is>
      </c>
      <c r="F3200" s="37" t="inlineStr">
        <is>
          <t>Confirm the correct program and partner logos are displayed.</t>
        </is>
      </c>
      <c r="G3200" s="37" t="inlineStr">
        <is>
          <t>All is Well</t>
        </is>
      </c>
    </row>
    <row r="3201">
      <c r="A3201" s="37" t="inlineStr">
        <is>
          <t>Phani</t>
        </is>
      </c>
      <c r="B3201" s="37" t="inlineStr">
        <is>
          <t>Kochi CITI</t>
        </is>
      </c>
      <c r="C3201" s="37" t="inlineStr">
        <is>
          <t>Grow Youth</t>
        </is>
      </c>
      <c r="D3201" s="37" t="inlineStr">
        <is>
          <t>2026-07-10</t>
        </is>
      </c>
      <c r="E3201" s="37" t="inlineStr">
        <is>
          <t>Infra Check</t>
        </is>
      </c>
      <c r="F3201" s="37" t="inlineStr">
        <is>
          <t>Check the status of digital infra — PCs, smartboards, tablets, laptops, etc.</t>
        </is>
      </c>
      <c r="G3201" s="37" t="inlineStr">
        <is>
          <t>Need Improvement</t>
        </is>
      </c>
    </row>
    <row r="3202">
      <c r="A3202" s="37" t="inlineStr">
        <is>
          <t>Phani</t>
        </is>
      </c>
      <c r="B3202" s="37" t="inlineStr">
        <is>
          <t>Kochi CITI</t>
        </is>
      </c>
      <c r="C3202" s="37" t="inlineStr">
        <is>
          <t>Grow Youth</t>
        </is>
      </c>
      <c r="D3202" s="37" t="inlineStr">
        <is>
          <t>2026-07-10</t>
        </is>
      </c>
      <c r="E3202" s="37" t="inlineStr">
        <is>
          <t>Infra Check</t>
        </is>
      </c>
      <c r="F3202" s="37" t="inlineStr">
        <is>
          <t>Make a quick hostel visit; have lunch there if possible to test the food quality.</t>
        </is>
      </c>
      <c r="G3202" s="37" t="inlineStr">
        <is>
          <t>Not Applicable</t>
        </is>
      </c>
    </row>
    <row r="3203">
      <c r="A3203" s="37" t="inlineStr">
        <is>
          <t>Phani</t>
        </is>
      </c>
      <c r="B3203" s="37" t="inlineStr">
        <is>
          <t>Kochi CITI</t>
        </is>
      </c>
      <c r="C3203" s="37" t="inlineStr">
        <is>
          <t>Grow Youth</t>
        </is>
      </c>
      <c r="D3203" s="37" t="inlineStr">
        <is>
          <t>2026-07-10</t>
        </is>
      </c>
      <c r="E3203" s="37" t="inlineStr">
        <is>
          <t>Process Check</t>
        </is>
      </c>
      <c r="F3203" s="37" t="inlineStr">
        <is>
          <t>Refer to the activity planner — check if any activities are delayed.</t>
        </is>
      </c>
      <c r="G3203" s="37" t="inlineStr">
        <is>
          <t>Not Applicable</t>
        </is>
      </c>
    </row>
    <row r="3204">
      <c r="A3204" s="37" t="inlineStr">
        <is>
          <t>Phani</t>
        </is>
      </c>
      <c r="B3204" s="37" t="inlineStr">
        <is>
          <t>Kochi CITI</t>
        </is>
      </c>
      <c r="C3204" s="37" t="inlineStr">
        <is>
          <t>Grow Youth</t>
        </is>
      </c>
      <c r="D3204" s="37" t="inlineStr">
        <is>
          <t>2026-07-10</t>
        </is>
      </c>
      <c r="E3204" s="37" t="inlineStr">
        <is>
          <t>Process Check</t>
        </is>
      </c>
      <c r="F3204" s="37" t="inlineStr">
        <is>
          <t>Check planning for the next batch-start announcement.</t>
        </is>
      </c>
      <c r="G3204" s="37" t="inlineStr">
        <is>
          <t>All is Well</t>
        </is>
      </c>
    </row>
    <row r="3205">
      <c r="A3205" s="37" t="inlineStr">
        <is>
          <t>Phani</t>
        </is>
      </c>
      <c r="B3205" s="37" t="inlineStr">
        <is>
          <t>Kochi CITI</t>
        </is>
      </c>
      <c r="C3205" s="37" t="inlineStr">
        <is>
          <t>Grow Youth</t>
        </is>
      </c>
      <c r="D3205" s="37" t="inlineStr">
        <is>
          <t>2026-07-10</t>
        </is>
      </c>
      <c r="E3205" s="37" t="inlineStr">
        <is>
          <t>Process Check</t>
        </is>
      </c>
      <c r="F3205" s="37" t="inlineStr">
        <is>
          <t>Check if any hiring is delayed and plan a resolution.</t>
        </is>
      </c>
      <c r="G3205" s="37" t="inlineStr">
        <is>
          <t>All is Well</t>
        </is>
      </c>
    </row>
    <row r="3206">
      <c r="A3206" s="37" t="inlineStr">
        <is>
          <t>Phani</t>
        </is>
      </c>
      <c r="B3206" s="37" t="inlineStr">
        <is>
          <t>Kochi CITI</t>
        </is>
      </c>
      <c r="C3206" s="37" t="inlineStr">
        <is>
          <t>Grow Youth</t>
        </is>
      </c>
      <c r="D3206" s="37" t="inlineStr">
        <is>
          <t>2026-07-10</t>
        </is>
      </c>
      <c r="E3206" s="37" t="inlineStr">
        <is>
          <t>Process Check</t>
        </is>
      </c>
      <c r="F3206" s="37" t="inlineStr">
        <is>
          <t>Check the CA’s diary — is CA guided daily by the AH during planning days?</t>
        </is>
      </c>
      <c r="G3206" s="37" t="inlineStr">
        <is>
          <t>Need Improvement</t>
        </is>
      </c>
    </row>
    <row r="3207">
      <c r="A3207" s="37" t="inlineStr">
        <is>
          <t>Phani</t>
        </is>
      </c>
      <c r="B3207" s="37" t="inlineStr">
        <is>
          <t>Kochi CITI</t>
        </is>
      </c>
      <c r="C3207" s="37" t="inlineStr">
        <is>
          <t>Grow Youth</t>
        </is>
      </c>
      <c r="D3207" s="37" t="inlineStr">
        <is>
          <t>2026-07-10</t>
        </is>
      </c>
      <c r="E3207" s="37" t="inlineStr">
        <is>
          <t>Process Check</t>
        </is>
      </c>
      <c r="F3207" s="37" t="inlineStr">
        <is>
          <t>Check the AH is regularly meeting employers (in person and online) and updating the centre’s Top 20 Employer format.</t>
        </is>
      </c>
      <c r="G3207" s="37" t="inlineStr">
        <is>
          <t>Need Improvement</t>
        </is>
      </c>
    </row>
    <row r="3208">
      <c r="A3208" s="37" t="inlineStr">
        <is>
          <t>Phani</t>
        </is>
      </c>
      <c r="B3208" s="37" t="inlineStr">
        <is>
          <t>Kochi CITI</t>
        </is>
      </c>
      <c r="C3208" s="37" t="inlineStr">
        <is>
          <t>Grow Youth</t>
        </is>
      </c>
      <c r="D3208" s="37" t="inlineStr">
        <is>
          <t>2026-07-10</t>
        </is>
      </c>
      <c r="E3208" s="37" t="inlineStr">
        <is>
          <t>Process Check</t>
        </is>
      </c>
      <c r="F3208" s="37" t="inlineStr">
        <is>
          <t>Confirm all new employers are registered on portal as per new process.</t>
        </is>
      </c>
      <c r="G3208" s="37" t="inlineStr">
        <is>
          <t>All is Well</t>
        </is>
      </c>
    </row>
    <row r="3209">
      <c r="A3209" s="37" t="inlineStr">
        <is>
          <t>Phani</t>
        </is>
      </c>
      <c r="B3209" s="37" t="inlineStr">
        <is>
          <t>Kochi CITI</t>
        </is>
      </c>
      <c r="C3209" s="37" t="inlineStr">
        <is>
          <t>Grow Youth</t>
        </is>
      </c>
      <c r="D3209" s="37" t="inlineStr">
        <is>
          <t>2026-07-10</t>
        </is>
      </c>
      <c r="E3209" s="37" t="inlineStr">
        <is>
          <t>Process Check</t>
        </is>
      </c>
      <c r="F3209" s="37" t="inlineStr">
        <is>
          <t>Confirm 100% of enrolled students undergone screening (for technical courses).</t>
        </is>
      </c>
      <c r="G3209" s="37" t="inlineStr">
        <is>
          <t>Not Applicable</t>
        </is>
      </c>
    </row>
    <row r="3210">
      <c r="A3210" s="37" t="inlineStr">
        <is>
          <t>Phani</t>
        </is>
      </c>
      <c r="B3210" s="37" t="inlineStr">
        <is>
          <t>Kochi CITI</t>
        </is>
      </c>
      <c r="C3210" s="37" t="inlineStr">
        <is>
          <t>Grow Youth</t>
        </is>
      </c>
      <c r="D3210" s="37" t="inlineStr">
        <is>
          <t>2026-07-10</t>
        </is>
      </c>
      <c r="E3210" s="37" t="inlineStr">
        <is>
          <t>Process Check</t>
        </is>
      </c>
      <c r="F3210" s="37" t="inlineStr">
        <is>
          <t>Confirm ESA is done (in GROW full ESA and in Technical courses relevant sections of Core Employability Part).</t>
        </is>
      </c>
      <c r="G3210" s="37" t="inlineStr">
        <is>
          <t>All is Well</t>
        </is>
      </c>
    </row>
    <row r="3211">
      <c r="A3211" s="37" t="inlineStr">
        <is>
          <t>Phani</t>
        </is>
      </c>
      <c r="B3211" s="37" t="inlineStr">
        <is>
          <t>Kochi CITI</t>
        </is>
      </c>
      <c r="C3211" s="37" t="inlineStr">
        <is>
          <t>Grow Youth</t>
        </is>
      </c>
      <c r="D3211" s="37" t="inlineStr">
        <is>
          <t>2026-07-10</t>
        </is>
      </c>
      <c r="E3211" s="37" t="inlineStr">
        <is>
          <t>Process Check</t>
        </is>
      </c>
      <c r="F3211" s="37" t="inlineStr">
        <is>
          <t>Check is AH giving capstone project in GROW Tech.</t>
        </is>
      </c>
      <c r="G3211" s="37" t="inlineStr">
        <is>
          <t>Not Applicable</t>
        </is>
      </c>
    </row>
    <row r="3212">
      <c r="A3212" s="37" t="inlineStr">
        <is>
          <t>Phani</t>
        </is>
      </c>
      <c r="B3212" s="37" t="inlineStr">
        <is>
          <t>Kochi CITI</t>
        </is>
      </c>
      <c r="C3212" s="37" t="inlineStr">
        <is>
          <t>Grow Youth</t>
        </is>
      </c>
      <c r="D3212" s="37" t="inlineStr">
        <is>
          <t>2026-07-10</t>
        </is>
      </c>
      <c r="E3212" s="37" t="inlineStr">
        <is>
          <t>Process Check</t>
        </is>
      </c>
      <c r="F3212" s="37" t="inlineStr">
        <is>
          <t>Check is AH planning OJT as per guidelines and proofs are collected for technical courses.</t>
        </is>
      </c>
      <c r="G3212" s="37" t="inlineStr">
        <is>
          <t>Not Applicable</t>
        </is>
      </c>
    </row>
    <row r="3213">
      <c r="A3213" s="37" t="inlineStr">
        <is>
          <t>Phani</t>
        </is>
      </c>
      <c r="B3213" s="37" t="inlineStr">
        <is>
          <t>Kochi CITI</t>
        </is>
      </c>
      <c r="C3213" s="37" t="inlineStr">
        <is>
          <t>Grow Youth</t>
        </is>
      </c>
      <c r="D3213" s="37" t="inlineStr">
        <is>
          <t>2026-07-10</t>
        </is>
      </c>
      <c r="E3213" s="37" t="inlineStr">
        <is>
          <t>Process Check</t>
        </is>
      </c>
      <c r="F3213" s="37" t="inlineStr">
        <is>
          <t>Check are trainers contacting aspirants to find reason for their absenteeism of more than 1 day.</t>
        </is>
      </c>
      <c r="G3213" s="37" t="inlineStr">
        <is>
          <t>All is Well</t>
        </is>
      </c>
    </row>
    <row r="3214">
      <c r="A3214" s="37" t="inlineStr">
        <is>
          <t>Phani</t>
        </is>
      </c>
      <c r="B3214" s="37" t="inlineStr">
        <is>
          <t>Kochi CITI</t>
        </is>
      </c>
      <c r="C3214" s="37" t="inlineStr">
        <is>
          <t>Grow Youth</t>
        </is>
      </c>
      <c r="D3214" s="37" t="inlineStr">
        <is>
          <t>2026-07-10</t>
        </is>
      </c>
      <c r="E3214" s="37" t="inlineStr">
        <is>
          <t>Process Check</t>
        </is>
      </c>
      <c r="F3214" s="37" t="inlineStr">
        <is>
          <t>Check the AH plans monthly enrolment and placement numbers by the 3rd of each month and shares them with second level managers.</t>
        </is>
      </c>
      <c r="G3214" s="37" t="inlineStr">
        <is>
          <t>All is Well</t>
        </is>
      </c>
    </row>
    <row r="3215">
      <c r="A3215" s="37" t="inlineStr">
        <is>
          <t>Phani</t>
        </is>
      </c>
      <c r="B3215" s="37" t="inlineStr">
        <is>
          <t>Kochi CITI</t>
        </is>
      </c>
      <c r="C3215" s="37" t="inlineStr">
        <is>
          <t>Grow Youth</t>
        </is>
      </c>
      <c r="D3215" s="37" t="inlineStr">
        <is>
          <t>2026-07-10</t>
        </is>
      </c>
      <c r="E3215" s="37" t="inlineStr">
        <is>
          <t>Process Check</t>
        </is>
      </c>
      <c r="F3215" s="37" t="inlineStr">
        <is>
          <t>Check trainers submit aspirants’ placement interest areas to the AH by the batch’s 25th day (in GROW).</t>
        </is>
      </c>
      <c r="G3215" s="37" t="inlineStr">
        <is>
          <t>All is Well</t>
        </is>
      </c>
    </row>
    <row r="3216">
      <c r="A3216" s="37" t="inlineStr">
        <is>
          <t>Phani</t>
        </is>
      </c>
      <c r="B3216" s="37" t="inlineStr">
        <is>
          <t>Kochi CITI</t>
        </is>
      </c>
      <c r="C3216" s="37" t="inlineStr">
        <is>
          <t>Grow Youth</t>
        </is>
      </c>
      <c r="D3216" s="37" t="inlineStr">
        <is>
          <t>2026-07-10</t>
        </is>
      </c>
      <c r="E3216" s="37" t="inlineStr">
        <is>
          <t>Process Check</t>
        </is>
      </c>
      <c r="F3216" s="37" t="inlineStr">
        <is>
          <t>Ckeck For technical programs, placement is done only in technical jobs,on which aspirants are trained and relevant emplyers are identified by 45th day.</t>
        </is>
      </c>
      <c r="G3216" s="37" t="inlineStr">
        <is>
          <t>Not Applicable</t>
        </is>
      </c>
    </row>
    <row r="3217">
      <c r="A3217" s="37" t="inlineStr">
        <is>
          <t>Phani</t>
        </is>
      </c>
      <c r="B3217" s="37" t="inlineStr">
        <is>
          <t>Kochi CITI</t>
        </is>
      </c>
      <c r="C3217" s="37" t="inlineStr">
        <is>
          <t>Grow Youth</t>
        </is>
      </c>
      <c r="D3217" s="37" t="inlineStr">
        <is>
          <t>2026-07-10</t>
        </is>
      </c>
      <c r="E3217" s="37" t="inlineStr">
        <is>
          <t>Process Check</t>
        </is>
      </c>
      <c r="F3217" s="37" t="inlineStr">
        <is>
          <t>Check the AH follows EP guidelines and minimum benchmark salary guidelines.</t>
        </is>
      </c>
      <c r="G3217" s="37" t="inlineStr">
        <is>
          <t>All is Well</t>
        </is>
      </c>
    </row>
    <row r="3218">
      <c r="A3218" s="37" t="inlineStr">
        <is>
          <t>Phani</t>
        </is>
      </c>
      <c r="B3218" s="37" t="inlineStr">
        <is>
          <t>Kochi CITI</t>
        </is>
      </c>
      <c r="C3218" s="37" t="inlineStr">
        <is>
          <t>Grow Youth</t>
        </is>
      </c>
      <c r="D3218" s="37" t="inlineStr">
        <is>
          <t>2026-07-10</t>
        </is>
      </c>
      <c r="E3218" s="37" t="inlineStr">
        <is>
          <t>Process Check</t>
        </is>
      </c>
      <c r="F3218" s="37" t="inlineStr">
        <is>
          <t>Check that AH is enrolling only the right traget group in the program -as per the defined target.</t>
        </is>
      </c>
      <c r="G3218" s="37" t="inlineStr">
        <is>
          <t>All is Well</t>
        </is>
      </c>
    </row>
    <row r="3219">
      <c r="A3219" s="37" t="inlineStr">
        <is>
          <t>Phani</t>
        </is>
      </c>
      <c r="B3219" s="37" t="inlineStr">
        <is>
          <t>Kochi CITI</t>
        </is>
      </c>
      <c r="C3219" s="37" t="inlineStr">
        <is>
          <t>Grow Youth</t>
        </is>
      </c>
      <c r="D3219" s="37" t="inlineStr">
        <is>
          <t>2026-07-10</t>
        </is>
      </c>
      <c r="E3219" s="37" t="inlineStr">
        <is>
          <t>Process Check</t>
        </is>
      </c>
      <c r="F3219" s="37" t="inlineStr">
        <is>
          <t>Check the AH announces the next batch-start date by the 3rd of the month on all notice boards — focus on Zero-Day start.</t>
        </is>
      </c>
      <c r="G3219" s="37" t="inlineStr">
        <is>
          <t>All is Well</t>
        </is>
      </c>
    </row>
    <row r="3220">
      <c r="A3220" s="37" t="inlineStr">
        <is>
          <t>Phani</t>
        </is>
      </c>
      <c r="B3220" s="37" t="inlineStr">
        <is>
          <t>Kochi CITI</t>
        </is>
      </c>
      <c r="C3220" s="37" t="inlineStr">
        <is>
          <t>Grow Youth</t>
        </is>
      </c>
      <c r="D3220" s="37" t="inlineStr">
        <is>
          <t>2026-07-10</t>
        </is>
      </c>
      <c r="E3220" s="37" t="inlineStr">
        <is>
          <t>Process Check</t>
        </is>
      </c>
      <c r="F3220" s="37" t="inlineStr">
        <is>
          <t>Check the Aspirant Mock Interview Score Tracker is updated after every mock interview in the L&amp;D Google Sheet.</t>
        </is>
      </c>
      <c r="G3220" s="37" t="inlineStr">
        <is>
          <t>Not Applicable</t>
        </is>
      </c>
    </row>
    <row r="3221">
      <c r="A3221" s="37" t="inlineStr">
        <is>
          <t>Phani</t>
        </is>
      </c>
      <c r="B3221" s="37" t="inlineStr">
        <is>
          <t>Kochi CITI</t>
        </is>
      </c>
      <c r="C3221" s="37" t="inlineStr">
        <is>
          <t>Grow Youth</t>
        </is>
      </c>
      <c r="D3221" s="37" t="inlineStr">
        <is>
          <t>2026-07-10</t>
        </is>
      </c>
      <c r="E3221" s="37" t="inlineStr">
        <is>
          <t>Process Check</t>
        </is>
      </c>
      <c r="F3221" s="37" t="inlineStr">
        <is>
          <t>Confirm NPS (Net Promoter Score) is collected at MSDF centres.</t>
        </is>
      </c>
      <c r="G3221" s="37" t="inlineStr">
        <is>
          <t>Not Applicable</t>
        </is>
      </c>
    </row>
    <row r="3222">
      <c r="A3222" s="37" t="inlineStr">
        <is>
          <t>Phani</t>
        </is>
      </c>
      <c r="B3222" s="37" t="inlineStr">
        <is>
          <t>Kochi CITI</t>
        </is>
      </c>
      <c r="C3222" s="37" t="inlineStr">
        <is>
          <t>Grow Youth</t>
        </is>
      </c>
      <c r="D3222" s="37" t="inlineStr">
        <is>
          <t>2026-07-10</t>
        </is>
      </c>
      <c r="E3222" s="37" t="inlineStr">
        <is>
          <t>Process Check</t>
        </is>
      </c>
      <c r="F3222" s="37" t="inlineStr">
        <is>
          <t>Confirm that QAE is collecting student feedback for every batch.</t>
        </is>
      </c>
      <c r="G3222" s="37" t="inlineStr">
        <is>
          <t>All is Well</t>
        </is>
      </c>
    </row>
    <row r="3223">
      <c r="A3223" s="37" t="inlineStr">
        <is>
          <t>Phani</t>
        </is>
      </c>
      <c r="B3223" s="37" t="inlineStr">
        <is>
          <t>Kochi CITI</t>
        </is>
      </c>
      <c r="C3223" s="37" t="inlineStr">
        <is>
          <t>Grow Youth</t>
        </is>
      </c>
      <c r="D3223" s="37" t="inlineStr">
        <is>
          <t>2026-07-10</t>
        </is>
      </c>
      <c r="E3223" s="37" t="inlineStr">
        <is>
          <t>Process Check</t>
        </is>
      </c>
      <c r="F3223" s="37" t="inlineStr">
        <is>
          <t>Confirm all centre teams have completed the GROW Manual Course on Skillfy — ask for achievement certificates.</t>
        </is>
      </c>
      <c r="G3223" s="37" t="inlineStr">
        <is>
          <t>All is Well</t>
        </is>
      </c>
    </row>
    <row r="3224">
      <c r="A3224" s="37" t="inlineStr">
        <is>
          <t>Phani</t>
        </is>
      </c>
      <c r="B3224" s="37" t="inlineStr">
        <is>
          <t>Kochi CITI</t>
        </is>
      </c>
      <c r="C3224" s="37" t="inlineStr">
        <is>
          <t>Grow Youth</t>
        </is>
      </c>
      <c r="D3224" s="37" t="inlineStr">
        <is>
          <t>2026-07-10</t>
        </is>
      </c>
      <c r="E3224" s="37" t="inlineStr">
        <is>
          <t>Process Check</t>
        </is>
      </c>
      <c r="F3224" s="37" t="inlineStr">
        <is>
          <t>Check AH holds a quality weekly team meeting, documents action points in the weekly meeting format, and sends you a photo on WhatsApp.</t>
        </is>
      </c>
      <c r="G3224" s="37" t="inlineStr">
        <is>
          <t>Need Improvement</t>
        </is>
      </c>
    </row>
    <row r="3225">
      <c r="A3225" s="37" t="inlineStr">
        <is>
          <t>Phani</t>
        </is>
      </c>
      <c r="B3225" s="37" t="inlineStr">
        <is>
          <t>Kochi CITI</t>
        </is>
      </c>
      <c r="C3225" s="37" t="inlineStr">
        <is>
          <t>Grow Youth</t>
        </is>
      </c>
      <c r="D3225" s="37" t="inlineStr">
        <is>
          <t>2026-07-10</t>
        </is>
      </c>
      <c r="E3225" s="37" t="inlineStr">
        <is>
          <t>Aspirant Interaction</t>
        </is>
      </c>
      <c r="F3225" s="37" t="inlineStr">
        <is>
          <t>Ask aspirants about the session plan — confirm training is happening as planned?</t>
        </is>
      </c>
      <c r="G3225" s="37" t="inlineStr">
        <is>
          <t>Need Improvement</t>
        </is>
      </c>
    </row>
    <row r="3226">
      <c r="A3226" s="37" t="inlineStr">
        <is>
          <t>Phani</t>
        </is>
      </c>
      <c r="B3226" s="37" t="inlineStr">
        <is>
          <t>Kochi CITI</t>
        </is>
      </c>
      <c r="C3226" s="37" t="inlineStr">
        <is>
          <t>Grow Youth</t>
        </is>
      </c>
      <c r="D3226" s="37" t="inlineStr">
        <is>
          <t>2026-07-10</t>
        </is>
      </c>
      <c r="E3226" s="37" t="inlineStr">
        <is>
          <t>Aspirant Interaction</t>
        </is>
      </c>
      <c r="F3226" s="37" t="inlineStr">
        <is>
          <t>Ask about the quality of Core Employability component delivery (technical centres) and who delivers it.</t>
        </is>
      </c>
      <c r="G3226" s="37" t="inlineStr">
        <is>
          <t>Not Applicable</t>
        </is>
      </c>
    </row>
    <row r="3227">
      <c r="A3227" s="37" t="inlineStr">
        <is>
          <t>Phani</t>
        </is>
      </c>
      <c r="B3227" s="37" t="inlineStr">
        <is>
          <t>Kochi CITI</t>
        </is>
      </c>
      <c r="C3227" s="37" t="inlineStr">
        <is>
          <t>Grow Youth</t>
        </is>
      </c>
      <c r="D3227" s="37" t="inlineStr">
        <is>
          <t>2026-07-10</t>
        </is>
      </c>
      <c r="E3227" s="37" t="inlineStr">
        <is>
          <t>Aspirant Interaction</t>
        </is>
      </c>
      <c r="F3227" s="37" t="inlineStr">
        <is>
          <t>Ask whether they are aware of the referral scheme?</t>
        </is>
      </c>
      <c r="G3227" s="37" t="inlineStr">
        <is>
          <t>All is Well</t>
        </is>
      </c>
    </row>
    <row r="3228">
      <c r="A3228" s="37" t="inlineStr">
        <is>
          <t>Phani</t>
        </is>
      </c>
      <c r="B3228" s="37" t="inlineStr">
        <is>
          <t>Kochi CITI</t>
        </is>
      </c>
      <c r="C3228" s="37" t="inlineStr">
        <is>
          <t>Grow Youth</t>
        </is>
      </c>
      <c r="D3228" s="37" t="inlineStr">
        <is>
          <t>2026-07-10</t>
        </is>
      </c>
      <c r="E3228" s="37" t="inlineStr">
        <is>
          <t>Aspirant Interaction</t>
        </is>
      </c>
      <c r="F3228" s="37" t="inlineStr">
        <is>
          <t>Ask whether the AH explained the importance of the offer letter and sharing it with us once received for reporting purposes?</t>
        </is>
      </c>
      <c r="G3228" s="37" t="inlineStr">
        <is>
          <t>All is Well</t>
        </is>
      </c>
    </row>
    <row r="3229">
      <c r="A3229" s="37" t="inlineStr">
        <is>
          <t>Phani</t>
        </is>
      </c>
      <c r="B3229" s="37" t="inlineStr">
        <is>
          <t>Kochi CITI</t>
        </is>
      </c>
      <c r="C3229" s="37" t="inlineStr">
        <is>
          <t>Grow Youth</t>
        </is>
      </c>
      <c r="D3229" s="37" t="inlineStr">
        <is>
          <t>2026-07-10</t>
        </is>
      </c>
      <c r="E3229" s="37" t="inlineStr">
        <is>
          <t>Aspirant Interaction</t>
        </is>
      </c>
      <c r="F3229" s="37" t="inlineStr">
        <is>
          <t>Ask how many are not interested in jobs — and if so, why they enrolled in the programme?</t>
        </is>
      </c>
      <c r="G3229" s="37" t="inlineStr">
        <is>
          <t>All is Well</t>
        </is>
      </c>
    </row>
    <row r="3230">
      <c r="A3230" s="37" t="inlineStr">
        <is>
          <t>Phani</t>
        </is>
      </c>
      <c r="B3230" s="37" t="inlineStr">
        <is>
          <t>Kochi CITI</t>
        </is>
      </c>
      <c r="C3230" s="37" t="inlineStr">
        <is>
          <t>Grow Youth</t>
        </is>
      </c>
      <c r="D3230" s="37" t="inlineStr">
        <is>
          <t>2026-07-10</t>
        </is>
      </c>
      <c r="E3230" s="37" t="inlineStr">
        <is>
          <t>Aspirant Interaction</t>
        </is>
      </c>
      <c r="F3230" s="37" t="inlineStr">
        <is>
          <t>Ask whether they were told the kind of job they would get during counselling?</t>
        </is>
      </c>
      <c r="G3230" s="37" t="inlineStr">
        <is>
          <t>All is Well</t>
        </is>
      </c>
    </row>
    <row r="3231">
      <c r="A3231" s="37" t="inlineStr">
        <is>
          <t>Phani</t>
        </is>
      </c>
      <c r="B3231" s="37" t="inlineStr">
        <is>
          <t>Kochi CITI</t>
        </is>
      </c>
      <c r="C3231" s="37" t="inlineStr">
        <is>
          <t>Grow Youth</t>
        </is>
      </c>
      <c r="D3231" s="37" t="inlineStr">
        <is>
          <t>2026-07-10</t>
        </is>
      </c>
      <c r="E3231" s="37" t="inlineStr">
        <is>
          <t>Aspirant Interaction</t>
        </is>
      </c>
      <c r="F3231" s="37" t="inlineStr">
        <is>
          <t>Ask whether they have been given LMS access?</t>
        </is>
      </c>
      <c r="G3231" s="37" t="inlineStr">
        <is>
          <t>All is Well</t>
        </is>
      </c>
    </row>
    <row r="3232">
      <c r="A3232" s="37" t="inlineStr">
        <is>
          <t>Phani</t>
        </is>
      </c>
      <c r="B3232" s="37" t="inlineStr">
        <is>
          <t>Kochi CITI</t>
        </is>
      </c>
      <c r="C3232" s="37" t="inlineStr">
        <is>
          <t>Grow Youth</t>
        </is>
      </c>
      <c r="D3232" s="37" t="inlineStr">
        <is>
          <t>2026-07-10</t>
        </is>
      </c>
      <c r="E3232" s="37" t="inlineStr">
        <is>
          <t>Aspirant Interaction</t>
        </is>
      </c>
      <c r="F3232" s="37" t="inlineStr">
        <is>
          <t>Ask whether anyone asked them for money for training or placement?</t>
        </is>
      </c>
      <c r="G3232" s="37" t="inlineStr">
        <is>
          <t>All is Well</t>
        </is>
      </c>
    </row>
    <row r="3233">
      <c r="A3233" s="37" t="inlineStr">
        <is>
          <t>Phani</t>
        </is>
      </c>
      <c r="B3233" s="37" t="inlineStr">
        <is>
          <t>Kochi CITI</t>
        </is>
      </c>
      <c r="C3233" s="37" t="inlineStr">
        <is>
          <t>Grow Youth</t>
        </is>
      </c>
      <c r="D3233" s="37" t="inlineStr">
        <is>
          <t>2026-07-10</t>
        </is>
      </c>
      <c r="E3233" s="37" t="inlineStr">
        <is>
          <t>Aspirant Interaction</t>
        </is>
      </c>
      <c r="F3233" s="37" t="inlineStr">
        <is>
          <t>Ask to show their mobile phones — are they enrolled on Skillfy? If not, get them enrolled and give written feedback to trainers and the AH in your presence.</t>
        </is>
      </c>
      <c r="G3233" s="37" t="inlineStr">
        <is>
          <t>All is Well</t>
        </is>
      </c>
    </row>
    <row r="3234">
      <c r="A3234" s="37" t="inlineStr">
        <is>
          <t>Phani</t>
        </is>
      </c>
      <c r="B3234" s="37" t="inlineStr">
        <is>
          <t>Kochi CITI</t>
        </is>
      </c>
      <c r="C3234" s="37" t="inlineStr">
        <is>
          <t>Grow Youth</t>
        </is>
      </c>
      <c r="D3234" s="37" t="inlineStr">
        <is>
          <t>2026-07-10</t>
        </is>
      </c>
      <c r="E3234" s="37" t="inlineStr">
        <is>
          <t>Aspirant Interaction</t>
        </is>
      </c>
      <c r="F3234" s="37" t="inlineStr">
        <is>
          <t>Ask about the quality of the hostel and any issues they face.</t>
        </is>
      </c>
      <c r="G3234" s="37" t="inlineStr">
        <is>
          <t>Not Applicable</t>
        </is>
      </c>
    </row>
    <row r="3235">
      <c r="A3235" s="37" t="inlineStr">
        <is>
          <t>Phani</t>
        </is>
      </c>
      <c r="B3235" s="37" t="inlineStr">
        <is>
          <t>Kochi CITI</t>
        </is>
      </c>
      <c r="C3235" s="37" t="inlineStr">
        <is>
          <t>Grow Youth</t>
        </is>
      </c>
      <c r="D3235" s="37" t="inlineStr">
        <is>
          <t>2026-07-10</t>
        </is>
      </c>
      <c r="E3235" s="37" t="inlineStr">
        <is>
          <t>Aspirant Interaction</t>
        </is>
      </c>
      <c r="F3235" s="37" t="inlineStr">
        <is>
          <t>Ask a few relevant screening questions to support the 10th-day report and remove non-serious candidates, explaining to them the reasons.</t>
        </is>
      </c>
      <c r="G3235" s="37" t="inlineStr">
        <is>
          <t>All is Well</t>
        </is>
      </c>
    </row>
    <row r="3236">
      <c r="A3236" s="37" t="inlineStr">
        <is>
          <t>Phani</t>
        </is>
      </c>
      <c r="B3236" s="37" t="inlineStr">
        <is>
          <t>Kochi Women</t>
        </is>
      </c>
      <c r="C3236" s="37" t="inlineStr">
        <is>
          <t>Grow Women</t>
        </is>
      </c>
      <c r="D3236" s="37" t="inlineStr">
        <is>
          <t>2026-07-10</t>
        </is>
      </c>
      <c r="E3236" s="37" t="inlineStr">
        <is>
          <t>Data Check</t>
        </is>
      </c>
      <c r="F3236" s="37" t="inlineStr">
        <is>
          <t>Reach the centre on time (unannounced) — confirm the centre opened on time.</t>
        </is>
      </c>
      <c r="G3236" s="37" t="inlineStr">
        <is>
          <t>All is Well</t>
        </is>
      </c>
    </row>
    <row r="3237">
      <c r="A3237" s="37" t="inlineStr">
        <is>
          <t>Phani</t>
        </is>
      </c>
      <c r="B3237" s="37" t="inlineStr">
        <is>
          <t>Kochi Women</t>
        </is>
      </c>
      <c r="C3237" s="37" t="inlineStr">
        <is>
          <t>Grow Women</t>
        </is>
      </c>
      <c r="D3237" s="37" t="inlineStr">
        <is>
          <t>2026-07-10</t>
        </is>
      </c>
      <c r="E3237" s="37" t="inlineStr">
        <is>
          <t>Data Check</t>
        </is>
      </c>
      <c r="F3237" s="37" t="inlineStr">
        <is>
          <t>Check the staff attendance register, the Google Sheet, and geo-tagged photos for aspirants.</t>
        </is>
      </c>
      <c r="G3237" s="37" t="inlineStr">
        <is>
          <t>All is Well</t>
        </is>
      </c>
    </row>
    <row r="3238">
      <c r="A3238" s="37" t="inlineStr">
        <is>
          <t>Phani</t>
        </is>
      </c>
      <c r="B3238" s="37" t="inlineStr">
        <is>
          <t>Kochi Women</t>
        </is>
      </c>
      <c r="C3238" s="37" t="inlineStr">
        <is>
          <t>Grow Women</t>
        </is>
      </c>
      <c r="D3238" s="37" t="inlineStr">
        <is>
          <t>2026-07-10</t>
        </is>
      </c>
      <c r="E3238" s="37" t="inlineStr">
        <is>
          <t>Data Check</t>
        </is>
      </c>
      <c r="F3238" s="37" t="inlineStr">
        <is>
          <t>Check Counselling and Screening Forms of recently started batches.</t>
        </is>
      </c>
      <c r="G3238" s="37" t="inlineStr">
        <is>
          <t>All is Well</t>
        </is>
      </c>
    </row>
    <row r="3239">
      <c r="A3239" s="37" t="inlineStr">
        <is>
          <t>Phani</t>
        </is>
      </c>
      <c r="B3239" s="37" t="inlineStr">
        <is>
          <t>Kochi Women</t>
        </is>
      </c>
      <c r="C3239" s="37" t="inlineStr">
        <is>
          <t>Grow Women</t>
        </is>
      </c>
      <c r="D3239" s="37" t="inlineStr">
        <is>
          <t>2026-07-10</t>
        </is>
      </c>
      <c r="E3239" s="37" t="inlineStr">
        <is>
          <t>Data Check</t>
        </is>
      </c>
      <c r="F3239" s="37" t="inlineStr">
        <is>
          <t>Check Aspirant Registration Forms and related documents.</t>
        </is>
      </c>
      <c r="G3239" s="37" t="inlineStr">
        <is>
          <t>All is Well</t>
        </is>
      </c>
    </row>
    <row r="3240">
      <c r="A3240" s="37" t="inlineStr">
        <is>
          <t>Phani</t>
        </is>
      </c>
      <c r="B3240" s="37" t="inlineStr">
        <is>
          <t>Kochi Women</t>
        </is>
      </c>
      <c r="C3240" s="37" t="inlineStr">
        <is>
          <t>Grow Women</t>
        </is>
      </c>
      <c r="D3240" s="37" t="inlineStr">
        <is>
          <t>2026-07-10</t>
        </is>
      </c>
      <c r="E3240" s="37" t="inlineStr">
        <is>
          <t>Data Check</t>
        </is>
      </c>
      <c r="F3240" s="37" t="inlineStr">
        <is>
          <t>On the GROW portal, confirm all student profile details and batch updates are currect.</t>
        </is>
      </c>
      <c r="G3240" s="37" t="inlineStr">
        <is>
          <t>All is Well</t>
        </is>
      </c>
    </row>
    <row r="3241">
      <c r="A3241" s="37" t="inlineStr">
        <is>
          <t>Phani</t>
        </is>
      </c>
      <c r="B3241" s="37" t="inlineStr">
        <is>
          <t>Kochi Women</t>
        </is>
      </c>
      <c r="C3241" s="37" t="inlineStr">
        <is>
          <t>Grow Women</t>
        </is>
      </c>
      <c r="D3241" s="37" t="inlineStr">
        <is>
          <t>2026-07-10</t>
        </is>
      </c>
      <c r="E3241" s="37" t="inlineStr">
        <is>
          <t>Data Check</t>
        </is>
      </c>
      <c r="F3241" s="37" t="inlineStr">
        <is>
          <t>Verify placement data — randomly call 3–4 alumni placed in the last 3 months to confirm veracity (random selection is essential).</t>
        </is>
      </c>
      <c r="G3241" s="37" t="inlineStr">
        <is>
          <t>All is Well</t>
        </is>
      </c>
    </row>
    <row r="3242">
      <c r="A3242" s="37" t="inlineStr">
        <is>
          <t>Phani</t>
        </is>
      </c>
      <c r="B3242" s="37" t="inlineStr">
        <is>
          <t>Kochi Women</t>
        </is>
      </c>
      <c r="C3242" s="37" t="inlineStr">
        <is>
          <t>Grow Women</t>
        </is>
      </c>
      <c r="D3242" s="37" t="inlineStr">
        <is>
          <t>2026-07-10</t>
        </is>
      </c>
      <c r="E3242" s="37" t="inlineStr">
        <is>
          <t>Data Check</t>
        </is>
      </c>
      <c r="F3242" s="37" t="inlineStr">
        <is>
          <t>Verify retention — check the Alumni Hand-holding Format is being updated as designed.</t>
        </is>
      </c>
      <c r="G3242" s="37" t="inlineStr">
        <is>
          <t>All is Well</t>
        </is>
      </c>
    </row>
    <row r="3243">
      <c r="A3243" s="37" t="inlineStr">
        <is>
          <t>Phani</t>
        </is>
      </c>
      <c r="B3243" s="37" t="inlineStr">
        <is>
          <t>Kochi Women</t>
        </is>
      </c>
      <c r="C3243" s="37" t="inlineStr">
        <is>
          <t>Grow Women</t>
        </is>
      </c>
      <c r="D3243" s="37" t="inlineStr">
        <is>
          <t>2026-07-10</t>
        </is>
      </c>
      <c r="E3243" s="37" t="inlineStr">
        <is>
          <t>Data Check</t>
        </is>
      </c>
      <c r="F3243" s="37" t="inlineStr">
        <is>
          <t>Check aspirant Hostel Forms are properly filled or not.</t>
        </is>
      </c>
      <c r="G3243" s="37" t="inlineStr">
        <is>
          <t>Not Applicable</t>
        </is>
      </c>
    </row>
    <row r="3244">
      <c r="A3244" s="37" t="inlineStr">
        <is>
          <t>Phani</t>
        </is>
      </c>
      <c r="B3244" s="37" t="inlineStr">
        <is>
          <t>Kochi Women</t>
        </is>
      </c>
      <c r="C3244" s="37" t="inlineStr">
        <is>
          <t>Grow Women</t>
        </is>
      </c>
      <c r="D3244" s="37" t="inlineStr">
        <is>
          <t>2026-07-10</t>
        </is>
      </c>
      <c r="E3244" s="37" t="inlineStr">
        <is>
          <t>Infra Check</t>
        </is>
      </c>
      <c r="F3244" s="37" t="inlineStr">
        <is>
          <t>Check all CCTV cameras; if any are not working, ask the AH to troubleshoot or call the vendor.</t>
        </is>
      </c>
      <c r="G3244" s="37" t="inlineStr">
        <is>
          <t>All is Well</t>
        </is>
      </c>
    </row>
    <row r="3245">
      <c r="A3245" s="37" t="inlineStr">
        <is>
          <t>Phani</t>
        </is>
      </c>
      <c r="B3245" s="37" t="inlineStr">
        <is>
          <t>Kochi Women</t>
        </is>
      </c>
      <c r="C3245" s="37" t="inlineStr">
        <is>
          <t>Grow Women</t>
        </is>
      </c>
      <c r="D3245" s="37" t="inlineStr">
        <is>
          <t>2026-07-10</t>
        </is>
      </c>
      <c r="E3245" s="37" t="inlineStr">
        <is>
          <t>Infra Check</t>
        </is>
      </c>
      <c r="F3245" s="37" t="inlineStr">
        <is>
          <t>Check for any scrap material and get it cleared, with support of Admin</t>
        </is>
      </c>
      <c r="G3245" s="37" t="inlineStr">
        <is>
          <t>All is Well</t>
        </is>
      </c>
    </row>
    <row r="3246">
      <c r="A3246" s="37" t="inlineStr">
        <is>
          <t>Phani</t>
        </is>
      </c>
      <c r="B3246" s="37" t="inlineStr">
        <is>
          <t>Kochi Women</t>
        </is>
      </c>
      <c r="C3246" s="37" t="inlineStr">
        <is>
          <t>Grow Women</t>
        </is>
      </c>
      <c r="D3246" s="37" t="inlineStr">
        <is>
          <t>2026-07-10</t>
        </is>
      </c>
      <c r="E3246" s="37" t="inlineStr">
        <is>
          <t>Infra Check</t>
        </is>
      </c>
      <c r="F3246" s="37" t="inlineStr">
        <is>
          <t>Check for any pending infra repairs.</t>
        </is>
      </c>
      <c r="G3246" s="37" t="inlineStr">
        <is>
          <t>All is Well</t>
        </is>
      </c>
    </row>
    <row r="3247">
      <c r="A3247" s="37" t="inlineStr">
        <is>
          <t>Phani</t>
        </is>
      </c>
      <c r="B3247" s="37" t="inlineStr">
        <is>
          <t>Kochi Women</t>
        </is>
      </c>
      <c r="C3247" s="37" t="inlineStr">
        <is>
          <t>Grow Women</t>
        </is>
      </c>
      <c r="D3247" s="37" t="inlineStr">
        <is>
          <t>2026-07-10</t>
        </is>
      </c>
      <c r="E3247" s="37" t="inlineStr">
        <is>
          <t>Infra Check</t>
        </is>
      </c>
      <c r="F3247" s="37" t="inlineStr">
        <is>
          <t>Check whether any fire extinguishers have expired (check the needle and expiry date both).</t>
        </is>
      </c>
      <c r="G3247" s="37" t="inlineStr">
        <is>
          <t>All is Well</t>
        </is>
      </c>
    </row>
    <row r="3248">
      <c r="A3248" s="37" t="inlineStr">
        <is>
          <t>Phani</t>
        </is>
      </c>
      <c r="B3248" s="37" t="inlineStr">
        <is>
          <t>Kochi Women</t>
        </is>
      </c>
      <c r="C3248" s="37" t="inlineStr">
        <is>
          <t>Grow Women</t>
        </is>
      </c>
      <c r="D3248" s="37" t="inlineStr">
        <is>
          <t>2026-07-10</t>
        </is>
      </c>
      <c r="E3248" s="37" t="inlineStr">
        <is>
          <t>Infra Check</t>
        </is>
      </c>
      <c r="F3248" s="37" t="inlineStr">
        <is>
          <t>Check basic cleanliness of the washrooms and the centre.</t>
        </is>
      </c>
      <c r="G3248" s="37" t="inlineStr">
        <is>
          <t>All is Well</t>
        </is>
      </c>
    </row>
    <row r="3249">
      <c r="A3249" s="37" t="inlineStr">
        <is>
          <t>Phani</t>
        </is>
      </c>
      <c r="B3249" s="37" t="inlineStr">
        <is>
          <t>Kochi Women</t>
        </is>
      </c>
      <c r="C3249" s="37" t="inlineStr">
        <is>
          <t>Grow Women</t>
        </is>
      </c>
      <c r="D3249" s="37" t="inlineStr">
        <is>
          <t>2026-07-10</t>
        </is>
      </c>
      <c r="E3249" s="37" t="inlineStr">
        <is>
          <t>Infra Check</t>
        </is>
      </c>
      <c r="F3249" s="37" t="inlineStr">
        <is>
          <t>Confirm the correct program and partner logos are displayed.</t>
        </is>
      </c>
      <c r="G3249" s="37" t="inlineStr">
        <is>
          <t>All is Well</t>
        </is>
      </c>
    </row>
    <row r="3250">
      <c r="A3250" s="37" t="inlineStr">
        <is>
          <t>Phani</t>
        </is>
      </c>
      <c r="B3250" s="37" t="inlineStr">
        <is>
          <t>Kochi Women</t>
        </is>
      </c>
      <c r="C3250" s="37" t="inlineStr">
        <is>
          <t>Grow Women</t>
        </is>
      </c>
      <c r="D3250" s="37" t="inlineStr">
        <is>
          <t>2026-07-10</t>
        </is>
      </c>
      <c r="E3250" s="37" t="inlineStr">
        <is>
          <t>Infra Check</t>
        </is>
      </c>
      <c r="F3250" s="37" t="inlineStr">
        <is>
          <t>Check the status of digital infra — PCs, smartboards, tablets, laptops, etc.</t>
        </is>
      </c>
      <c r="G3250" s="37" t="inlineStr">
        <is>
          <t>All is Well</t>
        </is>
      </c>
    </row>
    <row r="3251">
      <c r="A3251" s="37" t="inlineStr">
        <is>
          <t>Phani</t>
        </is>
      </c>
      <c r="B3251" s="37" t="inlineStr">
        <is>
          <t>Kochi Women</t>
        </is>
      </c>
      <c r="C3251" s="37" t="inlineStr">
        <is>
          <t>Grow Women</t>
        </is>
      </c>
      <c r="D3251" s="37" t="inlineStr">
        <is>
          <t>2026-07-10</t>
        </is>
      </c>
      <c r="E3251" s="37" t="inlineStr">
        <is>
          <t>Infra Check</t>
        </is>
      </c>
      <c r="F3251" s="37" t="inlineStr">
        <is>
          <t>Make a quick hostel visit; have lunch there if possible to test the food quality.</t>
        </is>
      </c>
      <c r="G3251" s="37" t="inlineStr">
        <is>
          <t>Not Applicable</t>
        </is>
      </c>
    </row>
    <row r="3252">
      <c r="A3252" s="37" t="inlineStr">
        <is>
          <t>Phani</t>
        </is>
      </c>
      <c r="B3252" s="37" t="inlineStr">
        <is>
          <t>Kochi Women</t>
        </is>
      </c>
      <c r="C3252" s="37" t="inlineStr">
        <is>
          <t>Grow Women</t>
        </is>
      </c>
      <c r="D3252" s="37" t="inlineStr">
        <is>
          <t>2026-07-10</t>
        </is>
      </c>
      <c r="E3252" s="37" t="inlineStr">
        <is>
          <t>Process Check</t>
        </is>
      </c>
      <c r="F3252" s="37" t="inlineStr">
        <is>
          <t>Refer to the activity planner — check if any activities are delayed.</t>
        </is>
      </c>
      <c r="G3252" s="37" t="inlineStr">
        <is>
          <t>Not Applicable</t>
        </is>
      </c>
    </row>
    <row r="3253">
      <c r="A3253" s="37" t="inlineStr">
        <is>
          <t>Phani</t>
        </is>
      </c>
      <c r="B3253" s="37" t="inlineStr">
        <is>
          <t>Kochi Women</t>
        </is>
      </c>
      <c r="C3253" s="37" t="inlineStr">
        <is>
          <t>Grow Women</t>
        </is>
      </c>
      <c r="D3253" s="37" t="inlineStr">
        <is>
          <t>2026-07-10</t>
        </is>
      </c>
      <c r="E3253" s="37" t="inlineStr">
        <is>
          <t>Process Check</t>
        </is>
      </c>
      <c r="F3253" s="37" t="inlineStr">
        <is>
          <t>Check planning for the next batch-start announcement.</t>
        </is>
      </c>
      <c r="G3253" s="37" t="inlineStr">
        <is>
          <t>All is Well</t>
        </is>
      </c>
    </row>
    <row r="3254">
      <c r="A3254" s="37" t="inlineStr">
        <is>
          <t>Phani</t>
        </is>
      </c>
      <c r="B3254" s="37" t="inlineStr">
        <is>
          <t>Kochi Women</t>
        </is>
      </c>
      <c r="C3254" s="37" t="inlineStr">
        <is>
          <t>Grow Women</t>
        </is>
      </c>
      <c r="D3254" s="37" t="inlineStr">
        <is>
          <t>2026-07-10</t>
        </is>
      </c>
      <c r="E3254" s="37" t="inlineStr">
        <is>
          <t>Process Check</t>
        </is>
      </c>
      <c r="F3254" s="37" t="inlineStr">
        <is>
          <t>Check if any hiring is delayed and plan a resolution.</t>
        </is>
      </c>
      <c r="G3254" s="37" t="inlineStr">
        <is>
          <t>All is Well</t>
        </is>
      </c>
    </row>
    <row r="3255">
      <c r="A3255" s="37" t="inlineStr">
        <is>
          <t>Phani</t>
        </is>
      </c>
      <c r="B3255" s="37" t="inlineStr">
        <is>
          <t>Kochi Women</t>
        </is>
      </c>
      <c r="C3255" s="37" t="inlineStr">
        <is>
          <t>Grow Women</t>
        </is>
      </c>
      <c r="D3255" s="37" t="inlineStr">
        <is>
          <t>2026-07-10</t>
        </is>
      </c>
      <c r="E3255" s="37" t="inlineStr">
        <is>
          <t>Process Check</t>
        </is>
      </c>
      <c r="F3255" s="37" t="inlineStr">
        <is>
          <t>Check the CA’s diary — is CA guided daily by the AH during planning days?</t>
        </is>
      </c>
      <c r="G3255" s="37" t="inlineStr">
        <is>
          <t>Not Applicable</t>
        </is>
      </c>
    </row>
    <row r="3256">
      <c r="A3256" s="37" t="inlineStr">
        <is>
          <t>Phani</t>
        </is>
      </c>
      <c r="B3256" s="37" t="inlineStr">
        <is>
          <t>Kochi Women</t>
        </is>
      </c>
      <c r="C3256" s="37" t="inlineStr">
        <is>
          <t>Grow Women</t>
        </is>
      </c>
      <c r="D3256" s="37" t="inlineStr">
        <is>
          <t>2026-07-10</t>
        </is>
      </c>
      <c r="E3256" s="37" t="inlineStr">
        <is>
          <t>Process Check</t>
        </is>
      </c>
      <c r="F3256" s="37" t="inlineStr">
        <is>
          <t>Check the AH is regularly meeting employers (in person and online) and updating the centre’s Top 20 Employer format.</t>
        </is>
      </c>
      <c r="G3256" s="37" t="inlineStr">
        <is>
          <t>All is Well</t>
        </is>
      </c>
    </row>
    <row r="3257">
      <c r="A3257" s="37" t="inlineStr">
        <is>
          <t>Phani</t>
        </is>
      </c>
      <c r="B3257" s="37" t="inlineStr">
        <is>
          <t>Kochi Women</t>
        </is>
      </c>
      <c r="C3257" s="37" t="inlineStr">
        <is>
          <t>Grow Women</t>
        </is>
      </c>
      <c r="D3257" s="37" t="inlineStr">
        <is>
          <t>2026-07-10</t>
        </is>
      </c>
      <c r="E3257" s="37" t="inlineStr">
        <is>
          <t>Process Check</t>
        </is>
      </c>
      <c r="F3257" s="37" t="inlineStr">
        <is>
          <t>Confirm all new employers are registered on portal as per new process.</t>
        </is>
      </c>
      <c r="G3257" s="37" t="inlineStr">
        <is>
          <t>All is Well</t>
        </is>
      </c>
    </row>
    <row r="3258">
      <c r="A3258" s="37" t="inlineStr">
        <is>
          <t>Phani</t>
        </is>
      </c>
      <c r="B3258" s="37" t="inlineStr">
        <is>
          <t>Kochi Women</t>
        </is>
      </c>
      <c r="C3258" s="37" t="inlineStr">
        <is>
          <t>Grow Women</t>
        </is>
      </c>
      <c r="D3258" s="37" t="inlineStr">
        <is>
          <t>2026-07-10</t>
        </is>
      </c>
      <c r="E3258" s="37" t="inlineStr">
        <is>
          <t>Process Check</t>
        </is>
      </c>
      <c r="F3258" s="37" t="inlineStr">
        <is>
          <t>Confirm 100% of enrolled students undergone screening (for technical courses).</t>
        </is>
      </c>
      <c r="G3258" s="37" t="inlineStr">
        <is>
          <t>Not Applicable</t>
        </is>
      </c>
    </row>
    <row r="3259">
      <c r="A3259" s="37" t="inlineStr">
        <is>
          <t>Phani</t>
        </is>
      </c>
      <c r="B3259" s="37" t="inlineStr">
        <is>
          <t>Kochi Women</t>
        </is>
      </c>
      <c r="C3259" s="37" t="inlineStr">
        <is>
          <t>Grow Women</t>
        </is>
      </c>
      <c r="D3259" s="37" t="inlineStr">
        <is>
          <t>2026-07-10</t>
        </is>
      </c>
      <c r="E3259" s="37" t="inlineStr">
        <is>
          <t>Process Check</t>
        </is>
      </c>
      <c r="F3259" s="37" t="inlineStr">
        <is>
          <t>Confirm ESA is done (in GROW full ESA and in Technical courses relevant sections of Core Employability Part).</t>
        </is>
      </c>
      <c r="G3259" s="37" t="inlineStr">
        <is>
          <t>All is Well</t>
        </is>
      </c>
    </row>
    <row r="3260">
      <c r="A3260" s="37" t="inlineStr">
        <is>
          <t>Phani</t>
        </is>
      </c>
      <c r="B3260" s="37" t="inlineStr">
        <is>
          <t>Kochi Women</t>
        </is>
      </c>
      <c r="C3260" s="37" t="inlineStr">
        <is>
          <t>Grow Women</t>
        </is>
      </c>
      <c r="D3260" s="37" t="inlineStr">
        <is>
          <t>2026-07-10</t>
        </is>
      </c>
      <c r="E3260" s="37" t="inlineStr">
        <is>
          <t>Process Check</t>
        </is>
      </c>
      <c r="F3260" s="37" t="inlineStr">
        <is>
          <t>Check is AH giving capstone project in GROW Tech.</t>
        </is>
      </c>
      <c r="G3260" s="37" t="inlineStr">
        <is>
          <t>Not Applicable</t>
        </is>
      </c>
    </row>
    <row r="3261">
      <c r="A3261" s="37" t="inlineStr">
        <is>
          <t>Phani</t>
        </is>
      </c>
      <c r="B3261" s="37" t="inlineStr">
        <is>
          <t>Kochi Women</t>
        </is>
      </c>
      <c r="C3261" s="37" t="inlineStr">
        <is>
          <t>Grow Women</t>
        </is>
      </c>
      <c r="D3261" s="37" t="inlineStr">
        <is>
          <t>2026-07-10</t>
        </is>
      </c>
      <c r="E3261" s="37" t="inlineStr">
        <is>
          <t>Process Check</t>
        </is>
      </c>
      <c r="F3261" s="37" t="inlineStr">
        <is>
          <t>Check is AH planning OJT as per guidelines and proofs are collected for technical courses.</t>
        </is>
      </c>
      <c r="G3261" s="37" t="inlineStr">
        <is>
          <t>Not Applicable</t>
        </is>
      </c>
    </row>
    <row r="3262">
      <c r="A3262" s="37" t="inlineStr">
        <is>
          <t>Phani</t>
        </is>
      </c>
      <c r="B3262" s="37" t="inlineStr">
        <is>
          <t>Kochi Women</t>
        </is>
      </c>
      <c r="C3262" s="37" t="inlineStr">
        <is>
          <t>Grow Women</t>
        </is>
      </c>
      <c r="D3262" s="37" t="inlineStr">
        <is>
          <t>2026-07-10</t>
        </is>
      </c>
      <c r="E3262" s="37" t="inlineStr">
        <is>
          <t>Process Check</t>
        </is>
      </c>
      <c r="F3262" s="37" t="inlineStr">
        <is>
          <t>Check are trainers contacting aspirants to find reason for their absenteeism of more than 1 day.</t>
        </is>
      </c>
      <c r="G3262" s="37" t="inlineStr">
        <is>
          <t>Not Applicable</t>
        </is>
      </c>
    </row>
    <row r="3263">
      <c r="A3263" s="37" t="inlineStr">
        <is>
          <t>Phani</t>
        </is>
      </c>
      <c r="B3263" s="37" t="inlineStr">
        <is>
          <t>Kochi Women</t>
        </is>
      </c>
      <c r="C3263" s="37" t="inlineStr">
        <is>
          <t>Grow Women</t>
        </is>
      </c>
      <c r="D3263" s="37" t="inlineStr">
        <is>
          <t>2026-07-10</t>
        </is>
      </c>
      <c r="E3263" s="37" t="inlineStr">
        <is>
          <t>Process Check</t>
        </is>
      </c>
      <c r="F3263" s="37" t="inlineStr">
        <is>
          <t>Check the AH plans monthly enrolment and placement numbers by the 3rd of each month and shares them with second level managers.</t>
        </is>
      </c>
      <c r="G3263" s="37" t="inlineStr">
        <is>
          <t>All is Well</t>
        </is>
      </c>
    </row>
    <row r="3264">
      <c r="A3264" s="37" t="inlineStr">
        <is>
          <t>Phani</t>
        </is>
      </c>
      <c r="B3264" s="37" t="inlineStr">
        <is>
          <t>Kochi Women</t>
        </is>
      </c>
      <c r="C3264" s="37" t="inlineStr">
        <is>
          <t>Grow Women</t>
        </is>
      </c>
      <c r="D3264" s="37" t="inlineStr">
        <is>
          <t>2026-07-10</t>
        </is>
      </c>
      <c r="E3264" s="37" t="inlineStr">
        <is>
          <t>Process Check</t>
        </is>
      </c>
      <c r="F3264" s="37" t="inlineStr">
        <is>
          <t>Check trainers submit aspirants’ placement interest areas to the AH by the batch’s 25th day (in GROW).</t>
        </is>
      </c>
      <c r="G3264" s="37" t="inlineStr">
        <is>
          <t>All is Well</t>
        </is>
      </c>
    </row>
    <row r="3265">
      <c r="A3265" s="37" t="inlineStr">
        <is>
          <t>Phani</t>
        </is>
      </c>
      <c r="B3265" s="37" t="inlineStr">
        <is>
          <t>Kochi Women</t>
        </is>
      </c>
      <c r="C3265" s="37" t="inlineStr">
        <is>
          <t>Grow Women</t>
        </is>
      </c>
      <c r="D3265" s="37" t="inlineStr">
        <is>
          <t>2026-07-10</t>
        </is>
      </c>
      <c r="E3265" s="37" t="inlineStr">
        <is>
          <t>Process Check</t>
        </is>
      </c>
      <c r="F3265" s="37" t="inlineStr">
        <is>
          <t>Ckeck For technical programs, placement is done only in technical jobs,on which aspirants are trained and relevant emplyers are identified by 45th day.</t>
        </is>
      </c>
      <c r="G3265" s="37" t="inlineStr">
        <is>
          <t>Not Applicable</t>
        </is>
      </c>
    </row>
    <row r="3266">
      <c r="A3266" s="37" t="inlineStr">
        <is>
          <t>Phani</t>
        </is>
      </c>
      <c r="B3266" s="37" t="inlineStr">
        <is>
          <t>Kochi Women</t>
        </is>
      </c>
      <c r="C3266" s="37" t="inlineStr">
        <is>
          <t>Grow Women</t>
        </is>
      </c>
      <c r="D3266" s="37" t="inlineStr">
        <is>
          <t>2026-07-10</t>
        </is>
      </c>
      <c r="E3266" s="37" t="inlineStr">
        <is>
          <t>Process Check</t>
        </is>
      </c>
      <c r="F3266" s="37" t="inlineStr">
        <is>
          <t>Check the AH follows EP guidelines and minimum benchmark salary guidelines.</t>
        </is>
      </c>
      <c r="G3266" s="37" t="inlineStr">
        <is>
          <t>All is Well</t>
        </is>
      </c>
    </row>
    <row r="3267">
      <c r="A3267" s="37" t="inlineStr">
        <is>
          <t>Phani</t>
        </is>
      </c>
      <c r="B3267" s="37" t="inlineStr">
        <is>
          <t>Kochi Women</t>
        </is>
      </c>
      <c r="C3267" s="37" t="inlineStr">
        <is>
          <t>Grow Women</t>
        </is>
      </c>
      <c r="D3267" s="37" t="inlineStr">
        <is>
          <t>2026-07-10</t>
        </is>
      </c>
      <c r="E3267" s="37" t="inlineStr">
        <is>
          <t>Process Check</t>
        </is>
      </c>
      <c r="F3267" s="37" t="inlineStr">
        <is>
          <t>Check that AH is enrolling only the right traget group in the program -as per the defined target.</t>
        </is>
      </c>
      <c r="G3267" s="37" t="inlineStr">
        <is>
          <t>All is Well</t>
        </is>
      </c>
    </row>
    <row r="3268">
      <c r="A3268" s="37" t="inlineStr">
        <is>
          <t>Phani</t>
        </is>
      </c>
      <c r="B3268" s="37" t="inlineStr">
        <is>
          <t>Kochi Women</t>
        </is>
      </c>
      <c r="C3268" s="37" t="inlineStr">
        <is>
          <t>Grow Women</t>
        </is>
      </c>
      <c r="D3268" s="37" t="inlineStr">
        <is>
          <t>2026-07-10</t>
        </is>
      </c>
      <c r="E3268" s="37" t="inlineStr">
        <is>
          <t>Process Check</t>
        </is>
      </c>
      <c r="F3268" s="37" t="inlineStr">
        <is>
          <t>Check the AH announces the next batch-start date by the 3rd of the month on all notice boards — focus on Zero-Day start.</t>
        </is>
      </c>
      <c r="G3268" s="37" t="inlineStr">
        <is>
          <t>All is Well</t>
        </is>
      </c>
    </row>
    <row r="3269">
      <c r="A3269" s="37" t="inlineStr">
        <is>
          <t>Phani</t>
        </is>
      </c>
      <c r="B3269" s="37" t="inlineStr">
        <is>
          <t>Kochi Women</t>
        </is>
      </c>
      <c r="C3269" s="37" t="inlineStr">
        <is>
          <t>Grow Women</t>
        </is>
      </c>
      <c r="D3269" s="37" t="inlineStr">
        <is>
          <t>2026-07-10</t>
        </is>
      </c>
      <c r="E3269" s="37" t="inlineStr">
        <is>
          <t>Process Check</t>
        </is>
      </c>
      <c r="F3269" s="37" t="inlineStr">
        <is>
          <t>Check the Aspirant Mock Interview Score Tracker is updated after every mock interview in the L&amp;D Google Sheet.</t>
        </is>
      </c>
      <c r="G3269" s="37" t="inlineStr">
        <is>
          <t>All is Well</t>
        </is>
      </c>
    </row>
    <row r="3270">
      <c r="A3270" s="37" t="inlineStr">
        <is>
          <t>Phani</t>
        </is>
      </c>
      <c r="B3270" s="37" t="inlineStr">
        <is>
          <t>Kochi Women</t>
        </is>
      </c>
      <c r="C3270" s="37" t="inlineStr">
        <is>
          <t>Grow Women</t>
        </is>
      </c>
      <c r="D3270" s="37" t="inlineStr">
        <is>
          <t>2026-07-10</t>
        </is>
      </c>
      <c r="E3270" s="37" t="inlineStr">
        <is>
          <t>Process Check</t>
        </is>
      </c>
      <c r="F3270" s="37" t="inlineStr">
        <is>
          <t>Confirm NPS (Net Promoter Score) is collected at MSDF centres.</t>
        </is>
      </c>
      <c r="G3270" s="37" t="inlineStr">
        <is>
          <t>Not Applicable</t>
        </is>
      </c>
    </row>
    <row r="3271">
      <c r="A3271" s="37" t="inlineStr">
        <is>
          <t>Phani</t>
        </is>
      </c>
      <c r="B3271" s="37" t="inlineStr">
        <is>
          <t>Kochi Women</t>
        </is>
      </c>
      <c r="C3271" s="37" t="inlineStr">
        <is>
          <t>Grow Women</t>
        </is>
      </c>
      <c r="D3271" s="37" t="inlineStr">
        <is>
          <t>2026-07-10</t>
        </is>
      </c>
      <c r="E3271" s="37" t="inlineStr">
        <is>
          <t>Process Check</t>
        </is>
      </c>
      <c r="F3271" s="37" t="inlineStr">
        <is>
          <t>Confirm that QAE is collecting student feedback for every batch.</t>
        </is>
      </c>
      <c r="G3271" s="37" t="inlineStr">
        <is>
          <t>All is Well</t>
        </is>
      </c>
    </row>
    <row r="3272">
      <c r="A3272" s="37" t="inlineStr">
        <is>
          <t>Phani</t>
        </is>
      </c>
      <c r="B3272" s="37" t="inlineStr">
        <is>
          <t>Kochi Women</t>
        </is>
      </c>
      <c r="C3272" s="37" t="inlineStr">
        <is>
          <t>Grow Women</t>
        </is>
      </c>
      <c r="D3272" s="37" t="inlineStr">
        <is>
          <t>2026-07-10</t>
        </is>
      </c>
      <c r="E3272" s="37" t="inlineStr">
        <is>
          <t>Process Check</t>
        </is>
      </c>
      <c r="F3272" s="37" t="inlineStr">
        <is>
          <t>Confirm all centre teams have completed the GROW Manual Course on Skillfy — ask for achievement certificates.</t>
        </is>
      </c>
      <c r="G3272" s="37" t="inlineStr">
        <is>
          <t>All is Well</t>
        </is>
      </c>
    </row>
    <row r="3273">
      <c r="A3273" s="37" t="inlineStr">
        <is>
          <t>Phani</t>
        </is>
      </c>
      <c r="B3273" s="37" t="inlineStr">
        <is>
          <t>Kochi Women</t>
        </is>
      </c>
      <c r="C3273" s="37" t="inlineStr">
        <is>
          <t>Grow Women</t>
        </is>
      </c>
      <c r="D3273" s="37" t="inlineStr">
        <is>
          <t>2026-07-10</t>
        </is>
      </c>
      <c r="E3273" s="37" t="inlineStr">
        <is>
          <t>Process Check</t>
        </is>
      </c>
      <c r="F3273" s="37" t="inlineStr">
        <is>
          <t>Check AH holds a quality weekly team meeting, documents action points in the weekly meeting format, and sends you a photo on WhatsApp.</t>
        </is>
      </c>
      <c r="G3273" s="37" t="inlineStr">
        <is>
          <t>Need Improvement</t>
        </is>
      </c>
    </row>
    <row r="3274">
      <c r="A3274" s="37" t="inlineStr">
        <is>
          <t>Phani</t>
        </is>
      </c>
      <c r="B3274" s="37" t="inlineStr">
        <is>
          <t>Kochi Women</t>
        </is>
      </c>
      <c r="C3274" s="37" t="inlineStr">
        <is>
          <t>Grow Women</t>
        </is>
      </c>
      <c r="D3274" s="37" t="inlineStr">
        <is>
          <t>2026-07-10</t>
        </is>
      </c>
      <c r="E3274" s="37" t="inlineStr">
        <is>
          <t>Aspirant Interaction</t>
        </is>
      </c>
      <c r="F3274" s="37" t="inlineStr">
        <is>
          <t>Ask aspirants about the session plan — confirm training is happening as planned?</t>
        </is>
      </c>
      <c r="G3274" s="37" t="inlineStr">
        <is>
          <t>All is Well</t>
        </is>
      </c>
    </row>
    <row r="3275">
      <c r="A3275" s="37" t="inlineStr">
        <is>
          <t>Phani</t>
        </is>
      </c>
      <c r="B3275" s="37" t="inlineStr">
        <is>
          <t>Kochi Women</t>
        </is>
      </c>
      <c r="C3275" s="37" t="inlineStr">
        <is>
          <t>Grow Women</t>
        </is>
      </c>
      <c r="D3275" s="37" t="inlineStr">
        <is>
          <t>2026-07-10</t>
        </is>
      </c>
      <c r="E3275" s="37" t="inlineStr">
        <is>
          <t>Aspirant Interaction</t>
        </is>
      </c>
      <c r="F3275" s="37" t="inlineStr">
        <is>
          <t>Ask about the quality of Core Employability component delivery (technical centres) and who delivers it.</t>
        </is>
      </c>
      <c r="G3275" s="37" t="inlineStr">
        <is>
          <t>Not Applicable</t>
        </is>
      </c>
    </row>
    <row r="3276">
      <c r="A3276" s="37" t="inlineStr">
        <is>
          <t>Phani</t>
        </is>
      </c>
      <c r="B3276" s="37" t="inlineStr">
        <is>
          <t>Kochi Women</t>
        </is>
      </c>
      <c r="C3276" s="37" t="inlineStr">
        <is>
          <t>Grow Women</t>
        </is>
      </c>
      <c r="D3276" s="37" t="inlineStr">
        <is>
          <t>2026-07-10</t>
        </is>
      </c>
      <c r="E3276" s="37" t="inlineStr">
        <is>
          <t>Aspirant Interaction</t>
        </is>
      </c>
      <c r="F3276" s="37" t="inlineStr">
        <is>
          <t>Ask whether they are aware of the referral scheme?</t>
        </is>
      </c>
      <c r="G3276" s="37" t="inlineStr">
        <is>
          <t>All is Well</t>
        </is>
      </c>
    </row>
    <row r="3277">
      <c r="A3277" s="37" t="inlineStr">
        <is>
          <t>Phani</t>
        </is>
      </c>
      <c r="B3277" s="37" t="inlineStr">
        <is>
          <t>Kochi Women</t>
        </is>
      </c>
      <c r="C3277" s="37" t="inlineStr">
        <is>
          <t>Grow Women</t>
        </is>
      </c>
      <c r="D3277" s="37" t="inlineStr">
        <is>
          <t>2026-07-10</t>
        </is>
      </c>
      <c r="E3277" s="37" t="inlineStr">
        <is>
          <t>Aspirant Interaction</t>
        </is>
      </c>
      <c r="F3277" s="37" t="inlineStr">
        <is>
          <t>Ask whether the AH explained the importance of the offer letter and sharing it with us once received for reporting purposes?</t>
        </is>
      </c>
      <c r="G3277" s="37" t="inlineStr">
        <is>
          <t>All is Well</t>
        </is>
      </c>
    </row>
    <row r="3278">
      <c r="A3278" s="37" t="inlineStr">
        <is>
          <t>Phani</t>
        </is>
      </c>
      <c r="B3278" s="37" t="inlineStr">
        <is>
          <t>Kochi Women</t>
        </is>
      </c>
      <c r="C3278" s="37" t="inlineStr">
        <is>
          <t>Grow Women</t>
        </is>
      </c>
      <c r="D3278" s="37" t="inlineStr">
        <is>
          <t>2026-07-10</t>
        </is>
      </c>
      <c r="E3278" s="37" t="inlineStr">
        <is>
          <t>Aspirant Interaction</t>
        </is>
      </c>
      <c r="F3278" s="37" t="inlineStr">
        <is>
          <t>Ask how many are not interested in jobs — and if so, why they enrolled in the programme?</t>
        </is>
      </c>
      <c r="G3278" s="37" t="inlineStr">
        <is>
          <t>All is Well</t>
        </is>
      </c>
    </row>
    <row r="3279">
      <c r="A3279" s="37" t="inlineStr">
        <is>
          <t>Phani</t>
        </is>
      </c>
      <c r="B3279" s="37" t="inlineStr">
        <is>
          <t>Kochi Women</t>
        </is>
      </c>
      <c r="C3279" s="37" t="inlineStr">
        <is>
          <t>Grow Women</t>
        </is>
      </c>
      <c r="D3279" s="37" t="inlineStr">
        <is>
          <t>2026-07-10</t>
        </is>
      </c>
      <c r="E3279" s="37" t="inlineStr">
        <is>
          <t>Aspirant Interaction</t>
        </is>
      </c>
      <c r="F3279" s="37" t="inlineStr">
        <is>
          <t>Ask whether they were told the kind of job they would get during counselling?</t>
        </is>
      </c>
      <c r="G3279" s="37" t="inlineStr">
        <is>
          <t>All is Well</t>
        </is>
      </c>
    </row>
    <row r="3280">
      <c r="A3280" s="37" t="inlineStr">
        <is>
          <t>Phani</t>
        </is>
      </c>
      <c r="B3280" s="37" t="inlineStr">
        <is>
          <t>Kochi Women</t>
        </is>
      </c>
      <c r="C3280" s="37" t="inlineStr">
        <is>
          <t>Grow Women</t>
        </is>
      </c>
      <c r="D3280" s="37" t="inlineStr">
        <is>
          <t>2026-07-10</t>
        </is>
      </c>
      <c r="E3280" s="37" t="inlineStr">
        <is>
          <t>Aspirant Interaction</t>
        </is>
      </c>
      <c r="F3280" s="37" t="inlineStr">
        <is>
          <t>Ask whether they have been given LMS access?</t>
        </is>
      </c>
      <c r="G3280" s="37" t="inlineStr">
        <is>
          <t>All is Well</t>
        </is>
      </c>
    </row>
    <row r="3281">
      <c r="A3281" s="37" t="inlineStr">
        <is>
          <t>Phani</t>
        </is>
      </c>
      <c r="B3281" s="37" t="inlineStr">
        <is>
          <t>Kochi Women</t>
        </is>
      </c>
      <c r="C3281" s="37" t="inlineStr">
        <is>
          <t>Grow Women</t>
        </is>
      </c>
      <c r="D3281" s="37" t="inlineStr">
        <is>
          <t>2026-07-10</t>
        </is>
      </c>
      <c r="E3281" s="37" t="inlineStr">
        <is>
          <t>Aspirant Interaction</t>
        </is>
      </c>
      <c r="F3281" s="37" t="inlineStr">
        <is>
          <t>Ask whether anyone asked them for money for training or placement?</t>
        </is>
      </c>
      <c r="G3281" s="37" t="inlineStr">
        <is>
          <t>All is Well</t>
        </is>
      </c>
    </row>
    <row r="3282">
      <c r="A3282" s="37" t="inlineStr">
        <is>
          <t>Phani</t>
        </is>
      </c>
      <c r="B3282" s="37" t="inlineStr">
        <is>
          <t>Kochi Women</t>
        </is>
      </c>
      <c r="C3282" s="37" t="inlineStr">
        <is>
          <t>Grow Women</t>
        </is>
      </c>
      <c r="D3282" s="37" t="inlineStr">
        <is>
          <t>2026-07-10</t>
        </is>
      </c>
      <c r="E3282" s="37" t="inlineStr">
        <is>
          <t>Aspirant Interaction</t>
        </is>
      </c>
      <c r="F3282" s="37" t="inlineStr">
        <is>
          <t>Ask to show their mobile phones — are they enrolled on Skillfy? If not, get them enrolled and give written feedback to trainers and the AH in your presence.</t>
        </is>
      </c>
      <c r="G3282" s="37" t="inlineStr">
        <is>
          <t>All is Well</t>
        </is>
      </c>
    </row>
    <row r="3283">
      <c r="A3283" s="37" t="inlineStr">
        <is>
          <t>Phani</t>
        </is>
      </c>
      <c r="B3283" s="37" t="inlineStr">
        <is>
          <t>Kochi Women</t>
        </is>
      </c>
      <c r="C3283" s="37" t="inlineStr">
        <is>
          <t>Grow Women</t>
        </is>
      </c>
      <c r="D3283" s="37" t="inlineStr">
        <is>
          <t>2026-07-10</t>
        </is>
      </c>
      <c r="E3283" s="37" t="inlineStr">
        <is>
          <t>Aspirant Interaction</t>
        </is>
      </c>
      <c r="F3283" s="37" t="inlineStr">
        <is>
          <t>Ask about the quality of the hostel and any issues they face.</t>
        </is>
      </c>
      <c r="G3283" s="37" t="inlineStr">
        <is>
          <t>Not Applicable</t>
        </is>
      </c>
    </row>
    <row r="3284">
      <c r="A3284" s="37" t="inlineStr">
        <is>
          <t>Phani</t>
        </is>
      </c>
      <c r="B3284" s="37" t="inlineStr">
        <is>
          <t>Kochi Women</t>
        </is>
      </c>
      <c r="C3284" s="37" t="inlineStr">
        <is>
          <t>Grow Women</t>
        </is>
      </c>
      <c r="D3284" s="37" t="inlineStr">
        <is>
          <t>2026-07-10</t>
        </is>
      </c>
      <c r="E3284" s="37" t="inlineStr">
        <is>
          <t>Aspirant Interaction</t>
        </is>
      </c>
      <c r="F3284" s="37" t="inlineStr">
        <is>
          <t>Ask a few relevant screening questions to support the 10th-day report and remove non-serious candidates, explaining to them the reasons.</t>
        </is>
      </c>
      <c r="G3284" s="37" t="inlineStr">
        <is>
          <t>All is Well</t>
        </is>
      </c>
    </row>
    <row r="3285">
      <c r="A3285" s="37" t="inlineStr">
        <is>
          <t>Phani</t>
        </is>
      </c>
      <c r="B3285" s="37" t="inlineStr">
        <is>
          <t>CFRSI Chennai</t>
        </is>
      </c>
      <c r="C3285" s="37" t="inlineStr">
        <is>
          <t>CFRSI Tech</t>
        </is>
      </c>
      <c r="D3285" s="37" t="inlineStr">
        <is>
          <t>2026-07-14</t>
        </is>
      </c>
      <c r="E3285" s="37" t="inlineStr">
        <is>
          <t>Data Check</t>
        </is>
      </c>
      <c r="F3285" s="37" t="inlineStr">
        <is>
          <t>Reach the centre on time (unannounced) — confirm the centre opened on time.</t>
        </is>
      </c>
      <c r="G3285" s="37" t="inlineStr">
        <is>
          <t>All is Well</t>
        </is>
      </c>
    </row>
    <row r="3286">
      <c r="A3286" s="37" t="inlineStr">
        <is>
          <t>Phani</t>
        </is>
      </c>
      <c r="B3286" s="37" t="inlineStr">
        <is>
          <t>CFRSI Chennai</t>
        </is>
      </c>
      <c r="C3286" s="37" t="inlineStr">
        <is>
          <t>CFRSI Tech</t>
        </is>
      </c>
      <c r="D3286" s="37" t="inlineStr">
        <is>
          <t>2026-07-14</t>
        </is>
      </c>
      <c r="E3286" s="37" t="inlineStr">
        <is>
          <t>Data Check</t>
        </is>
      </c>
      <c r="F3286" s="37" t="inlineStr">
        <is>
          <t>Check the staff attendance register, the Google Sheet, and geo-tagged photos for aspirants.</t>
        </is>
      </c>
      <c r="G3286" s="37" t="inlineStr">
        <is>
          <t>All is Well</t>
        </is>
      </c>
    </row>
    <row r="3287">
      <c r="A3287" s="37" t="inlineStr">
        <is>
          <t>Phani</t>
        </is>
      </c>
      <c r="B3287" s="37" t="inlineStr">
        <is>
          <t>CFRSI Chennai</t>
        </is>
      </c>
      <c r="C3287" s="37" t="inlineStr">
        <is>
          <t>CFRSI Tech</t>
        </is>
      </c>
      <c r="D3287" s="37" t="inlineStr">
        <is>
          <t>2026-07-14</t>
        </is>
      </c>
      <c r="E3287" s="37" t="inlineStr">
        <is>
          <t>Data Check</t>
        </is>
      </c>
      <c r="F3287" s="37" t="inlineStr">
        <is>
          <t>Check Counselling and Screening Forms of recently started batches.</t>
        </is>
      </c>
      <c r="G3287" s="37" t="inlineStr">
        <is>
          <t>All is Well</t>
        </is>
      </c>
    </row>
    <row r="3288">
      <c r="A3288" s="37" t="inlineStr">
        <is>
          <t>Phani</t>
        </is>
      </c>
      <c r="B3288" s="37" t="inlineStr">
        <is>
          <t>CFRSI Chennai</t>
        </is>
      </c>
      <c r="C3288" s="37" t="inlineStr">
        <is>
          <t>CFRSI Tech</t>
        </is>
      </c>
      <c r="D3288" s="37" t="inlineStr">
        <is>
          <t>2026-07-14</t>
        </is>
      </c>
      <c r="E3288" s="37" t="inlineStr">
        <is>
          <t>Data Check</t>
        </is>
      </c>
      <c r="F3288" s="37" t="inlineStr">
        <is>
          <t>Check Aspirant Registration Forms and related documents.</t>
        </is>
      </c>
      <c r="G3288" s="37" t="inlineStr">
        <is>
          <t>All is Well</t>
        </is>
      </c>
    </row>
    <row r="3289">
      <c r="A3289" s="37" t="inlineStr">
        <is>
          <t>Phani</t>
        </is>
      </c>
      <c r="B3289" s="37" t="inlineStr">
        <is>
          <t>CFRSI Chennai</t>
        </is>
      </c>
      <c r="C3289" s="37" t="inlineStr">
        <is>
          <t>CFRSI Tech</t>
        </is>
      </c>
      <c r="D3289" s="37" t="inlineStr">
        <is>
          <t>2026-07-14</t>
        </is>
      </c>
      <c r="E3289" s="37" t="inlineStr">
        <is>
          <t>Data Check</t>
        </is>
      </c>
      <c r="F3289" s="37" t="inlineStr">
        <is>
          <t>On the GROW portal, confirm all student profile details and batch updates are currect.</t>
        </is>
      </c>
      <c r="G3289" s="37" t="inlineStr">
        <is>
          <t>All is Well</t>
        </is>
      </c>
    </row>
    <row r="3290">
      <c r="A3290" s="37" t="inlineStr">
        <is>
          <t>Phani</t>
        </is>
      </c>
      <c r="B3290" s="37" t="inlineStr">
        <is>
          <t>CFRSI Chennai</t>
        </is>
      </c>
      <c r="C3290" s="37" t="inlineStr">
        <is>
          <t>CFRSI Tech</t>
        </is>
      </c>
      <c r="D3290" s="37" t="inlineStr">
        <is>
          <t>2026-07-14</t>
        </is>
      </c>
      <c r="E3290" s="37" t="inlineStr">
        <is>
          <t>Data Check</t>
        </is>
      </c>
      <c r="F3290" s="37" t="inlineStr">
        <is>
          <t>Verify placement data — randomly call 3–4 alumni placed in the last 3 months to confirm veracity (random selection is essential).</t>
        </is>
      </c>
      <c r="G3290" s="37" t="inlineStr">
        <is>
          <t>Not Applicable</t>
        </is>
      </c>
    </row>
    <row r="3291">
      <c r="A3291" s="37" t="inlineStr">
        <is>
          <t>Phani</t>
        </is>
      </c>
      <c r="B3291" s="37" t="inlineStr">
        <is>
          <t>CFRSI Chennai</t>
        </is>
      </c>
      <c r="C3291" s="37" t="inlineStr">
        <is>
          <t>CFRSI Tech</t>
        </is>
      </c>
      <c r="D3291" s="37" t="inlineStr">
        <is>
          <t>2026-07-14</t>
        </is>
      </c>
      <c r="E3291" s="37" t="inlineStr">
        <is>
          <t>Data Check</t>
        </is>
      </c>
      <c r="F3291" s="37" t="inlineStr">
        <is>
          <t>Verify retention — check the Alumni Hand-holding Format is being updated as designed.</t>
        </is>
      </c>
      <c r="G3291" s="37" t="inlineStr">
        <is>
          <t>Not Applicable</t>
        </is>
      </c>
    </row>
    <row r="3292">
      <c r="A3292" s="37" t="inlineStr">
        <is>
          <t>Phani</t>
        </is>
      </c>
      <c r="B3292" s="37" t="inlineStr">
        <is>
          <t>CFRSI Chennai</t>
        </is>
      </c>
      <c r="C3292" s="37" t="inlineStr">
        <is>
          <t>CFRSI Tech</t>
        </is>
      </c>
      <c r="D3292" s="37" t="inlineStr">
        <is>
          <t>2026-07-14</t>
        </is>
      </c>
      <c r="E3292" s="37" t="inlineStr">
        <is>
          <t>Data Check</t>
        </is>
      </c>
      <c r="F3292" s="37" t="inlineStr">
        <is>
          <t>Check aspirant Hostel Forms are properly filled or not.</t>
        </is>
      </c>
      <c r="G3292" s="37" t="inlineStr">
        <is>
          <t>Not Applicable</t>
        </is>
      </c>
    </row>
    <row r="3293">
      <c r="A3293" s="37" t="inlineStr">
        <is>
          <t>Phani</t>
        </is>
      </c>
      <c r="B3293" s="37" t="inlineStr">
        <is>
          <t>CFRSI Chennai</t>
        </is>
      </c>
      <c r="C3293" s="37" t="inlineStr">
        <is>
          <t>CFRSI Tech</t>
        </is>
      </c>
      <c r="D3293" s="37" t="inlineStr">
        <is>
          <t>2026-07-14</t>
        </is>
      </c>
      <c r="E3293" s="37" t="inlineStr">
        <is>
          <t>Infra Check</t>
        </is>
      </c>
      <c r="F3293" s="37" t="inlineStr">
        <is>
          <t>Check all CCTV cameras; if any are not working, ask the AH to troubleshoot or call the vendor.</t>
        </is>
      </c>
      <c r="G3293" s="37" t="inlineStr">
        <is>
          <t>All is Well</t>
        </is>
      </c>
    </row>
    <row r="3294">
      <c r="A3294" s="37" t="inlineStr">
        <is>
          <t>Phani</t>
        </is>
      </c>
      <c r="B3294" s="37" t="inlineStr">
        <is>
          <t>CFRSI Chennai</t>
        </is>
      </c>
      <c r="C3294" s="37" t="inlineStr">
        <is>
          <t>CFRSI Tech</t>
        </is>
      </c>
      <c r="D3294" s="37" t="inlineStr">
        <is>
          <t>2026-07-14</t>
        </is>
      </c>
      <c r="E3294" s="37" t="inlineStr">
        <is>
          <t>Infra Check</t>
        </is>
      </c>
      <c r="F3294" s="37" t="inlineStr">
        <is>
          <t>Check for any scrap material and get it cleared, with support of Admin</t>
        </is>
      </c>
      <c r="G3294" s="37" t="inlineStr">
        <is>
          <t>All is Well</t>
        </is>
      </c>
    </row>
    <row r="3295">
      <c r="A3295" s="37" t="inlineStr">
        <is>
          <t>Phani</t>
        </is>
      </c>
      <c r="B3295" s="37" t="inlineStr">
        <is>
          <t>CFRSI Chennai</t>
        </is>
      </c>
      <c r="C3295" s="37" t="inlineStr">
        <is>
          <t>CFRSI Tech</t>
        </is>
      </c>
      <c r="D3295" s="37" t="inlineStr">
        <is>
          <t>2026-07-14</t>
        </is>
      </c>
      <c r="E3295" s="37" t="inlineStr">
        <is>
          <t>Infra Check</t>
        </is>
      </c>
      <c r="F3295" s="37" t="inlineStr">
        <is>
          <t>Check for any pending infra repairs.</t>
        </is>
      </c>
      <c r="G3295" s="37" t="inlineStr">
        <is>
          <t>All is Well</t>
        </is>
      </c>
    </row>
    <row r="3296">
      <c r="A3296" s="37" t="inlineStr">
        <is>
          <t>Phani</t>
        </is>
      </c>
      <c r="B3296" s="37" t="inlineStr">
        <is>
          <t>CFRSI Chennai</t>
        </is>
      </c>
      <c r="C3296" s="37" t="inlineStr">
        <is>
          <t>CFRSI Tech</t>
        </is>
      </c>
      <c r="D3296" s="37" t="inlineStr">
        <is>
          <t>2026-07-14</t>
        </is>
      </c>
      <c r="E3296" s="37" t="inlineStr">
        <is>
          <t>Infra Check</t>
        </is>
      </c>
      <c r="F3296" s="37" t="inlineStr">
        <is>
          <t>Check whether any fire extinguishers have expired (check the needle and expiry date both).</t>
        </is>
      </c>
      <c r="G3296" s="37" t="inlineStr">
        <is>
          <t>All is Well</t>
        </is>
      </c>
    </row>
    <row r="3297">
      <c r="A3297" s="37" t="inlineStr">
        <is>
          <t>Phani</t>
        </is>
      </c>
      <c r="B3297" s="37" t="inlineStr">
        <is>
          <t>CFRSI Chennai</t>
        </is>
      </c>
      <c r="C3297" s="37" t="inlineStr">
        <is>
          <t>CFRSI Tech</t>
        </is>
      </c>
      <c r="D3297" s="37" t="inlineStr">
        <is>
          <t>2026-07-14</t>
        </is>
      </c>
      <c r="E3297" s="37" t="inlineStr">
        <is>
          <t>Infra Check</t>
        </is>
      </c>
      <c r="F3297" s="37" t="inlineStr">
        <is>
          <t>Check basic cleanliness of the washrooms and the centre.</t>
        </is>
      </c>
      <c r="G3297" s="37" t="inlineStr">
        <is>
          <t>All is Well</t>
        </is>
      </c>
    </row>
    <row r="3298">
      <c r="A3298" s="37" t="inlineStr">
        <is>
          <t>Phani</t>
        </is>
      </c>
      <c r="B3298" s="37" t="inlineStr">
        <is>
          <t>CFRSI Chennai</t>
        </is>
      </c>
      <c r="C3298" s="37" t="inlineStr">
        <is>
          <t>CFRSI Tech</t>
        </is>
      </c>
      <c r="D3298" s="37" t="inlineStr">
        <is>
          <t>2026-07-14</t>
        </is>
      </c>
      <c r="E3298" s="37" t="inlineStr">
        <is>
          <t>Infra Check</t>
        </is>
      </c>
      <c r="F3298" s="37" t="inlineStr">
        <is>
          <t>Confirm the correct program and partner logos are displayed.</t>
        </is>
      </c>
      <c r="G3298" s="37" t="inlineStr">
        <is>
          <t>All is Well</t>
        </is>
      </c>
    </row>
    <row r="3299">
      <c r="A3299" s="37" t="inlineStr">
        <is>
          <t>Phani</t>
        </is>
      </c>
      <c r="B3299" s="37" t="inlineStr">
        <is>
          <t>CFRSI Chennai</t>
        </is>
      </c>
      <c r="C3299" s="37" t="inlineStr">
        <is>
          <t>CFRSI Tech</t>
        </is>
      </c>
      <c r="D3299" s="37" t="inlineStr">
        <is>
          <t>2026-07-14</t>
        </is>
      </c>
      <c r="E3299" s="37" t="inlineStr">
        <is>
          <t>Infra Check</t>
        </is>
      </c>
      <c r="F3299" s="37" t="inlineStr">
        <is>
          <t>Check the status of digital infra — PCs, smartboards, tablets, laptops, etc.</t>
        </is>
      </c>
      <c r="G3299" s="37" t="inlineStr">
        <is>
          <t>All is Well</t>
        </is>
      </c>
    </row>
    <row r="3300">
      <c r="A3300" s="37" t="inlineStr">
        <is>
          <t>Phani</t>
        </is>
      </c>
      <c r="B3300" s="37" t="inlineStr">
        <is>
          <t>CFRSI Chennai</t>
        </is>
      </c>
      <c r="C3300" s="37" t="inlineStr">
        <is>
          <t>CFRSI Tech</t>
        </is>
      </c>
      <c r="D3300" s="37" t="inlineStr">
        <is>
          <t>2026-07-14</t>
        </is>
      </c>
      <c r="E3300" s="37" t="inlineStr">
        <is>
          <t>Infra Check</t>
        </is>
      </c>
      <c r="F3300" s="37" t="inlineStr">
        <is>
          <t>Make a quick hostel visit; have lunch there if possible to test the food quality.</t>
        </is>
      </c>
      <c r="G3300" s="37" t="inlineStr">
        <is>
          <t>Not Applicable</t>
        </is>
      </c>
    </row>
    <row r="3301">
      <c r="A3301" s="37" t="inlineStr">
        <is>
          <t>Phani</t>
        </is>
      </c>
      <c r="B3301" s="37" t="inlineStr">
        <is>
          <t>CFRSI Chennai</t>
        </is>
      </c>
      <c r="C3301" s="37" t="inlineStr">
        <is>
          <t>CFRSI Tech</t>
        </is>
      </c>
      <c r="D3301" s="37" t="inlineStr">
        <is>
          <t>2026-07-14</t>
        </is>
      </c>
      <c r="E3301" s="37" t="inlineStr">
        <is>
          <t>Process Check</t>
        </is>
      </c>
      <c r="F3301" s="37" t="inlineStr">
        <is>
          <t>Refer to the activity planner — check if any activities are delayed.</t>
        </is>
      </c>
      <c r="G3301" s="37" t="inlineStr">
        <is>
          <t>Not Applicable</t>
        </is>
      </c>
    </row>
    <row r="3302">
      <c r="A3302" s="37" t="inlineStr">
        <is>
          <t>Phani</t>
        </is>
      </c>
      <c r="B3302" s="37" t="inlineStr">
        <is>
          <t>CFRSI Chennai</t>
        </is>
      </c>
      <c r="C3302" s="37" t="inlineStr">
        <is>
          <t>CFRSI Tech</t>
        </is>
      </c>
      <c r="D3302" s="37" t="inlineStr">
        <is>
          <t>2026-07-14</t>
        </is>
      </c>
      <c r="E3302" s="37" t="inlineStr">
        <is>
          <t>Process Check</t>
        </is>
      </c>
      <c r="F3302" s="37" t="inlineStr">
        <is>
          <t>Check planning for the next batch-start announcement.</t>
        </is>
      </c>
      <c r="G3302" s="37" t="inlineStr">
        <is>
          <t>All is Well</t>
        </is>
      </c>
    </row>
    <row r="3303">
      <c r="A3303" s="37" t="inlineStr">
        <is>
          <t>Phani</t>
        </is>
      </c>
      <c r="B3303" s="37" t="inlineStr">
        <is>
          <t>CFRSI Chennai</t>
        </is>
      </c>
      <c r="C3303" s="37" t="inlineStr">
        <is>
          <t>CFRSI Tech</t>
        </is>
      </c>
      <c r="D3303" s="37" t="inlineStr">
        <is>
          <t>2026-07-14</t>
        </is>
      </c>
      <c r="E3303" s="37" t="inlineStr">
        <is>
          <t>Process Check</t>
        </is>
      </c>
      <c r="F3303" s="37" t="inlineStr">
        <is>
          <t>Check if any hiring is delayed and plan a resolution.</t>
        </is>
      </c>
      <c r="G3303" s="37" t="inlineStr">
        <is>
          <t>All is Well</t>
        </is>
      </c>
    </row>
    <row r="3304">
      <c r="A3304" s="37" t="inlineStr">
        <is>
          <t>Phani</t>
        </is>
      </c>
      <c r="B3304" s="37" t="inlineStr">
        <is>
          <t>CFRSI Chennai</t>
        </is>
      </c>
      <c r="C3304" s="37" t="inlineStr">
        <is>
          <t>CFRSI Tech</t>
        </is>
      </c>
      <c r="D3304" s="37" t="inlineStr">
        <is>
          <t>2026-07-14</t>
        </is>
      </c>
      <c r="E3304" s="37" t="inlineStr">
        <is>
          <t>Process Check</t>
        </is>
      </c>
      <c r="F3304" s="37" t="inlineStr">
        <is>
          <t>Check the CA’s diary — is CA guided daily by the AH during planning days?</t>
        </is>
      </c>
      <c r="G3304" s="37" t="inlineStr">
        <is>
          <t>All is Well</t>
        </is>
      </c>
    </row>
    <row r="3305">
      <c r="A3305" s="37" t="inlineStr">
        <is>
          <t>Phani</t>
        </is>
      </c>
      <c r="B3305" s="37" t="inlineStr">
        <is>
          <t>CFRSI Chennai</t>
        </is>
      </c>
      <c r="C3305" s="37" t="inlineStr">
        <is>
          <t>CFRSI Tech</t>
        </is>
      </c>
      <c r="D3305" s="37" t="inlineStr">
        <is>
          <t>2026-07-14</t>
        </is>
      </c>
      <c r="E3305" s="37" t="inlineStr">
        <is>
          <t>Process Check</t>
        </is>
      </c>
      <c r="F3305" s="37" t="inlineStr">
        <is>
          <t>Check the AH is regularly meeting employers (in person and online) and updating the centre’s Top 20 Employer format.</t>
        </is>
      </c>
      <c r="G3305" s="37" t="inlineStr">
        <is>
          <t>Need Improvement</t>
        </is>
      </c>
    </row>
    <row r="3306">
      <c r="A3306" s="37" t="inlineStr">
        <is>
          <t>Phani</t>
        </is>
      </c>
      <c r="B3306" s="37" t="inlineStr">
        <is>
          <t>CFRSI Chennai</t>
        </is>
      </c>
      <c r="C3306" s="37" t="inlineStr">
        <is>
          <t>CFRSI Tech</t>
        </is>
      </c>
      <c r="D3306" s="37" t="inlineStr">
        <is>
          <t>2026-07-14</t>
        </is>
      </c>
      <c r="E3306" s="37" t="inlineStr">
        <is>
          <t>Process Check</t>
        </is>
      </c>
      <c r="F3306" s="37" t="inlineStr">
        <is>
          <t>Confirm all new employers are registered on portal as per new process.</t>
        </is>
      </c>
      <c r="G3306" s="37" t="inlineStr">
        <is>
          <t>All is Well</t>
        </is>
      </c>
    </row>
    <row r="3307">
      <c r="A3307" s="37" t="inlineStr">
        <is>
          <t>Phani</t>
        </is>
      </c>
      <c r="B3307" s="37" t="inlineStr">
        <is>
          <t>CFRSI Chennai</t>
        </is>
      </c>
      <c r="C3307" s="37" t="inlineStr">
        <is>
          <t>CFRSI Tech</t>
        </is>
      </c>
      <c r="D3307" s="37" t="inlineStr">
        <is>
          <t>2026-07-14</t>
        </is>
      </c>
      <c r="E3307" s="37" t="inlineStr">
        <is>
          <t>Process Check</t>
        </is>
      </c>
      <c r="F3307" s="37" t="inlineStr">
        <is>
          <t>Confirm 100% of enrolled students undergone screening (for technical courses).</t>
        </is>
      </c>
      <c r="G3307" s="37" t="inlineStr">
        <is>
          <t>All is Well</t>
        </is>
      </c>
    </row>
    <row r="3308">
      <c r="A3308" s="37" t="inlineStr">
        <is>
          <t>Phani</t>
        </is>
      </c>
      <c r="B3308" s="37" t="inlineStr">
        <is>
          <t>CFRSI Chennai</t>
        </is>
      </c>
      <c r="C3308" s="37" t="inlineStr">
        <is>
          <t>CFRSI Tech</t>
        </is>
      </c>
      <c r="D3308" s="37" t="inlineStr">
        <is>
          <t>2026-07-14</t>
        </is>
      </c>
      <c r="E3308" s="37" t="inlineStr">
        <is>
          <t>Process Check</t>
        </is>
      </c>
      <c r="F3308" s="37" t="inlineStr">
        <is>
          <t>Confirm ESA is done (in GROW full ESA and in Technical courses relevant sections of Core Employability Part).</t>
        </is>
      </c>
      <c r="G3308" s="37" t="inlineStr">
        <is>
          <t>Need Improvement</t>
        </is>
      </c>
    </row>
    <row r="3309">
      <c r="A3309" s="37" t="inlineStr">
        <is>
          <t>Phani</t>
        </is>
      </c>
      <c r="B3309" s="37" t="inlineStr">
        <is>
          <t>CFRSI Chennai</t>
        </is>
      </c>
      <c r="C3309" s="37" t="inlineStr">
        <is>
          <t>CFRSI Tech</t>
        </is>
      </c>
      <c r="D3309" s="37" t="inlineStr">
        <is>
          <t>2026-07-14</t>
        </is>
      </c>
      <c r="E3309" s="37" t="inlineStr">
        <is>
          <t>Process Check</t>
        </is>
      </c>
      <c r="F3309" s="37" t="inlineStr">
        <is>
          <t>Check is AH giving capstone project in GROW Tech.</t>
        </is>
      </c>
      <c r="G3309" s="37" t="inlineStr">
        <is>
          <t>All is Well</t>
        </is>
      </c>
    </row>
    <row r="3310">
      <c r="A3310" s="37" t="inlineStr">
        <is>
          <t>Phani</t>
        </is>
      </c>
      <c r="B3310" s="37" t="inlineStr">
        <is>
          <t>CFRSI Chennai</t>
        </is>
      </c>
      <c r="C3310" s="37" t="inlineStr">
        <is>
          <t>CFRSI Tech</t>
        </is>
      </c>
      <c r="D3310" s="37" t="inlineStr">
        <is>
          <t>2026-07-14</t>
        </is>
      </c>
      <c r="E3310" s="37" t="inlineStr">
        <is>
          <t>Process Check</t>
        </is>
      </c>
      <c r="F3310" s="37" t="inlineStr">
        <is>
          <t>Check is AH planning OJT as per guidelines and proofs are collected for technical courses.</t>
        </is>
      </c>
      <c r="G3310" s="37" t="inlineStr">
        <is>
          <t>Not Applicable</t>
        </is>
      </c>
    </row>
    <row r="3311">
      <c r="A3311" s="37" t="inlineStr">
        <is>
          <t>Phani</t>
        </is>
      </c>
      <c r="B3311" s="37" t="inlineStr">
        <is>
          <t>CFRSI Chennai</t>
        </is>
      </c>
      <c r="C3311" s="37" t="inlineStr">
        <is>
          <t>CFRSI Tech</t>
        </is>
      </c>
      <c r="D3311" s="37" t="inlineStr">
        <is>
          <t>2026-07-14</t>
        </is>
      </c>
      <c r="E3311" s="37" t="inlineStr">
        <is>
          <t>Process Check</t>
        </is>
      </c>
      <c r="F3311" s="37" t="inlineStr">
        <is>
          <t>Check are trainers contacting aspirants to find reason for their absenteeism of more than 1 day.</t>
        </is>
      </c>
      <c r="G3311" s="37" t="inlineStr">
        <is>
          <t>All is Well</t>
        </is>
      </c>
    </row>
    <row r="3312">
      <c r="A3312" s="37" t="inlineStr">
        <is>
          <t>Phani</t>
        </is>
      </c>
      <c r="B3312" s="37" t="inlineStr">
        <is>
          <t>CFRSI Chennai</t>
        </is>
      </c>
      <c r="C3312" s="37" t="inlineStr">
        <is>
          <t>CFRSI Tech</t>
        </is>
      </c>
      <c r="D3312" s="37" t="inlineStr">
        <is>
          <t>2026-07-14</t>
        </is>
      </c>
      <c r="E3312" s="37" t="inlineStr">
        <is>
          <t>Process Check</t>
        </is>
      </c>
      <c r="F3312" s="37" t="inlineStr">
        <is>
          <t>Check the AH plans monthly enrolment and placement numbers by the 3rd of each month and shares them with second level managers.</t>
        </is>
      </c>
      <c r="G3312" s="37" t="inlineStr">
        <is>
          <t>All is Well</t>
        </is>
      </c>
    </row>
    <row r="3313">
      <c r="A3313" s="37" t="inlineStr">
        <is>
          <t>Phani</t>
        </is>
      </c>
      <c r="B3313" s="37" t="inlineStr">
        <is>
          <t>CFRSI Chennai</t>
        </is>
      </c>
      <c r="C3313" s="37" t="inlineStr">
        <is>
          <t>CFRSI Tech</t>
        </is>
      </c>
      <c r="D3313" s="37" t="inlineStr">
        <is>
          <t>2026-07-14</t>
        </is>
      </c>
      <c r="E3313" s="37" t="inlineStr">
        <is>
          <t>Process Check</t>
        </is>
      </c>
      <c r="F3313" s="37" t="inlineStr">
        <is>
          <t>Check trainers submit aspirants’ placement interest areas to the AH by the batch’s 25th day (in GROW).</t>
        </is>
      </c>
      <c r="G3313" s="37" t="inlineStr">
        <is>
          <t>Not Applicable</t>
        </is>
      </c>
    </row>
    <row r="3314">
      <c r="A3314" s="37" t="inlineStr">
        <is>
          <t>Phani</t>
        </is>
      </c>
      <c r="B3314" s="37" t="inlineStr">
        <is>
          <t>CFRSI Chennai</t>
        </is>
      </c>
      <c r="C3314" s="37" t="inlineStr">
        <is>
          <t>CFRSI Tech</t>
        </is>
      </c>
      <c r="D3314" s="37" t="inlineStr">
        <is>
          <t>2026-07-14</t>
        </is>
      </c>
      <c r="E3314" s="37" t="inlineStr">
        <is>
          <t>Process Check</t>
        </is>
      </c>
      <c r="F3314" s="37" t="inlineStr">
        <is>
          <t>Ckeck For technical programs, placement is done only in technical jobs,on which aspirants are trained and relevant emplyers are identified by 45th day.</t>
        </is>
      </c>
      <c r="G3314" s="37" t="inlineStr">
        <is>
          <t>Not Applicable</t>
        </is>
      </c>
    </row>
    <row r="3315">
      <c r="A3315" s="37" t="inlineStr">
        <is>
          <t>Phani</t>
        </is>
      </c>
      <c r="B3315" s="37" t="inlineStr">
        <is>
          <t>CFRSI Chennai</t>
        </is>
      </c>
      <c r="C3315" s="37" t="inlineStr">
        <is>
          <t>CFRSI Tech</t>
        </is>
      </c>
      <c r="D3315" s="37" t="inlineStr">
        <is>
          <t>2026-07-14</t>
        </is>
      </c>
      <c r="E3315" s="37" t="inlineStr">
        <is>
          <t>Process Check</t>
        </is>
      </c>
      <c r="F3315" s="37" t="inlineStr">
        <is>
          <t>Check the AH follows EP guidelines and minimum benchmark salary guidelines.</t>
        </is>
      </c>
      <c r="G3315" s="37" t="inlineStr">
        <is>
          <t>Not Applicable</t>
        </is>
      </c>
    </row>
    <row r="3316">
      <c r="A3316" s="37" t="inlineStr">
        <is>
          <t>Phani</t>
        </is>
      </c>
      <c r="B3316" s="37" t="inlineStr">
        <is>
          <t>CFRSI Chennai</t>
        </is>
      </c>
      <c r="C3316" s="37" t="inlineStr">
        <is>
          <t>CFRSI Tech</t>
        </is>
      </c>
      <c r="D3316" s="37" t="inlineStr">
        <is>
          <t>2026-07-14</t>
        </is>
      </c>
      <c r="E3316" s="37" t="inlineStr">
        <is>
          <t>Process Check</t>
        </is>
      </c>
      <c r="F3316" s="37" t="inlineStr">
        <is>
          <t>Check that AH is enrolling only the right traget group in the program -as per the defined target.</t>
        </is>
      </c>
      <c r="G3316" s="37" t="inlineStr">
        <is>
          <t>All is Well</t>
        </is>
      </c>
    </row>
    <row r="3317">
      <c r="A3317" s="37" t="inlineStr">
        <is>
          <t>Phani</t>
        </is>
      </c>
      <c r="B3317" s="37" t="inlineStr">
        <is>
          <t>CFRSI Chennai</t>
        </is>
      </c>
      <c r="C3317" s="37" t="inlineStr">
        <is>
          <t>CFRSI Tech</t>
        </is>
      </c>
      <c r="D3317" s="37" t="inlineStr">
        <is>
          <t>2026-07-14</t>
        </is>
      </c>
      <c r="E3317" s="37" t="inlineStr">
        <is>
          <t>Process Check</t>
        </is>
      </c>
      <c r="F3317" s="37" t="inlineStr">
        <is>
          <t>Check the AH announces the next batch-start date by the 3rd of the month on all notice boards — focus on Zero-Day start.</t>
        </is>
      </c>
      <c r="G3317" s="37" t="inlineStr">
        <is>
          <t>All is Well</t>
        </is>
      </c>
    </row>
    <row r="3318">
      <c r="A3318" s="37" t="inlineStr">
        <is>
          <t>Phani</t>
        </is>
      </c>
      <c r="B3318" s="37" t="inlineStr">
        <is>
          <t>CFRSI Chennai</t>
        </is>
      </c>
      <c r="C3318" s="37" t="inlineStr">
        <is>
          <t>CFRSI Tech</t>
        </is>
      </c>
      <c r="D3318" s="37" t="inlineStr">
        <is>
          <t>2026-07-14</t>
        </is>
      </c>
      <c r="E3318" s="37" t="inlineStr">
        <is>
          <t>Process Check</t>
        </is>
      </c>
      <c r="F3318" s="37" t="inlineStr">
        <is>
          <t>Check the Aspirant Mock Interview Score Tracker is updated after every mock interview in the L&amp;D Google Sheet.</t>
        </is>
      </c>
      <c r="G3318" s="37" t="inlineStr">
        <is>
          <t>Not Applicable</t>
        </is>
      </c>
    </row>
    <row r="3319">
      <c r="A3319" s="37" t="inlineStr">
        <is>
          <t>Phani</t>
        </is>
      </c>
      <c r="B3319" s="37" t="inlineStr">
        <is>
          <t>CFRSI Chennai</t>
        </is>
      </c>
      <c r="C3319" s="37" t="inlineStr">
        <is>
          <t>CFRSI Tech</t>
        </is>
      </c>
      <c r="D3319" s="37" t="inlineStr">
        <is>
          <t>2026-07-14</t>
        </is>
      </c>
      <c r="E3319" s="37" t="inlineStr">
        <is>
          <t>Process Check</t>
        </is>
      </c>
      <c r="F3319" s="37" t="inlineStr">
        <is>
          <t>Confirm NPS (Net Promoter Score) is collected at MSDF centres.</t>
        </is>
      </c>
      <c r="G3319" s="37" t="inlineStr">
        <is>
          <t>Not Applicable</t>
        </is>
      </c>
    </row>
    <row r="3320">
      <c r="A3320" s="37" t="inlineStr">
        <is>
          <t>Phani</t>
        </is>
      </c>
      <c r="B3320" s="37" t="inlineStr">
        <is>
          <t>CFRSI Chennai</t>
        </is>
      </c>
      <c r="C3320" s="37" t="inlineStr">
        <is>
          <t>CFRSI Tech</t>
        </is>
      </c>
      <c r="D3320" s="37" t="inlineStr">
        <is>
          <t>2026-07-14</t>
        </is>
      </c>
      <c r="E3320" s="37" t="inlineStr">
        <is>
          <t>Process Check</t>
        </is>
      </c>
      <c r="F3320" s="37" t="inlineStr">
        <is>
          <t>Confirm that QAE is collecting student feedback for every batch.</t>
        </is>
      </c>
      <c r="G3320" s="37" t="inlineStr">
        <is>
          <t>All is Well</t>
        </is>
      </c>
    </row>
    <row r="3321">
      <c r="A3321" s="37" t="inlineStr">
        <is>
          <t>Phani</t>
        </is>
      </c>
      <c r="B3321" s="37" t="inlineStr">
        <is>
          <t>CFRSI Chennai</t>
        </is>
      </c>
      <c r="C3321" s="37" t="inlineStr">
        <is>
          <t>CFRSI Tech</t>
        </is>
      </c>
      <c r="D3321" s="37" t="inlineStr">
        <is>
          <t>2026-07-14</t>
        </is>
      </c>
      <c r="E3321" s="37" t="inlineStr">
        <is>
          <t>Process Check</t>
        </is>
      </c>
      <c r="F3321" s="37" t="inlineStr">
        <is>
          <t>Confirm all centre teams have completed the GROW Manual Course on Skillfy — ask for achievement certificates.</t>
        </is>
      </c>
      <c r="G3321" s="37" t="inlineStr">
        <is>
          <t>All is Well</t>
        </is>
      </c>
    </row>
    <row r="3322">
      <c r="A3322" s="37" t="inlineStr">
        <is>
          <t>Phani</t>
        </is>
      </c>
      <c r="B3322" s="37" t="inlineStr">
        <is>
          <t>CFRSI Chennai</t>
        </is>
      </c>
      <c r="C3322" s="37" t="inlineStr">
        <is>
          <t>CFRSI Tech</t>
        </is>
      </c>
      <c r="D3322" s="37" t="inlineStr">
        <is>
          <t>2026-07-14</t>
        </is>
      </c>
      <c r="E3322" s="37" t="inlineStr">
        <is>
          <t>Process Check</t>
        </is>
      </c>
      <c r="F3322" s="37" t="inlineStr">
        <is>
          <t>Check AH holds a quality weekly team meeting, documents action points in the weekly meeting format, and sends you a photo on WhatsApp.</t>
        </is>
      </c>
      <c r="G3322" s="37" t="inlineStr">
        <is>
          <t>Need Improvement</t>
        </is>
      </c>
    </row>
    <row r="3323">
      <c r="A3323" s="37" t="inlineStr">
        <is>
          <t>Phani</t>
        </is>
      </c>
      <c r="B3323" s="37" t="inlineStr">
        <is>
          <t>CFRSI Chennai</t>
        </is>
      </c>
      <c r="C3323" s="37" t="inlineStr">
        <is>
          <t>CFRSI Tech</t>
        </is>
      </c>
      <c r="D3323" s="37" t="inlineStr">
        <is>
          <t>2026-07-14</t>
        </is>
      </c>
      <c r="E3323" s="37" t="inlineStr">
        <is>
          <t>Aspirant Interaction</t>
        </is>
      </c>
      <c r="F3323" s="37" t="inlineStr">
        <is>
          <t>Ask aspirants about the session plan — confirm training is happening as planned?</t>
        </is>
      </c>
      <c r="G3323" s="37" t="inlineStr">
        <is>
          <t>All is Well</t>
        </is>
      </c>
    </row>
    <row r="3324">
      <c r="A3324" s="37" t="inlineStr">
        <is>
          <t>Phani</t>
        </is>
      </c>
      <c r="B3324" s="37" t="inlineStr">
        <is>
          <t>CFRSI Chennai</t>
        </is>
      </c>
      <c r="C3324" s="37" t="inlineStr">
        <is>
          <t>CFRSI Tech</t>
        </is>
      </c>
      <c r="D3324" s="37" t="inlineStr">
        <is>
          <t>2026-07-14</t>
        </is>
      </c>
      <c r="E3324" s="37" t="inlineStr">
        <is>
          <t>Aspirant Interaction</t>
        </is>
      </c>
      <c r="F3324" s="37" t="inlineStr">
        <is>
          <t>Ask about the quality of Core Employability component delivery (technical centres) and who delivers it.</t>
        </is>
      </c>
      <c r="G3324" s="37" t="inlineStr">
        <is>
          <t>Need Improvement</t>
        </is>
      </c>
    </row>
    <row r="3325">
      <c r="A3325" s="37" t="inlineStr">
        <is>
          <t>Phani</t>
        </is>
      </c>
      <c r="B3325" s="37" t="inlineStr">
        <is>
          <t>CFRSI Chennai</t>
        </is>
      </c>
      <c r="C3325" s="37" t="inlineStr">
        <is>
          <t>CFRSI Tech</t>
        </is>
      </c>
      <c r="D3325" s="37" t="inlineStr">
        <is>
          <t>2026-07-14</t>
        </is>
      </c>
      <c r="E3325" s="37" t="inlineStr">
        <is>
          <t>Aspirant Interaction</t>
        </is>
      </c>
      <c r="F3325" s="37" t="inlineStr">
        <is>
          <t>Ask whether they are aware of the referral scheme?</t>
        </is>
      </c>
      <c r="G3325" s="37" t="inlineStr">
        <is>
          <t>All is Well</t>
        </is>
      </c>
    </row>
    <row r="3326">
      <c r="A3326" s="37" t="inlineStr">
        <is>
          <t>Phani</t>
        </is>
      </c>
      <c r="B3326" s="37" t="inlineStr">
        <is>
          <t>CFRSI Chennai</t>
        </is>
      </c>
      <c r="C3326" s="37" t="inlineStr">
        <is>
          <t>CFRSI Tech</t>
        </is>
      </c>
      <c r="D3326" s="37" t="inlineStr">
        <is>
          <t>2026-07-14</t>
        </is>
      </c>
      <c r="E3326" s="37" t="inlineStr">
        <is>
          <t>Aspirant Interaction</t>
        </is>
      </c>
      <c r="F3326" s="37" t="inlineStr">
        <is>
          <t>Ask whether the AH explained the importance of the offer letter and sharing it with us once received for reporting purposes?</t>
        </is>
      </c>
      <c r="G3326" s="37" t="inlineStr">
        <is>
          <t>All is Well</t>
        </is>
      </c>
    </row>
    <row r="3327">
      <c r="A3327" s="37" t="inlineStr">
        <is>
          <t>Phani</t>
        </is>
      </c>
      <c r="B3327" s="37" t="inlineStr">
        <is>
          <t>CFRSI Chennai</t>
        </is>
      </c>
      <c r="C3327" s="37" t="inlineStr">
        <is>
          <t>CFRSI Tech</t>
        </is>
      </c>
      <c r="D3327" s="37" t="inlineStr">
        <is>
          <t>2026-07-14</t>
        </is>
      </c>
      <c r="E3327" s="37" t="inlineStr">
        <is>
          <t>Aspirant Interaction</t>
        </is>
      </c>
      <c r="F3327" s="37" t="inlineStr">
        <is>
          <t>Ask how many are not interested in jobs — and if so, why they enrolled in the programme?</t>
        </is>
      </c>
      <c r="G3327" s="37" t="inlineStr">
        <is>
          <t>All is Well</t>
        </is>
      </c>
    </row>
    <row r="3328">
      <c r="A3328" s="37" t="inlineStr">
        <is>
          <t>Phani</t>
        </is>
      </c>
      <c r="B3328" s="37" t="inlineStr">
        <is>
          <t>CFRSI Chennai</t>
        </is>
      </c>
      <c r="C3328" s="37" t="inlineStr">
        <is>
          <t>CFRSI Tech</t>
        </is>
      </c>
      <c r="D3328" s="37" t="inlineStr">
        <is>
          <t>2026-07-14</t>
        </is>
      </c>
      <c r="E3328" s="37" t="inlineStr">
        <is>
          <t>Aspirant Interaction</t>
        </is>
      </c>
      <c r="F3328" s="37" t="inlineStr">
        <is>
          <t>Ask whether they were told the kind of job they would get during counselling?</t>
        </is>
      </c>
      <c r="G3328" s="37" t="inlineStr">
        <is>
          <t>All is Well</t>
        </is>
      </c>
    </row>
    <row r="3329">
      <c r="A3329" s="37" t="inlineStr">
        <is>
          <t>Phani</t>
        </is>
      </c>
      <c r="B3329" s="37" t="inlineStr">
        <is>
          <t>CFRSI Chennai</t>
        </is>
      </c>
      <c r="C3329" s="37" t="inlineStr">
        <is>
          <t>CFRSI Tech</t>
        </is>
      </c>
      <c r="D3329" s="37" t="inlineStr">
        <is>
          <t>2026-07-14</t>
        </is>
      </c>
      <c r="E3329" s="37" t="inlineStr">
        <is>
          <t>Aspirant Interaction</t>
        </is>
      </c>
      <c r="F3329" s="37" t="inlineStr">
        <is>
          <t>Ask whether they have been given LMS access?</t>
        </is>
      </c>
      <c r="G3329" s="37" t="inlineStr">
        <is>
          <t>Not Applicable</t>
        </is>
      </c>
    </row>
    <row r="3330">
      <c r="A3330" s="37" t="inlineStr">
        <is>
          <t>Phani</t>
        </is>
      </c>
      <c r="B3330" s="37" t="inlineStr">
        <is>
          <t>CFRSI Chennai</t>
        </is>
      </c>
      <c r="C3330" s="37" t="inlineStr">
        <is>
          <t>CFRSI Tech</t>
        </is>
      </c>
      <c r="D3330" s="37" t="inlineStr">
        <is>
          <t>2026-07-14</t>
        </is>
      </c>
      <c r="E3330" s="37" t="inlineStr">
        <is>
          <t>Aspirant Interaction</t>
        </is>
      </c>
      <c r="F3330" s="37" t="inlineStr">
        <is>
          <t>Ask whether anyone asked them for money for training or placement?</t>
        </is>
      </c>
      <c r="G3330" s="37" t="inlineStr">
        <is>
          <t>All is Well</t>
        </is>
      </c>
    </row>
    <row r="3331">
      <c r="A3331" s="37" t="inlineStr">
        <is>
          <t>Phani</t>
        </is>
      </c>
      <c r="B3331" s="37" t="inlineStr">
        <is>
          <t>CFRSI Chennai</t>
        </is>
      </c>
      <c r="C3331" s="37" t="inlineStr">
        <is>
          <t>CFRSI Tech</t>
        </is>
      </c>
      <c r="D3331" s="37" t="inlineStr">
        <is>
          <t>2026-07-14</t>
        </is>
      </c>
      <c r="E3331" s="37" t="inlineStr">
        <is>
          <t>Aspirant Interaction</t>
        </is>
      </c>
      <c r="F3331" s="37" t="inlineStr">
        <is>
          <t>Ask to show their mobile phones — are they enrolled on Skillfy? If not, get them enrolled and give written feedback to trainers and the AH in your presence.</t>
        </is>
      </c>
      <c r="G3331" s="37" t="inlineStr">
        <is>
          <t>All is Well</t>
        </is>
      </c>
    </row>
    <row r="3332">
      <c r="A3332" s="37" t="inlineStr">
        <is>
          <t>Phani</t>
        </is>
      </c>
      <c r="B3332" s="37" t="inlineStr">
        <is>
          <t>CFRSI Chennai</t>
        </is>
      </c>
      <c r="C3332" s="37" t="inlineStr">
        <is>
          <t>CFRSI Tech</t>
        </is>
      </c>
      <c r="D3332" s="37" t="inlineStr">
        <is>
          <t>2026-07-14</t>
        </is>
      </c>
      <c r="E3332" s="37" t="inlineStr">
        <is>
          <t>Aspirant Interaction</t>
        </is>
      </c>
      <c r="F3332" s="37" t="inlineStr">
        <is>
          <t>Ask about the quality of the hostel and any issues they face.</t>
        </is>
      </c>
      <c r="G3332" s="37" t="inlineStr">
        <is>
          <t>Not Applicable</t>
        </is>
      </c>
    </row>
    <row r="3333">
      <c r="A3333" s="37" t="inlineStr">
        <is>
          <t>Phani</t>
        </is>
      </c>
      <c r="B3333" s="37" t="inlineStr">
        <is>
          <t>CFRSI Chennai</t>
        </is>
      </c>
      <c r="C3333" s="37" t="inlineStr">
        <is>
          <t>CFRSI Tech</t>
        </is>
      </c>
      <c r="D3333" s="37" t="inlineStr">
        <is>
          <t>2026-07-14</t>
        </is>
      </c>
      <c r="E3333" s="37" t="inlineStr">
        <is>
          <t>Aspirant Interaction</t>
        </is>
      </c>
      <c r="F3333" s="37" t="inlineStr">
        <is>
          <t>Ask a few relevant screening questions to support the 10th-day report and remove non-serious candidates, explaining to them the reasons.</t>
        </is>
      </c>
      <c r="G3333" s="37" t="inlineStr">
        <is>
          <t>All is Well</t>
        </is>
      </c>
    </row>
    <row r="3334">
      <c r="A3334" s="37" t="inlineStr">
        <is>
          <t>Phani</t>
        </is>
      </c>
      <c r="B3334" s="37" t="inlineStr">
        <is>
          <t>Grow Green Ambattur</t>
        </is>
      </c>
      <c r="C3334" s="37" t="inlineStr">
        <is>
          <t>Grow Green EV</t>
        </is>
      </c>
      <c r="D3334" s="37" t="inlineStr">
        <is>
          <t>2026-07-08</t>
        </is>
      </c>
      <c r="E3334" s="37" t="inlineStr">
        <is>
          <t>Data Check</t>
        </is>
      </c>
      <c r="F3334" s="37" t="inlineStr">
        <is>
          <t>Reach the centre on time (unannounced) — confirm the centre opened on time.</t>
        </is>
      </c>
      <c r="G3334" s="37" t="inlineStr">
        <is>
          <t>All is Well</t>
        </is>
      </c>
    </row>
    <row r="3335">
      <c r="A3335" s="37" t="inlineStr">
        <is>
          <t>Phani</t>
        </is>
      </c>
      <c r="B3335" s="37" t="inlineStr">
        <is>
          <t>Grow Green Ambattur</t>
        </is>
      </c>
      <c r="C3335" s="37" t="inlineStr">
        <is>
          <t>Grow Green EV</t>
        </is>
      </c>
      <c r="D3335" s="37" t="inlineStr">
        <is>
          <t>2026-07-08</t>
        </is>
      </c>
      <c r="E3335" s="37" t="inlineStr">
        <is>
          <t>Data Check</t>
        </is>
      </c>
      <c r="F3335" s="37" t="inlineStr">
        <is>
          <t>Check the staff attendance register, the Google Sheet, and geo-tagged photos for aspirants.</t>
        </is>
      </c>
      <c r="G3335" s="37" t="inlineStr">
        <is>
          <t>All is Well</t>
        </is>
      </c>
    </row>
    <row r="3336">
      <c r="A3336" s="37" t="inlineStr">
        <is>
          <t>Phani</t>
        </is>
      </c>
      <c r="B3336" s="37" t="inlineStr">
        <is>
          <t>Grow Green Ambattur</t>
        </is>
      </c>
      <c r="C3336" s="37" t="inlineStr">
        <is>
          <t>Grow Green EV</t>
        </is>
      </c>
      <c r="D3336" s="37" t="inlineStr">
        <is>
          <t>2026-07-08</t>
        </is>
      </c>
      <c r="E3336" s="37" t="inlineStr">
        <is>
          <t>Data Check</t>
        </is>
      </c>
      <c r="F3336" s="37" t="inlineStr">
        <is>
          <t>Check Counselling and Screening Forms of recently started batches.</t>
        </is>
      </c>
      <c r="G3336" s="37" t="inlineStr">
        <is>
          <t>All is Well</t>
        </is>
      </c>
    </row>
    <row r="3337">
      <c r="A3337" s="37" t="inlineStr">
        <is>
          <t>Phani</t>
        </is>
      </c>
      <c r="B3337" s="37" t="inlineStr">
        <is>
          <t>Grow Green Ambattur</t>
        </is>
      </c>
      <c r="C3337" s="37" t="inlineStr">
        <is>
          <t>Grow Green EV</t>
        </is>
      </c>
      <c r="D3337" s="37" t="inlineStr">
        <is>
          <t>2026-07-08</t>
        </is>
      </c>
      <c r="E3337" s="37" t="inlineStr">
        <is>
          <t>Data Check</t>
        </is>
      </c>
      <c r="F3337" s="37" t="inlineStr">
        <is>
          <t>Check Aspirant Registration Forms and related documents.</t>
        </is>
      </c>
      <c r="G3337" s="37" t="inlineStr">
        <is>
          <t>All is Well</t>
        </is>
      </c>
    </row>
    <row r="3338">
      <c r="A3338" s="37" t="inlineStr">
        <is>
          <t>Phani</t>
        </is>
      </c>
      <c r="B3338" s="37" t="inlineStr">
        <is>
          <t>Grow Green Ambattur</t>
        </is>
      </c>
      <c r="C3338" s="37" t="inlineStr">
        <is>
          <t>Grow Green EV</t>
        </is>
      </c>
      <c r="D3338" s="37" t="inlineStr">
        <is>
          <t>2026-07-08</t>
        </is>
      </c>
      <c r="E3338" s="37" t="inlineStr">
        <is>
          <t>Data Check</t>
        </is>
      </c>
      <c r="F3338" s="37" t="inlineStr">
        <is>
          <t>On the GROW portal, confirm all student profile details and batch updates are currect.</t>
        </is>
      </c>
      <c r="G3338" s="37" t="inlineStr">
        <is>
          <t>All is Well</t>
        </is>
      </c>
    </row>
    <row r="3339">
      <c r="A3339" s="37" t="inlineStr">
        <is>
          <t>Phani</t>
        </is>
      </c>
      <c r="B3339" s="37" t="inlineStr">
        <is>
          <t>Grow Green Ambattur</t>
        </is>
      </c>
      <c r="C3339" s="37" t="inlineStr">
        <is>
          <t>Grow Green EV</t>
        </is>
      </c>
      <c r="D3339" s="37" t="inlineStr">
        <is>
          <t>2026-07-08</t>
        </is>
      </c>
      <c r="E3339" s="37" t="inlineStr">
        <is>
          <t>Data Check</t>
        </is>
      </c>
      <c r="F3339" s="37" t="inlineStr">
        <is>
          <t>Verify placement data — randomly call 3–4 alumni placed in the last 3 months to confirm veracity (random selection is essential).</t>
        </is>
      </c>
      <c r="G3339" s="37" t="inlineStr">
        <is>
          <t>All is Well</t>
        </is>
      </c>
    </row>
    <row r="3340">
      <c r="A3340" s="37" t="inlineStr">
        <is>
          <t>Phani</t>
        </is>
      </c>
      <c r="B3340" s="37" t="inlineStr">
        <is>
          <t>Grow Green Ambattur</t>
        </is>
      </c>
      <c r="C3340" s="37" t="inlineStr">
        <is>
          <t>Grow Green EV</t>
        </is>
      </c>
      <c r="D3340" s="37" t="inlineStr">
        <is>
          <t>2026-07-08</t>
        </is>
      </c>
      <c r="E3340" s="37" t="inlineStr">
        <is>
          <t>Data Check</t>
        </is>
      </c>
      <c r="F3340" s="37" t="inlineStr">
        <is>
          <t>Verify retention — check the Alumni Hand-holding Format is being updated as designed.</t>
        </is>
      </c>
      <c r="G3340" s="37" t="inlineStr">
        <is>
          <t>All is Well</t>
        </is>
      </c>
    </row>
    <row r="3341">
      <c r="A3341" s="37" t="inlineStr">
        <is>
          <t>Phani</t>
        </is>
      </c>
      <c r="B3341" s="37" t="inlineStr">
        <is>
          <t>Grow Green Ambattur</t>
        </is>
      </c>
      <c r="C3341" s="37" t="inlineStr">
        <is>
          <t>Grow Green EV</t>
        </is>
      </c>
      <c r="D3341" s="37" t="inlineStr">
        <is>
          <t>2026-07-08</t>
        </is>
      </c>
      <c r="E3341" s="37" t="inlineStr">
        <is>
          <t>Data Check</t>
        </is>
      </c>
      <c r="F3341" s="37" t="inlineStr">
        <is>
          <t>Check aspirant Hostel Forms are properly filled or not.</t>
        </is>
      </c>
      <c r="G3341" s="37" t="inlineStr">
        <is>
          <t>Need Improvement</t>
        </is>
      </c>
    </row>
    <row r="3342">
      <c r="A3342" s="37" t="inlineStr">
        <is>
          <t>Phani</t>
        </is>
      </c>
      <c r="B3342" s="37" t="inlineStr">
        <is>
          <t>Grow Green Ambattur</t>
        </is>
      </c>
      <c r="C3342" s="37" t="inlineStr">
        <is>
          <t>Grow Green EV</t>
        </is>
      </c>
      <c r="D3342" s="37" t="inlineStr">
        <is>
          <t>2026-07-08</t>
        </is>
      </c>
      <c r="E3342" s="37" t="inlineStr">
        <is>
          <t>Infra Check</t>
        </is>
      </c>
      <c r="F3342" s="37" t="inlineStr">
        <is>
          <t>Check all CCTV cameras; if any are not working, ask the AH to troubleshoot or call the vendor.</t>
        </is>
      </c>
      <c r="G3342" s="37" t="inlineStr">
        <is>
          <t>All is Well</t>
        </is>
      </c>
    </row>
    <row r="3343">
      <c r="A3343" s="37" t="inlineStr">
        <is>
          <t>Phani</t>
        </is>
      </c>
      <c r="B3343" s="37" t="inlineStr">
        <is>
          <t>Grow Green Ambattur</t>
        </is>
      </c>
      <c r="C3343" s="37" t="inlineStr">
        <is>
          <t>Grow Green EV</t>
        </is>
      </c>
      <c r="D3343" s="37" t="inlineStr">
        <is>
          <t>2026-07-08</t>
        </is>
      </c>
      <c r="E3343" s="37" t="inlineStr">
        <is>
          <t>Infra Check</t>
        </is>
      </c>
      <c r="F3343" s="37" t="inlineStr">
        <is>
          <t>Check for any scrap material and get it cleared, with support of Admin</t>
        </is>
      </c>
      <c r="G3343" s="37" t="inlineStr">
        <is>
          <t>All is Well</t>
        </is>
      </c>
    </row>
    <row r="3344">
      <c r="A3344" s="37" t="inlineStr">
        <is>
          <t>Phani</t>
        </is>
      </c>
      <c r="B3344" s="37" t="inlineStr">
        <is>
          <t>Grow Green Ambattur</t>
        </is>
      </c>
      <c r="C3344" s="37" t="inlineStr">
        <is>
          <t>Grow Green EV</t>
        </is>
      </c>
      <c r="D3344" s="37" t="inlineStr">
        <is>
          <t>2026-07-08</t>
        </is>
      </c>
      <c r="E3344" s="37" t="inlineStr">
        <is>
          <t>Infra Check</t>
        </is>
      </c>
      <c r="F3344" s="37" t="inlineStr">
        <is>
          <t>Check for any pending infra repairs.</t>
        </is>
      </c>
      <c r="G3344" s="37" t="inlineStr">
        <is>
          <t>All is Well</t>
        </is>
      </c>
    </row>
    <row r="3345">
      <c r="A3345" s="37" t="inlineStr">
        <is>
          <t>Phani</t>
        </is>
      </c>
      <c r="B3345" s="37" t="inlineStr">
        <is>
          <t>Grow Green Ambattur</t>
        </is>
      </c>
      <c r="C3345" s="37" t="inlineStr">
        <is>
          <t>Grow Green EV</t>
        </is>
      </c>
      <c r="D3345" s="37" t="inlineStr">
        <is>
          <t>2026-07-08</t>
        </is>
      </c>
      <c r="E3345" s="37" t="inlineStr">
        <is>
          <t>Infra Check</t>
        </is>
      </c>
      <c r="F3345" s="37" t="inlineStr">
        <is>
          <t>Check whether any fire extinguishers have expired (check the needle and expiry date both).</t>
        </is>
      </c>
      <c r="G3345" s="37" t="inlineStr">
        <is>
          <t>All is Well</t>
        </is>
      </c>
    </row>
    <row r="3346">
      <c r="A3346" s="37" t="inlineStr">
        <is>
          <t>Phani</t>
        </is>
      </c>
      <c r="B3346" s="37" t="inlineStr">
        <is>
          <t>Grow Green Ambattur</t>
        </is>
      </c>
      <c r="C3346" s="37" t="inlineStr">
        <is>
          <t>Grow Green EV</t>
        </is>
      </c>
      <c r="D3346" s="37" t="inlineStr">
        <is>
          <t>2026-07-08</t>
        </is>
      </c>
      <c r="E3346" s="37" t="inlineStr">
        <is>
          <t>Infra Check</t>
        </is>
      </c>
      <c r="F3346" s="37" t="inlineStr">
        <is>
          <t>Check basic cleanliness of the washrooms and the centre.</t>
        </is>
      </c>
      <c r="G3346" s="37" t="inlineStr">
        <is>
          <t>All is Well</t>
        </is>
      </c>
    </row>
    <row r="3347">
      <c r="A3347" s="37" t="inlineStr">
        <is>
          <t>Phani</t>
        </is>
      </c>
      <c r="B3347" s="37" t="inlineStr">
        <is>
          <t>Grow Green Ambattur</t>
        </is>
      </c>
      <c r="C3347" s="37" t="inlineStr">
        <is>
          <t>Grow Green EV</t>
        </is>
      </c>
      <c r="D3347" s="37" t="inlineStr">
        <is>
          <t>2026-07-08</t>
        </is>
      </c>
      <c r="E3347" s="37" t="inlineStr">
        <is>
          <t>Infra Check</t>
        </is>
      </c>
      <c r="F3347" s="37" t="inlineStr">
        <is>
          <t>Confirm the correct program and partner logos are displayed.</t>
        </is>
      </c>
      <c r="G3347" s="37" t="inlineStr">
        <is>
          <t>All is Well</t>
        </is>
      </c>
    </row>
    <row r="3348">
      <c r="A3348" s="37" t="inlineStr">
        <is>
          <t>Phani</t>
        </is>
      </c>
      <c r="B3348" s="37" t="inlineStr">
        <is>
          <t>Grow Green Ambattur</t>
        </is>
      </c>
      <c r="C3348" s="37" t="inlineStr">
        <is>
          <t>Grow Green EV</t>
        </is>
      </c>
      <c r="D3348" s="37" t="inlineStr">
        <is>
          <t>2026-07-08</t>
        </is>
      </c>
      <c r="E3348" s="37" t="inlineStr">
        <is>
          <t>Infra Check</t>
        </is>
      </c>
      <c r="F3348" s="37" t="inlineStr">
        <is>
          <t>Check the status of digital infra — PCs, smartboards, tablets, laptops, etc.</t>
        </is>
      </c>
      <c r="G3348" s="37" t="inlineStr">
        <is>
          <t>All is Well</t>
        </is>
      </c>
    </row>
    <row r="3349">
      <c r="A3349" s="37" t="inlineStr">
        <is>
          <t>Phani</t>
        </is>
      </c>
      <c r="B3349" s="37" t="inlineStr">
        <is>
          <t>Grow Green Ambattur</t>
        </is>
      </c>
      <c r="C3349" s="37" t="inlineStr">
        <is>
          <t>Grow Green EV</t>
        </is>
      </c>
      <c r="D3349" s="37" t="inlineStr">
        <is>
          <t>2026-07-08</t>
        </is>
      </c>
      <c r="E3349" s="37" t="inlineStr">
        <is>
          <t>Infra Check</t>
        </is>
      </c>
      <c r="F3349" s="37" t="inlineStr">
        <is>
          <t>Make a quick hostel visit; have lunch there if possible to test the food quality.</t>
        </is>
      </c>
      <c r="G3349" s="37" t="inlineStr">
        <is>
          <t>Need Improvement</t>
        </is>
      </c>
    </row>
    <row r="3350">
      <c r="A3350" s="37" t="inlineStr">
        <is>
          <t>Phani</t>
        </is>
      </c>
      <c r="B3350" s="37" t="inlineStr">
        <is>
          <t>Grow Green Ambattur</t>
        </is>
      </c>
      <c r="C3350" s="37" t="inlineStr">
        <is>
          <t>Grow Green EV</t>
        </is>
      </c>
      <c r="D3350" s="37" t="inlineStr">
        <is>
          <t>2026-07-08</t>
        </is>
      </c>
      <c r="E3350" s="37" t="inlineStr">
        <is>
          <t>Process Check</t>
        </is>
      </c>
      <c r="F3350" s="37" t="inlineStr">
        <is>
          <t>Refer to the activity planner — check if any activities are delayed.</t>
        </is>
      </c>
      <c r="G3350" s="37" t="inlineStr">
        <is>
          <t>Not Applicable</t>
        </is>
      </c>
    </row>
    <row r="3351">
      <c r="A3351" s="37" t="inlineStr">
        <is>
          <t>Phani</t>
        </is>
      </c>
      <c r="B3351" s="37" t="inlineStr">
        <is>
          <t>Grow Green Ambattur</t>
        </is>
      </c>
      <c r="C3351" s="37" t="inlineStr">
        <is>
          <t>Grow Green EV</t>
        </is>
      </c>
      <c r="D3351" s="37" t="inlineStr">
        <is>
          <t>2026-07-08</t>
        </is>
      </c>
      <c r="E3351" s="37" t="inlineStr">
        <is>
          <t>Process Check</t>
        </is>
      </c>
      <c r="F3351" s="37" t="inlineStr">
        <is>
          <t>Check planning for the next batch-start announcement.</t>
        </is>
      </c>
      <c r="G3351" s="37" t="inlineStr">
        <is>
          <t>All is Well</t>
        </is>
      </c>
    </row>
    <row r="3352">
      <c r="A3352" s="37" t="inlineStr">
        <is>
          <t>Phani</t>
        </is>
      </c>
      <c r="B3352" s="37" t="inlineStr">
        <is>
          <t>Grow Green Ambattur</t>
        </is>
      </c>
      <c r="C3352" s="37" t="inlineStr">
        <is>
          <t>Grow Green EV</t>
        </is>
      </c>
      <c r="D3352" s="37" t="inlineStr">
        <is>
          <t>2026-07-08</t>
        </is>
      </c>
      <c r="E3352" s="37" t="inlineStr">
        <is>
          <t>Process Check</t>
        </is>
      </c>
      <c r="F3352" s="37" t="inlineStr">
        <is>
          <t>Check if any hiring is delayed and plan a resolution.</t>
        </is>
      </c>
      <c r="G3352" s="37" t="inlineStr">
        <is>
          <t>All is Well</t>
        </is>
      </c>
    </row>
    <row r="3353">
      <c r="A3353" s="37" t="inlineStr">
        <is>
          <t>Phani</t>
        </is>
      </c>
      <c r="B3353" s="37" t="inlineStr">
        <is>
          <t>Grow Green Ambattur</t>
        </is>
      </c>
      <c r="C3353" s="37" t="inlineStr">
        <is>
          <t>Grow Green EV</t>
        </is>
      </c>
      <c r="D3353" s="37" t="inlineStr">
        <is>
          <t>2026-07-08</t>
        </is>
      </c>
      <c r="E3353" s="37" t="inlineStr">
        <is>
          <t>Process Check</t>
        </is>
      </c>
      <c r="F3353" s="37" t="inlineStr">
        <is>
          <t>Check the CA’s diary — is CA guided daily by the AH during planning days?</t>
        </is>
      </c>
      <c r="G3353" s="37" t="inlineStr">
        <is>
          <t>All is Well</t>
        </is>
      </c>
    </row>
    <row r="3354">
      <c r="A3354" s="37" t="inlineStr">
        <is>
          <t>Phani</t>
        </is>
      </c>
      <c r="B3354" s="37" t="inlineStr">
        <is>
          <t>Grow Green Ambattur</t>
        </is>
      </c>
      <c r="C3354" s="37" t="inlineStr">
        <is>
          <t>Grow Green EV</t>
        </is>
      </c>
      <c r="D3354" s="37" t="inlineStr">
        <is>
          <t>2026-07-08</t>
        </is>
      </c>
      <c r="E3354" s="37" t="inlineStr">
        <is>
          <t>Process Check</t>
        </is>
      </c>
      <c r="F3354" s="37" t="inlineStr">
        <is>
          <t>Check the AH is regularly meeting employers (in person and online) and updating the centre’s Top 20 Employer format.</t>
        </is>
      </c>
      <c r="G3354" s="37" t="inlineStr">
        <is>
          <t>All is Well</t>
        </is>
      </c>
    </row>
    <row r="3355">
      <c r="A3355" s="37" t="inlineStr">
        <is>
          <t>Phani</t>
        </is>
      </c>
      <c r="B3355" s="37" t="inlineStr">
        <is>
          <t>Grow Green Ambattur</t>
        </is>
      </c>
      <c r="C3355" s="37" t="inlineStr">
        <is>
          <t>Grow Green EV</t>
        </is>
      </c>
      <c r="D3355" s="37" t="inlineStr">
        <is>
          <t>2026-07-08</t>
        </is>
      </c>
      <c r="E3355" s="37" t="inlineStr">
        <is>
          <t>Process Check</t>
        </is>
      </c>
      <c r="F3355" s="37" t="inlineStr">
        <is>
          <t>Confirm all new employers are registered on portal as per new process.</t>
        </is>
      </c>
      <c r="G3355" s="37" t="inlineStr">
        <is>
          <t>All is Well</t>
        </is>
      </c>
    </row>
    <row r="3356">
      <c r="A3356" s="37" t="inlineStr">
        <is>
          <t>Phani</t>
        </is>
      </c>
      <c r="B3356" s="37" t="inlineStr">
        <is>
          <t>Grow Green Ambattur</t>
        </is>
      </c>
      <c r="C3356" s="37" t="inlineStr">
        <is>
          <t>Grow Green EV</t>
        </is>
      </c>
      <c r="D3356" s="37" t="inlineStr">
        <is>
          <t>2026-07-08</t>
        </is>
      </c>
      <c r="E3356" s="37" t="inlineStr">
        <is>
          <t>Process Check</t>
        </is>
      </c>
      <c r="F3356" s="37" t="inlineStr">
        <is>
          <t>Confirm 100% of enrolled students undergone screening (for technical courses).</t>
        </is>
      </c>
      <c r="G3356" s="37" t="inlineStr">
        <is>
          <t>All is Well</t>
        </is>
      </c>
    </row>
    <row r="3357">
      <c r="A3357" s="37" t="inlineStr">
        <is>
          <t>Phani</t>
        </is>
      </c>
      <c r="B3357" s="37" t="inlineStr">
        <is>
          <t>Grow Green Ambattur</t>
        </is>
      </c>
      <c r="C3357" s="37" t="inlineStr">
        <is>
          <t>Grow Green EV</t>
        </is>
      </c>
      <c r="D3357" s="37" t="inlineStr">
        <is>
          <t>2026-07-08</t>
        </is>
      </c>
      <c r="E3357" s="37" t="inlineStr">
        <is>
          <t>Process Check</t>
        </is>
      </c>
      <c r="F3357" s="37" t="inlineStr">
        <is>
          <t>Confirm ESA is done (in GROW full ESA and in Technical courses relevant sections of Core Employability Part).</t>
        </is>
      </c>
      <c r="G3357" s="37" t="inlineStr">
        <is>
          <t>Need Improvement</t>
        </is>
      </c>
    </row>
    <row r="3358">
      <c r="A3358" s="37" t="inlineStr">
        <is>
          <t>Phani</t>
        </is>
      </c>
      <c r="B3358" s="37" t="inlineStr">
        <is>
          <t>Grow Green Ambattur</t>
        </is>
      </c>
      <c r="C3358" s="37" t="inlineStr">
        <is>
          <t>Grow Green EV</t>
        </is>
      </c>
      <c r="D3358" s="37" t="inlineStr">
        <is>
          <t>2026-07-08</t>
        </is>
      </c>
      <c r="E3358" s="37" t="inlineStr">
        <is>
          <t>Process Check</t>
        </is>
      </c>
      <c r="F3358" s="37" t="inlineStr">
        <is>
          <t>Check is AH giving capstone project in GROW Tech.</t>
        </is>
      </c>
      <c r="G3358" s="37" t="inlineStr">
        <is>
          <t>Not Applicable</t>
        </is>
      </c>
    </row>
    <row r="3359">
      <c r="A3359" s="37" t="inlineStr">
        <is>
          <t>Phani</t>
        </is>
      </c>
      <c r="B3359" s="37" t="inlineStr">
        <is>
          <t>Grow Green Ambattur</t>
        </is>
      </c>
      <c r="C3359" s="37" t="inlineStr">
        <is>
          <t>Grow Green EV</t>
        </is>
      </c>
      <c r="D3359" s="37" t="inlineStr">
        <is>
          <t>2026-07-08</t>
        </is>
      </c>
      <c r="E3359" s="37" t="inlineStr">
        <is>
          <t>Process Check</t>
        </is>
      </c>
      <c r="F3359" s="37" t="inlineStr">
        <is>
          <t>Check is AH planning OJT as per guidelines and proofs are collected for technical courses.</t>
        </is>
      </c>
      <c r="G3359" s="37" t="inlineStr">
        <is>
          <t>Not Applicable</t>
        </is>
      </c>
    </row>
    <row r="3360">
      <c r="A3360" s="37" t="inlineStr">
        <is>
          <t>Phani</t>
        </is>
      </c>
      <c r="B3360" s="37" t="inlineStr">
        <is>
          <t>Grow Green Ambattur</t>
        </is>
      </c>
      <c r="C3360" s="37" t="inlineStr">
        <is>
          <t>Grow Green EV</t>
        </is>
      </c>
      <c r="D3360" s="37" t="inlineStr">
        <is>
          <t>2026-07-08</t>
        </is>
      </c>
      <c r="E3360" s="37" t="inlineStr">
        <is>
          <t>Process Check</t>
        </is>
      </c>
      <c r="F3360" s="37" t="inlineStr">
        <is>
          <t>Check are trainers contacting aspirants to find reason for their absenteeism of more than 1 day.</t>
        </is>
      </c>
      <c r="G3360" s="37" t="inlineStr">
        <is>
          <t>Need Improvement</t>
        </is>
      </c>
    </row>
    <row r="3361">
      <c r="A3361" s="37" t="inlineStr">
        <is>
          <t>Phani</t>
        </is>
      </c>
      <c r="B3361" s="37" t="inlineStr">
        <is>
          <t>Grow Green Ambattur</t>
        </is>
      </c>
      <c r="C3361" s="37" t="inlineStr">
        <is>
          <t>Grow Green EV</t>
        </is>
      </c>
      <c r="D3361" s="37" t="inlineStr">
        <is>
          <t>2026-07-08</t>
        </is>
      </c>
      <c r="E3361" s="37" t="inlineStr">
        <is>
          <t>Process Check</t>
        </is>
      </c>
      <c r="F3361" s="37" t="inlineStr">
        <is>
          <t>Check the AH plans monthly enrolment and placement numbers by the 3rd of each month and shares them with second level managers.</t>
        </is>
      </c>
      <c r="G3361" s="37" t="inlineStr">
        <is>
          <t>All is Well</t>
        </is>
      </c>
    </row>
    <row r="3362">
      <c r="A3362" s="37" t="inlineStr">
        <is>
          <t>Phani</t>
        </is>
      </c>
      <c r="B3362" s="37" t="inlineStr">
        <is>
          <t>Grow Green Ambattur</t>
        </is>
      </c>
      <c r="C3362" s="37" t="inlineStr">
        <is>
          <t>Grow Green EV</t>
        </is>
      </c>
      <c r="D3362" s="37" t="inlineStr">
        <is>
          <t>2026-07-08</t>
        </is>
      </c>
      <c r="E3362" s="37" t="inlineStr">
        <is>
          <t>Process Check</t>
        </is>
      </c>
      <c r="F3362" s="37" t="inlineStr">
        <is>
          <t>Check trainers submit aspirants’ placement interest areas to the AH by the batch’s 25th day (in GROW).</t>
        </is>
      </c>
      <c r="G3362" s="37" t="inlineStr">
        <is>
          <t>Not Applicable</t>
        </is>
      </c>
    </row>
    <row r="3363">
      <c r="A3363" s="37" t="inlineStr">
        <is>
          <t>Phani</t>
        </is>
      </c>
      <c r="B3363" s="37" t="inlineStr">
        <is>
          <t>Grow Green Ambattur</t>
        </is>
      </c>
      <c r="C3363" s="37" t="inlineStr">
        <is>
          <t>Grow Green EV</t>
        </is>
      </c>
      <c r="D3363" s="37" t="inlineStr">
        <is>
          <t>2026-07-08</t>
        </is>
      </c>
      <c r="E3363" s="37" t="inlineStr">
        <is>
          <t>Process Check</t>
        </is>
      </c>
      <c r="F3363" s="37" t="inlineStr">
        <is>
          <t>Ckeck For technical programs, placement is done only in technical jobs,on which aspirants are trained and relevant emplyers are identified by 45th day.</t>
        </is>
      </c>
      <c r="G3363" s="37" t="inlineStr">
        <is>
          <t>All is Well</t>
        </is>
      </c>
    </row>
    <row r="3364">
      <c r="A3364" s="37" t="inlineStr">
        <is>
          <t>Phani</t>
        </is>
      </c>
      <c r="B3364" s="37" t="inlineStr">
        <is>
          <t>Grow Green Ambattur</t>
        </is>
      </c>
      <c r="C3364" s="37" t="inlineStr">
        <is>
          <t>Grow Green EV</t>
        </is>
      </c>
      <c r="D3364" s="37" t="inlineStr">
        <is>
          <t>2026-07-08</t>
        </is>
      </c>
      <c r="E3364" s="37" t="inlineStr">
        <is>
          <t>Process Check</t>
        </is>
      </c>
      <c r="F3364" s="37" t="inlineStr">
        <is>
          <t>Check the AH follows EP guidelines and minimum benchmark salary guidelines.</t>
        </is>
      </c>
      <c r="G3364" s="37" t="inlineStr">
        <is>
          <t>All is Well</t>
        </is>
      </c>
    </row>
    <row r="3365">
      <c r="A3365" s="37" t="inlineStr">
        <is>
          <t>Phani</t>
        </is>
      </c>
      <c r="B3365" s="37" t="inlineStr">
        <is>
          <t>Grow Green Ambattur</t>
        </is>
      </c>
      <c r="C3365" s="37" t="inlineStr">
        <is>
          <t>Grow Green EV</t>
        </is>
      </c>
      <c r="D3365" s="37" t="inlineStr">
        <is>
          <t>2026-07-08</t>
        </is>
      </c>
      <c r="E3365" s="37" t="inlineStr">
        <is>
          <t>Process Check</t>
        </is>
      </c>
      <c r="F3365" s="37" t="inlineStr">
        <is>
          <t>Check that AH is enrolling only the right traget group in the program -as per the defined target.</t>
        </is>
      </c>
      <c r="G3365" s="37" t="inlineStr">
        <is>
          <t>All is Well</t>
        </is>
      </c>
    </row>
    <row r="3366">
      <c r="A3366" s="37" t="inlineStr">
        <is>
          <t>Phani</t>
        </is>
      </c>
      <c r="B3366" s="37" t="inlineStr">
        <is>
          <t>Grow Green Ambattur</t>
        </is>
      </c>
      <c r="C3366" s="37" t="inlineStr">
        <is>
          <t>Grow Green EV</t>
        </is>
      </c>
      <c r="D3366" s="37" t="inlineStr">
        <is>
          <t>2026-07-08</t>
        </is>
      </c>
      <c r="E3366" s="37" t="inlineStr">
        <is>
          <t>Process Check</t>
        </is>
      </c>
      <c r="F3366" s="37" t="inlineStr">
        <is>
          <t>Check the AH announces the next batch-start date by the 3rd of the month on all notice boards — focus on Zero-Day start.</t>
        </is>
      </c>
      <c r="G3366" s="37" t="inlineStr">
        <is>
          <t>All is Well</t>
        </is>
      </c>
    </row>
    <row r="3367">
      <c r="A3367" s="37" t="inlineStr">
        <is>
          <t>Phani</t>
        </is>
      </c>
      <c r="B3367" s="37" t="inlineStr">
        <is>
          <t>Grow Green Ambattur</t>
        </is>
      </c>
      <c r="C3367" s="37" t="inlineStr">
        <is>
          <t>Grow Green EV</t>
        </is>
      </c>
      <c r="D3367" s="37" t="inlineStr">
        <is>
          <t>2026-07-08</t>
        </is>
      </c>
      <c r="E3367" s="37" t="inlineStr">
        <is>
          <t>Process Check</t>
        </is>
      </c>
      <c r="F3367" s="37" t="inlineStr">
        <is>
          <t>Check the Aspirant Mock Interview Score Tracker is updated after every mock interview in the L&amp;D Google Sheet.</t>
        </is>
      </c>
      <c r="G3367" s="37" t="inlineStr">
        <is>
          <t>Need Improvement</t>
        </is>
      </c>
    </row>
    <row r="3368">
      <c r="A3368" s="37" t="inlineStr">
        <is>
          <t>Phani</t>
        </is>
      </c>
      <c r="B3368" s="37" t="inlineStr">
        <is>
          <t>Grow Green Ambattur</t>
        </is>
      </c>
      <c r="C3368" s="37" t="inlineStr">
        <is>
          <t>Grow Green EV</t>
        </is>
      </c>
      <c r="D3368" s="37" t="inlineStr">
        <is>
          <t>2026-07-08</t>
        </is>
      </c>
      <c r="E3368" s="37" t="inlineStr">
        <is>
          <t>Process Check</t>
        </is>
      </c>
      <c r="F3368" s="37" t="inlineStr">
        <is>
          <t>Confirm NPS (Net Promoter Score) is collected at MSDF centres.</t>
        </is>
      </c>
      <c r="G3368" s="37" t="inlineStr">
        <is>
          <t>Not Applicable</t>
        </is>
      </c>
    </row>
    <row r="3369">
      <c r="A3369" s="37" t="inlineStr">
        <is>
          <t>Phani</t>
        </is>
      </c>
      <c r="B3369" s="37" t="inlineStr">
        <is>
          <t>Grow Green Ambattur</t>
        </is>
      </c>
      <c r="C3369" s="37" t="inlineStr">
        <is>
          <t>Grow Green EV</t>
        </is>
      </c>
      <c r="D3369" s="37" t="inlineStr">
        <is>
          <t>2026-07-08</t>
        </is>
      </c>
      <c r="E3369" s="37" t="inlineStr">
        <is>
          <t>Process Check</t>
        </is>
      </c>
      <c r="F3369" s="37" t="inlineStr">
        <is>
          <t>Confirm that QAE is collecting student feedback for every batch.</t>
        </is>
      </c>
      <c r="G3369" s="37" t="inlineStr">
        <is>
          <t>All is Well</t>
        </is>
      </c>
    </row>
    <row r="3370">
      <c r="A3370" s="37" t="inlineStr">
        <is>
          <t>Phani</t>
        </is>
      </c>
      <c r="B3370" s="37" t="inlineStr">
        <is>
          <t>Grow Green Ambattur</t>
        </is>
      </c>
      <c r="C3370" s="37" t="inlineStr">
        <is>
          <t>Grow Green EV</t>
        </is>
      </c>
      <c r="D3370" s="37" t="inlineStr">
        <is>
          <t>2026-07-08</t>
        </is>
      </c>
      <c r="E3370" s="37" t="inlineStr">
        <is>
          <t>Process Check</t>
        </is>
      </c>
      <c r="F3370" s="37" t="inlineStr">
        <is>
          <t>Confirm all centre teams have completed the GROW Manual Course on Skillfy — ask for achievement certificates.</t>
        </is>
      </c>
      <c r="G3370" s="37" t="inlineStr">
        <is>
          <t>Need Improvement</t>
        </is>
      </c>
    </row>
    <row r="3371">
      <c r="A3371" s="37" t="inlineStr">
        <is>
          <t>Phani</t>
        </is>
      </c>
      <c r="B3371" s="37" t="inlineStr">
        <is>
          <t>Grow Green Ambattur</t>
        </is>
      </c>
      <c r="C3371" s="37" t="inlineStr">
        <is>
          <t>Grow Green EV</t>
        </is>
      </c>
      <c r="D3371" s="37" t="inlineStr">
        <is>
          <t>2026-07-08</t>
        </is>
      </c>
      <c r="E3371" s="37" t="inlineStr">
        <is>
          <t>Process Check</t>
        </is>
      </c>
      <c r="F3371" s="37" t="inlineStr">
        <is>
          <t>Check AH holds a quality weekly team meeting, documents action points in the weekly meeting format, and sends you a photo on WhatsApp.</t>
        </is>
      </c>
      <c r="G3371" s="37" t="inlineStr">
        <is>
          <t>All is Well</t>
        </is>
      </c>
    </row>
    <row r="3372">
      <c r="A3372" s="37" t="inlineStr">
        <is>
          <t>Phani</t>
        </is>
      </c>
      <c r="B3372" s="37" t="inlineStr">
        <is>
          <t>Grow Green Ambattur</t>
        </is>
      </c>
      <c r="C3372" s="37" t="inlineStr">
        <is>
          <t>Grow Green EV</t>
        </is>
      </c>
      <c r="D3372" s="37" t="inlineStr">
        <is>
          <t>2026-07-08</t>
        </is>
      </c>
      <c r="E3372" s="37" t="inlineStr">
        <is>
          <t>Aspirant Interaction</t>
        </is>
      </c>
      <c r="F3372" s="37" t="inlineStr">
        <is>
          <t>Ask aspirants about the session plan — confirm training is happening as planned?</t>
        </is>
      </c>
      <c r="G3372" s="37" t="inlineStr">
        <is>
          <t>All is Well</t>
        </is>
      </c>
    </row>
    <row r="3373">
      <c r="A3373" s="37" t="inlineStr">
        <is>
          <t>Phani</t>
        </is>
      </c>
      <c r="B3373" s="37" t="inlineStr">
        <is>
          <t>Grow Green Ambattur</t>
        </is>
      </c>
      <c r="C3373" s="37" t="inlineStr">
        <is>
          <t>Grow Green EV</t>
        </is>
      </c>
      <c r="D3373" s="37" t="inlineStr">
        <is>
          <t>2026-07-08</t>
        </is>
      </c>
      <c r="E3373" s="37" t="inlineStr">
        <is>
          <t>Aspirant Interaction</t>
        </is>
      </c>
      <c r="F3373" s="37" t="inlineStr">
        <is>
          <t>Ask about the quality of Core Employability component delivery (technical centres) and who delivers it.</t>
        </is>
      </c>
      <c r="G3373" s="37" t="inlineStr">
        <is>
          <t>All is Well</t>
        </is>
      </c>
    </row>
    <row r="3374">
      <c r="A3374" s="37" t="inlineStr">
        <is>
          <t>Phani</t>
        </is>
      </c>
      <c r="B3374" s="37" t="inlineStr">
        <is>
          <t>Grow Green Ambattur</t>
        </is>
      </c>
      <c r="C3374" s="37" t="inlineStr">
        <is>
          <t>Grow Green EV</t>
        </is>
      </c>
      <c r="D3374" s="37" t="inlineStr">
        <is>
          <t>2026-07-08</t>
        </is>
      </c>
      <c r="E3374" s="37" t="inlineStr">
        <is>
          <t>Aspirant Interaction</t>
        </is>
      </c>
      <c r="F3374" s="37" t="inlineStr">
        <is>
          <t>Ask whether they are aware of the referral scheme?</t>
        </is>
      </c>
      <c r="G3374" s="37" t="inlineStr">
        <is>
          <t>All is Well</t>
        </is>
      </c>
    </row>
    <row r="3375">
      <c r="A3375" s="37" t="inlineStr">
        <is>
          <t>Phani</t>
        </is>
      </c>
      <c r="B3375" s="37" t="inlineStr">
        <is>
          <t>Grow Green Ambattur</t>
        </is>
      </c>
      <c r="C3375" s="37" t="inlineStr">
        <is>
          <t>Grow Green EV</t>
        </is>
      </c>
      <c r="D3375" s="37" t="inlineStr">
        <is>
          <t>2026-07-08</t>
        </is>
      </c>
      <c r="E3375" s="37" t="inlineStr">
        <is>
          <t>Aspirant Interaction</t>
        </is>
      </c>
      <c r="F3375" s="37" t="inlineStr">
        <is>
          <t>Ask whether the AH explained the importance of the offer letter and sharing it with us once received for reporting purposes?</t>
        </is>
      </c>
      <c r="G3375" s="37" t="inlineStr">
        <is>
          <t>All is Well</t>
        </is>
      </c>
    </row>
    <row r="3376">
      <c r="A3376" s="37" t="inlineStr">
        <is>
          <t>Phani</t>
        </is>
      </c>
      <c r="B3376" s="37" t="inlineStr">
        <is>
          <t>Grow Green Ambattur</t>
        </is>
      </c>
      <c r="C3376" s="37" t="inlineStr">
        <is>
          <t>Grow Green EV</t>
        </is>
      </c>
      <c r="D3376" s="37" t="inlineStr">
        <is>
          <t>2026-07-08</t>
        </is>
      </c>
      <c r="E3376" s="37" t="inlineStr">
        <is>
          <t>Aspirant Interaction</t>
        </is>
      </c>
      <c r="F3376" s="37" t="inlineStr">
        <is>
          <t>Ask how many are not interested in jobs — and if so, why they enrolled in the programme?</t>
        </is>
      </c>
      <c r="G3376" s="37" t="inlineStr">
        <is>
          <t>All is Well</t>
        </is>
      </c>
    </row>
    <row r="3377">
      <c r="A3377" s="37" t="inlineStr">
        <is>
          <t>Phani</t>
        </is>
      </c>
      <c r="B3377" s="37" t="inlineStr">
        <is>
          <t>Grow Green Ambattur</t>
        </is>
      </c>
      <c r="C3377" s="37" t="inlineStr">
        <is>
          <t>Grow Green EV</t>
        </is>
      </c>
      <c r="D3377" s="37" t="inlineStr">
        <is>
          <t>2026-07-08</t>
        </is>
      </c>
      <c r="E3377" s="37" t="inlineStr">
        <is>
          <t>Aspirant Interaction</t>
        </is>
      </c>
      <c r="F3377" s="37" t="inlineStr">
        <is>
          <t>Ask whether they were told the kind of job they would get during counselling?</t>
        </is>
      </c>
      <c r="G3377" s="37" t="inlineStr">
        <is>
          <t>All is Well</t>
        </is>
      </c>
    </row>
    <row r="3378">
      <c r="A3378" s="37" t="inlineStr">
        <is>
          <t>Phani</t>
        </is>
      </c>
      <c r="B3378" s="37" t="inlineStr">
        <is>
          <t>Grow Green Ambattur</t>
        </is>
      </c>
      <c r="C3378" s="37" t="inlineStr">
        <is>
          <t>Grow Green EV</t>
        </is>
      </c>
      <c r="D3378" s="37" t="inlineStr">
        <is>
          <t>2026-07-08</t>
        </is>
      </c>
      <c r="E3378" s="37" t="inlineStr">
        <is>
          <t>Aspirant Interaction</t>
        </is>
      </c>
      <c r="F3378" s="37" t="inlineStr">
        <is>
          <t>Ask whether they have been given LMS access?</t>
        </is>
      </c>
      <c r="G3378" s="37" t="inlineStr">
        <is>
          <t>Need Improvement</t>
        </is>
      </c>
    </row>
    <row r="3379">
      <c r="A3379" s="37" t="inlineStr">
        <is>
          <t>Phani</t>
        </is>
      </c>
      <c r="B3379" s="37" t="inlineStr">
        <is>
          <t>Grow Green Ambattur</t>
        </is>
      </c>
      <c r="C3379" s="37" t="inlineStr">
        <is>
          <t>Grow Green EV</t>
        </is>
      </c>
      <c r="D3379" s="37" t="inlineStr">
        <is>
          <t>2026-07-08</t>
        </is>
      </c>
      <c r="E3379" s="37" t="inlineStr">
        <is>
          <t>Aspirant Interaction</t>
        </is>
      </c>
      <c r="F3379" s="37" t="inlineStr">
        <is>
          <t>Ask whether anyone asked them for money for training or placement?</t>
        </is>
      </c>
      <c r="G3379" s="37" t="inlineStr">
        <is>
          <t>All is Well</t>
        </is>
      </c>
    </row>
    <row r="3380">
      <c r="A3380" s="37" t="inlineStr">
        <is>
          <t>Phani</t>
        </is>
      </c>
      <c r="B3380" s="37" t="inlineStr">
        <is>
          <t>Grow Green Ambattur</t>
        </is>
      </c>
      <c r="C3380" s="37" t="inlineStr">
        <is>
          <t>Grow Green EV</t>
        </is>
      </c>
      <c r="D3380" s="37" t="inlineStr">
        <is>
          <t>2026-07-08</t>
        </is>
      </c>
      <c r="E3380" s="37" t="inlineStr">
        <is>
          <t>Aspirant Interaction</t>
        </is>
      </c>
      <c r="F3380" s="37" t="inlineStr">
        <is>
          <t>Ask to show their mobile phones — are they enrolled on Skillfy? If not, get them enrolled and give written feedback to trainers and the AH in your presence.</t>
        </is>
      </c>
      <c r="G3380" s="37" t="inlineStr">
        <is>
          <t>All is Well</t>
        </is>
      </c>
    </row>
    <row r="3381">
      <c r="A3381" s="37" t="inlineStr">
        <is>
          <t>Phani</t>
        </is>
      </c>
      <c r="B3381" s="37" t="inlineStr">
        <is>
          <t>Grow Green Ambattur</t>
        </is>
      </c>
      <c r="C3381" s="37" t="inlineStr">
        <is>
          <t>Grow Green EV</t>
        </is>
      </c>
      <c r="D3381" s="37" t="inlineStr">
        <is>
          <t>2026-07-08</t>
        </is>
      </c>
      <c r="E3381" s="37" t="inlineStr">
        <is>
          <t>Aspirant Interaction</t>
        </is>
      </c>
      <c r="F3381" s="37" t="inlineStr">
        <is>
          <t>Ask about the quality of the hostel and any issues they face.</t>
        </is>
      </c>
      <c r="G3381" s="37" t="inlineStr">
        <is>
          <t>Not Applicable</t>
        </is>
      </c>
    </row>
    <row r="3382">
      <c r="A3382" s="37" t="inlineStr">
        <is>
          <t>Phani</t>
        </is>
      </c>
      <c r="B3382" s="37" t="inlineStr">
        <is>
          <t>Grow Green Ambattur</t>
        </is>
      </c>
      <c r="C3382" s="37" t="inlineStr">
        <is>
          <t>Grow Green EV</t>
        </is>
      </c>
      <c r="D3382" s="37" t="inlineStr">
        <is>
          <t>2026-07-08</t>
        </is>
      </c>
      <c r="E3382" s="37" t="inlineStr">
        <is>
          <t>Aspirant Interaction</t>
        </is>
      </c>
      <c r="F3382" s="37" t="inlineStr">
        <is>
          <t>Ask a few relevant screening questions to support the 10th-day report and remove non-serious candidates, explaining to them the reasons.</t>
        </is>
      </c>
      <c r="G3382" s="37" t="inlineStr">
        <is>
          <t>All is Well</t>
        </is>
      </c>
    </row>
    <row r="3383">
      <c r="A3383" s="37" t="inlineStr">
        <is>
          <t>Phani</t>
        </is>
      </c>
      <c r="B3383" s="37" t="inlineStr">
        <is>
          <t>Guindy Solar</t>
        </is>
      </c>
      <c r="C3383" s="37" t="inlineStr">
        <is>
          <t>Grow Green - Solar</t>
        </is>
      </c>
      <c r="D3383" s="37" t="inlineStr">
        <is>
          <t>2026-07-07</t>
        </is>
      </c>
      <c r="E3383" s="37" t="inlineStr">
        <is>
          <t>Data Check</t>
        </is>
      </c>
      <c r="F3383" s="37" t="inlineStr">
        <is>
          <t>Reach the centre on time (unannounced) — confirm the centre opened on time.</t>
        </is>
      </c>
      <c r="G3383" s="37" t="inlineStr">
        <is>
          <t>All is Well</t>
        </is>
      </c>
    </row>
    <row r="3384">
      <c r="A3384" s="37" t="inlineStr">
        <is>
          <t>Phani</t>
        </is>
      </c>
      <c r="B3384" s="37" t="inlineStr">
        <is>
          <t>Guindy Solar</t>
        </is>
      </c>
      <c r="C3384" s="37" t="inlineStr">
        <is>
          <t>Grow Green - Solar</t>
        </is>
      </c>
      <c r="D3384" s="37" t="inlineStr">
        <is>
          <t>2026-07-07</t>
        </is>
      </c>
      <c r="E3384" s="37" t="inlineStr">
        <is>
          <t>Data Check</t>
        </is>
      </c>
      <c r="F3384" s="37" t="inlineStr">
        <is>
          <t>Check the staff attendance register, the Google Sheet, and geo-tagged photos for aspirants.</t>
        </is>
      </c>
      <c r="G3384" s="37" t="inlineStr">
        <is>
          <t>All is Well</t>
        </is>
      </c>
    </row>
    <row r="3385">
      <c r="A3385" s="37" t="inlineStr">
        <is>
          <t>Phani</t>
        </is>
      </c>
      <c r="B3385" s="37" t="inlineStr">
        <is>
          <t>Guindy Solar</t>
        </is>
      </c>
      <c r="C3385" s="37" t="inlineStr">
        <is>
          <t>Grow Green - Solar</t>
        </is>
      </c>
      <c r="D3385" s="37" t="inlineStr">
        <is>
          <t>2026-07-07</t>
        </is>
      </c>
      <c r="E3385" s="37" t="inlineStr">
        <is>
          <t>Data Check</t>
        </is>
      </c>
      <c r="F3385" s="37" t="inlineStr">
        <is>
          <t>Check Counselling and Screening Forms of recently started batches.</t>
        </is>
      </c>
      <c r="G3385" s="37" t="inlineStr">
        <is>
          <t>All is Well</t>
        </is>
      </c>
    </row>
    <row r="3386">
      <c r="A3386" s="37" t="inlineStr">
        <is>
          <t>Phani</t>
        </is>
      </c>
      <c r="B3386" s="37" t="inlineStr">
        <is>
          <t>Guindy Solar</t>
        </is>
      </c>
      <c r="C3386" s="37" t="inlineStr">
        <is>
          <t>Grow Green - Solar</t>
        </is>
      </c>
      <c r="D3386" s="37" t="inlineStr">
        <is>
          <t>2026-07-07</t>
        </is>
      </c>
      <c r="E3386" s="37" t="inlineStr">
        <is>
          <t>Data Check</t>
        </is>
      </c>
      <c r="F3386" s="37" t="inlineStr">
        <is>
          <t>Check Aspirant Registration Forms and related documents.</t>
        </is>
      </c>
      <c r="G3386" s="37" t="inlineStr">
        <is>
          <t>All is Well</t>
        </is>
      </c>
    </row>
    <row r="3387">
      <c r="A3387" s="37" t="inlineStr">
        <is>
          <t>Phani</t>
        </is>
      </c>
      <c r="B3387" s="37" t="inlineStr">
        <is>
          <t>Guindy Solar</t>
        </is>
      </c>
      <c r="C3387" s="37" t="inlineStr">
        <is>
          <t>Grow Green - Solar</t>
        </is>
      </c>
      <c r="D3387" s="37" t="inlineStr">
        <is>
          <t>2026-07-07</t>
        </is>
      </c>
      <c r="E3387" s="37" t="inlineStr">
        <is>
          <t>Data Check</t>
        </is>
      </c>
      <c r="F3387" s="37" t="inlineStr">
        <is>
          <t>On the GROW portal, confirm all student profile details and batch updates are currect.</t>
        </is>
      </c>
      <c r="G3387" s="37" t="inlineStr">
        <is>
          <t>All is Well</t>
        </is>
      </c>
    </row>
    <row r="3388">
      <c r="A3388" s="37" t="inlineStr">
        <is>
          <t>Phani</t>
        </is>
      </c>
      <c r="B3388" s="37" t="inlineStr">
        <is>
          <t>Guindy Solar</t>
        </is>
      </c>
      <c r="C3388" s="37" t="inlineStr">
        <is>
          <t>Grow Green - Solar</t>
        </is>
      </c>
      <c r="D3388" s="37" t="inlineStr">
        <is>
          <t>2026-07-07</t>
        </is>
      </c>
      <c r="E3388" s="37" t="inlineStr">
        <is>
          <t>Data Check</t>
        </is>
      </c>
      <c r="F3388" s="37" t="inlineStr">
        <is>
          <t>Verify placement data — randomly call 3–4 alumni placed in the last 3 months to confirm veracity (random selection is essential).</t>
        </is>
      </c>
      <c r="G3388" s="37" t="inlineStr">
        <is>
          <t>All is Well</t>
        </is>
      </c>
    </row>
    <row r="3389">
      <c r="A3389" s="37" t="inlineStr">
        <is>
          <t>Phani</t>
        </is>
      </c>
      <c r="B3389" s="37" t="inlineStr">
        <is>
          <t>Guindy Solar</t>
        </is>
      </c>
      <c r="C3389" s="37" t="inlineStr">
        <is>
          <t>Grow Green - Solar</t>
        </is>
      </c>
      <c r="D3389" s="37" t="inlineStr">
        <is>
          <t>2026-07-07</t>
        </is>
      </c>
      <c r="E3389" s="37" t="inlineStr">
        <is>
          <t>Data Check</t>
        </is>
      </c>
      <c r="F3389" s="37" t="inlineStr">
        <is>
          <t>Verify retention — check the Alumni Hand-holding Format is being updated as designed.</t>
        </is>
      </c>
      <c r="G3389" s="37" t="inlineStr">
        <is>
          <t>All is Well</t>
        </is>
      </c>
    </row>
    <row r="3390">
      <c r="A3390" s="37" t="inlineStr">
        <is>
          <t>Phani</t>
        </is>
      </c>
      <c r="B3390" s="37" t="inlineStr">
        <is>
          <t>Guindy Solar</t>
        </is>
      </c>
      <c r="C3390" s="37" t="inlineStr">
        <is>
          <t>Grow Green - Solar</t>
        </is>
      </c>
      <c r="D3390" s="37" t="inlineStr">
        <is>
          <t>2026-07-07</t>
        </is>
      </c>
      <c r="E3390" s="37" t="inlineStr">
        <is>
          <t>Data Check</t>
        </is>
      </c>
      <c r="F3390" s="37" t="inlineStr">
        <is>
          <t>Check aspirant Hostel Forms are properly filled or not.</t>
        </is>
      </c>
      <c r="G3390" s="37" t="inlineStr">
        <is>
          <t>All is Well</t>
        </is>
      </c>
    </row>
    <row r="3391">
      <c r="A3391" s="37" t="inlineStr">
        <is>
          <t>Phani</t>
        </is>
      </c>
      <c r="B3391" s="37" t="inlineStr">
        <is>
          <t>Guindy Solar</t>
        </is>
      </c>
      <c r="C3391" s="37" t="inlineStr">
        <is>
          <t>Grow Green - Solar</t>
        </is>
      </c>
      <c r="D3391" s="37" t="inlineStr">
        <is>
          <t>2026-07-07</t>
        </is>
      </c>
      <c r="E3391" s="37" t="inlineStr">
        <is>
          <t>Infra Check</t>
        </is>
      </c>
      <c r="F3391" s="37" t="inlineStr">
        <is>
          <t>Check all CCTV cameras; if any are not working, ask the AH to troubleshoot or call the vendor.</t>
        </is>
      </c>
      <c r="G3391" s="37" t="inlineStr">
        <is>
          <t>All is Well</t>
        </is>
      </c>
    </row>
    <row r="3392">
      <c r="A3392" s="37" t="inlineStr">
        <is>
          <t>Phani</t>
        </is>
      </c>
      <c r="B3392" s="37" t="inlineStr">
        <is>
          <t>Guindy Solar</t>
        </is>
      </c>
      <c r="C3392" s="37" t="inlineStr">
        <is>
          <t>Grow Green - Solar</t>
        </is>
      </c>
      <c r="D3392" s="37" t="inlineStr">
        <is>
          <t>2026-07-07</t>
        </is>
      </c>
      <c r="E3392" s="37" t="inlineStr">
        <is>
          <t>Infra Check</t>
        </is>
      </c>
      <c r="F3392" s="37" t="inlineStr">
        <is>
          <t>Check for any scrap material and get it cleared, with support of Admin</t>
        </is>
      </c>
      <c r="G3392" s="37" t="inlineStr">
        <is>
          <t>All is Well</t>
        </is>
      </c>
    </row>
    <row r="3393">
      <c r="A3393" s="37" t="inlineStr">
        <is>
          <t>Phani</t>
        </is>
      </c>
      <c r="B3393" s="37" t="inlineStr">
        <is>
          <t>Guindy Solar</t>
        </is>
      </c>
      <c r="C3393" s="37" t="inlineStr">
        <is>
          <t>Grow Green - Solar</t>
        </is>
      </c>
      <c r="D3393" s="37" t="inlineStr">
        <is>
          <t>2026-07-07</t>
        </is>
      </c>
      <c r="E3393" s="37" t="inlineStr">
        <is>
          <t>Infra Check</t>
        </is>
      </c>
      <c r="F3393" s="37" t="inlineStr">
        <is>
          <t>Check for any pending infra repairs.</t>
        </is>
      </c>
      <c r="G3393" s="37" t="inlineStr">
        <is>
          <t>All is Well</t>
        </is>
      </c>
    </row>
    <row r="3394">
      <c r="A3394" s="37" t="inlineStr">
        <is>
          <t>Phani</t>
        </is>
      </c>
      <c r="B3394" s="37" t="inlineStr">
        <is>
          <t>Guindy Solar</t>
        </is>
      </c>
      <c r="C3394" s="37" t="inlineStr">
        <is>
          <t>Grow Green - Solar</t>
        </is>
      </c>
      <c r="D3394" s="37" t="inlineStr">
        <is>
          <t>2026-07-07</t>
        </is>
      </c>
      <c r="E3394" s="37" t="inlineStr">
        <is>
          <t>Infra Check</t>
        </is>
      </c>
      <c r="F3394" s="37" t="inlineStr">
        <is>
          <t>Check whether any fire extinguishers have expired (check the needle and expiry date both).</t>
        </is>
      </c>
      <c r="G3394" s="37" t="inlineStr">
        <is>
          <t>All is Well</t>
        </is>
      </c>
    </row>
    <row r="3395">
      <c r="A3395" s="37" t="inlineStr">
        <is>
          <t>Phani</t>
        </is>
      </c>
      <c r="B3395" s="37" t="inlineStr">
        <is>
          <t>Guindy Solar</t>
        </is>
      </c>
      <c r="C3395" s="37" t="inlineStr">
        <is>
          <t>Grow Green - Solar</t>
        </is>
      </c>
      <c r="D3395" s="37" t="inlineStr">
        <is>
          <t>2026-07-07</t>
        </is>
      </c>
      <c r="E3395" s="37" t="inlineStr">
        <is>
          <t>Infra Check</t>
        </is>
      </c>
      <c r="F3395" s="37" t="inlineStr">
        <is>
          <t>Check basic cleanliness of the washrooms and the centre.</t>
        </is>
      </c>
      <c r="G3395" s="37" t="inlineStr">
        <is>
          <t>All is Well</t>
        </is>
      </c>
    </row>
    <row r="3396">
      <c r="A3396" s="37" t="inlineStr">
        <is>
          <t>Phani</t>
        </is>
      </c>
      <c r="B3396" s="37" t="inlineStr">
        <is>
          <t>Guindy Solar</t>
        </is>
      </c>
      <c r="C3396" s="37" t="inlineStr">
        <is>
          <t>Grow Green - Solar</t>
        </is>
      </c>
      <c r="D3396" s="37" t="inlineStr">
        <is>
          <t>2026-07-07</t>
        </is>
      </c>
      <c r="E3396" s="37" t="inlineStr">
        <is>
          <t>Infra Check</t>
        </is>
      </c>
      <c r="F3396" s="37" t="inlineStr">
        <is>
          <t>Confirm the correct program and partner logos are displayed.</t>
        </is>
      </c>
      <c r="G3396" s="37" t="inlineStr">
        <is>
          <t>All is Well</t>
        </is>
      </c>
    </row>
    <row r="3397">
      <c r="A3397" s="37" t="inlineStr">
        <is>
          <t>Phani</t>
        </is>
      </c>
      <c r="B3397" s="37" t="inlineStr">
        <is>
          <t>Guindy Solar</t>
        </is>
      </c>
      <c r="C3397" s="37" t="inlineStr">
        <is>
          <t>Grow Green - Solar</t>
        </is>
      </c>
      <c r="D3397" s="37" t="inlineStr">
        <is>
          <t>2026-07-07</t>
        </is>
      </c>
      <c r="E3397" s="37" t="inlineStr">
        <is>
          <t>Infra Check</t>
        </is>
      </c>
      <c r="F3397" s="37" t="inlineStr">
        <is>
          <t>Check the status of digital infra — PCs, smartboards, tablets, laptops, etc.</t>
        </is>
      </c>
      <c r="G3397" s="37" t="inlineStr">
        <is>
          <t>All is Well</t>
        </is>
      </c>
    </row>
    <row r="3398">
      <c r="A3398" s="37" t="inlineStr">
        <is>
          <t>Phani</t>
        </is>
      </c>
      <c r="B3398" s="37" t="inlineStr">
        <is>
          <t>Guindy Solar</t>
        </is>
      </c>
      <c r="C3398" s="37" t="inlineStr">
        <is>
          <t>Grow Green - Solar</t>
        </is>
      </c>
      <c r="D3398" s="37" t="inlineStr">
        <is>
          <t>2026-07-07</t>
        </is>
      </c>
      <c r="E3398" s="37" t="inlineStr">
        <is>
          <t>Infra Check</t>
        </is>
      </c>
      <c r="F3398" s="37" t="inlineStr">
        <is>
          <t>Make a quick hostel visit; have lunch there if possible to test the food quality.</t>
        </is>
      </c>
      <c r="G3398" s="37" t="inlineStr">
        <is>
          <t>All is Well</t>
        </is>
      </c>
    </row>
    <row r="3399">
      <c r="A3399" s="37" t="inlineStr">
        <is>
          <t>Phani</t>
        </is>
      </c>
      <c r="B3399" s="37" t="inlineStr">
        <is>
          <t>Guindy Solar</t>
        </is>
      </c>
      <c r="C3399" s="37" t="inlineStr">
        <is>
          <t>Grow Green - Solar</t>
        </is>
      </c>
      <c r="D3399" s="37" t="inlineStr">
        <is>
          <t>2026-07-07</t>
        </is>
      </c>
      <c r="E3399" s="37" t="inlineStr">
        <is>
          <t>Process Check</t>
        </is>
      </c>
      <c r="F3399" s="37" t="inlineStr">
        <is>
          <t>Refer to the activity planner — check if any activities are delayed.</t>
        </is>
      </c>
      <c r="G3399" s="37" t="inlineStr">
        <is>
          <t>Not Applicable</t>
        </is>
      </c>
    </row>
    <row r="3400">
      <c r="A3400" s="37" t="inlineStr">
        <is>
          <t>Phani</t>
        </is>
      </c>
      <c r="B3400" s="37" t="inlineStr">
        <is>
          <t>Guindy Solar</t>
        </is>
      </c>
      <c r="C3400" s="37" t="inlineStr">
        <is>
          <t>Grow Green - Solar</t>
        </is>
      </c>
      <c r="D3400" s="37" t="inlineStr">
        <is>
          <t>2026-07-07</t>
        </is>
      </c>
      <c r="E3400" s="37" t="inlineStr">
        <is>
          <t>Process Check</t>
        </is>
      </c>
      <c r="F3400" s="37" t="inlineStr">
        <is>
          <t>Check planning for the next batch-start announcement.</t>
        </is>
      </c>
      <c r="G3400" s="37" t="inlineStr">
        <is>
          <t>Need Improvement</t>
        </is>
      </c>
    </row>
    <row r="3401">
      <c r="A3401" s="37" t="inlineStr">
        <is>
          <t>Phani</t>
        </is>
      </c>
      <c r="B3401" s="37" t="inlineStr">
        <is>
          <t>Guindy Solar</t>
        </is>
      </c>
      <c r="C3401" s="37" t="inlineStr">
        <is>
          <t>Grow Green - Solar</t>
        </is>
      </c>
      <c r="D3401" s="37" t="inlineStr">
        <is>
          <t>2026-07-07</t>
        </is>
      </c>
      <c r="E3401" s="37" t="inlineStr">
        <is>
          <t>Process Check</t>
        </is>
      </c>
      <c r="F3401" s="37" t="inlineStr">
        <is>
          <t>Check if any hiring is delayed and plan a resolution.</t>
        </is>
      </c>
      <c r="G3401" s="37" t="inlineStr">
        <is>
          <t>All is Well</t>
        </is>
      </c>
    </row>
    <row r="3402">
      <c r="A3402" s="37" t="inlineStr">
        <is>
          <t>Phani</t>
        </is>
      </c>
      <c r="B3402" s="37" t="inlineStr">
        <is>
          <t>Guindy Solar</t>
        </is>
      </c>
      <c r="C3402" s="37" t="inlineStr">
        <is>
          <t>Grow Green - Solar</t>
        </is>
      </c>
      <c r="D3402" s="37" t="inlineStr">
        <is>
          <t>2026-07-07</t>
        </is>
      </c>
      <c r="E3402" s="37" t="inlineStr">
        <is>
          <t>Process Check</t>
        </is>
      </c>
      <c r="F3402" s="37" t="inlineStr">
        <is>
          <t>Check the CA’s diary — is CA guided daily by the AH during planning days?</t>
        </is>
      </c>
      <c r="G3402" s="37" t="inlineStr">
        <is>
          <t>All is Well</t>
        </is>
      </c>
    </row>
    <row r="3403">
      <c r="A3403" s="37" t="inlineStr">
        <is>
          <t>Phani</t>
        </is>
      </c>
      <c r="B3403" s="37" t="inlineStr">
        <is>
          <t>Guindy Solar</t>
        </is>
      </c>
      <c r="C3403" s="37" t="inlineStr">
        <is>
          <t>Grow Green - Solar</t>
        </is>
      </c>
      <c r="D3403" s="37" t="inlineStr">
        <is>
          <t>2026-07-07</t>
        </is>
      </c>
      <c r="E3403" s="37" t="inlineStr">
        <is>
          <t>Process Check</t>
        </is>
      </c>
      <c r="F3403" s="37" t="inlineStr">
        <is>
          <t>Check the AH is regularly meeting employers (in person and online) and updating the centre’s Top 20 Employer format.</t>
        </is>
      </c>
      <c r="G3403" s="37" t="inlineStr">
        <is>
          <t>All is Well</t>
        </is>
      </c>
    </row>
    <row r="3404">
      <c r="A3404" s="37" t="inlineStr">
        <is>
          <t>Phani</t>
        </is>
      </c>
      <c r="B3404" s="37" t="inlineStr">
        <is>
          <t>Guindy Solar</t>
        </is>
      </c>
      <c r="C3404" s="37" t="inlineStr">
        <is>
          <t>Grow Green - Solar</t>
        </is>
      </c>
      <c r="D3404" s="37" t="inlineStr">
        <is>
          <t>2026-07-07</t>
        </is>
      </c>
      <c r="E3404" s="37" t="inlineStr">
        <is>
          <t>Process Check</t>
        </is>
      </c>
      <c r="F3404" s="37" t="inlineStr">
        <is>
          <t>Confirm all new employers are registered on portal as per new process.</t>
        </is>
      </c>
      <c r="G3404" s="37" t="inlineStr">
        <is>
          <t>All is Well</t>
        </is>
      </c>
    </row>
    <row r="3405">
      <c r="A3405" s="37" t="inlineStr">
        <is>
          <t>Phani</t>
        </is>
      </c>
      <c r="B3405" s="37" t="inlineStr">
        <is>
          <t>Guindy Solar</t>
        </is>
      </c>
      <c r="C3405" s="37" t="inlineStr">
        <is>
          <t>Grow Green - Solar</t>
        </is>
      </c>
      <c r="D3405" s="37" t="inlineStr">
        <is>
          <t>2026-07-07</t>
        </is>
      </c>
      <c r="E3405" s="37" t="inlineStr">
        <is>
          <t>Process Check</t>
        </is>
      </c>
      <c r="F3405" s="37" t="inlineStr">
        <is>
          <t>Confirm 100% of enrolled students undergone screening (for technical courses).</t>
        </is>
      </c>
      <c r="G3405" s="37" t="inlineStr">
        <is>
          <t>All is Well</t>
        </is>
      </c>
    </row>
    <row r="3406">
      <c r="A3406" s="37" t="inlineStr">
        <is>
          <t>Phani</t>
        </is>
      </c>
      <c r="B3406" s="37" t="inlineStr">
        <is>
          <t>Guindy Solar</t>
        </is>
      </c>
      <c r="C3406" s="37" t="inlineStr">
        <is>
          <t>Grow Green - Solar</t>
        </is>
      </c>
      <c r="D3406" s="37" t="inlineStr">
        <is>
          <t>2026-07-07</t>
        </is>
      </c>
      <c r="E3406" s="37" t="inlineStr">
        <is>
          <t>Process Check</t>
        </is>
      </c>
      <c r="F3406" s="37" t="inlineStr">
        <is>
          <t>Confirm ESA is done (in GROW full ESA and in Technical courses relevant sections of Core Employability Part).</t>
        </is>
      </c>
      <c r="G3406" s="37" t="inlineStr">
        <is>
          <t>Need Improvement</t>
        </is>
      </c>
    </row>
    <row r="3407">
      <c r="A3407" s="37" t="inlineStr">
        <is>
          <t>Phani</t>
        </is>
      </c>
      <c r="B3407" s="37" t="inlineStr">
        <is>
          <t>Guindy Solar</t>
        </is>
      </c>
      <c r="C3407" s="37" t="inlineStr">
        <is>
          <t>Grow Green - Solar</t>
        </is>
      </c>
      <c r="D3407" s="37" t="inlineStr">
        <is>
          <t>2026-07-07</t>
        </is>
      </c>
      <c r="E3407" s="37" t="inlineStr">
        <is>
          <t>Process Check</t>
        </is>
      </c>
      <c r="F3407" s="37" t="inlineStr">
        <is>
          <t>Check is AH giving capstone project in GROW Tech.</t>
        </is>
      </c>
      <c r="G3407" s="37" t="inlineStr">
        <is>
          <t>Not Applicable</t>
        </is>
      </c>
    </row>
    <row r="3408">
      <c r="A3408" s="37" t="inlineStr">
        <is>
          <t>Phani</t>
        </is>
      </c>
      <c r="B3408" s="37" t="inlineStr">
        <is>
          <t>Guindy Solar</t>
        </is>
      </c>
      <c r="C3408" s="37" t="inlineStr">
        <is>
          <t>Grow Green - Solar</t>
        </is>
      </c>
      <c r="D3408" s="37" t="inlineStr">
        <is>
          <t>2026-07-07</t>
        </is>
      </c>
      <c r="E3408" s="37" t="inlineStr">
        <is>
          <t>Process Check</t>
        </is>
      </c>
      <c r="F3408" s="37" t="inlineStr">
        <is>
          <t>Check is AH planning OJT as per guidelines and proofs are collected for technical courses.</t>
        </is>
      </c>
      <c r="G3408" s="37" t="inlineStr">
        <is>
          <t>All is Well</t>
        </is>
      </c>
    </row>
    <row r="3409">
      <c r="A3409" s="37" t="inlineStr">
        <is>
          <t>Phani</t>
        </is>
      </c>
      <c r="B3409" s="37" t="inlineStr">
        <is>
          <t>Guindy Solar</t>
        </is>
      </c>
      <c r="C3409" s="37" t="inlineStr">
        <is>
          <t>Grow Green - Solar</t>
        </is>
      </c>
      <c r="D3409" s="37" t="inlineStr">
        <is>
          <t>2026-07-07</t>
        </is>
      </c>
      <c r="E3409" s="37" t="inlineStr">
        <is>
          <t>Process Check</t>
        </is>
      </c>
      <c r="F3409" s="37" t="inlineStr">
        <is>
          <t>Check are trainers contacting aspirants to find reason for their absenteeism of more than 1 day.</t>
        </is>
      </c>
      <c r="G3409" s="37" t="inlineStr">
        <is>
          <t>All is Well</t>
        </is>
      </c>
    </row>
    <row r="3410">
      <c r="A3410" s="37" t="inlineStr">
        <is>
          <t>Phani</t>
        </is>
      </c>
      <c r="B3410" s="37" t="inlineStr">
        <is>
          <t>Guindy Solar</t>
        </is>
      </c>
      <c r="C3410" s="37" t="inlineStr">
        <is>
          <t>Grow Green - Solar</t>
        </is>
      </c>
      <c r="D3410" s="37" t="inlineStr">
        <is>
          <t>2026-07-07</t>
        </is>
      </c>
      <c r="E3410" s="37" t="inlineStr">
        <is>
          <t>Process Check</t>
        </is>
      </c>
      <c r="F3410" s="37" t="inlineStr">
        <is>
          <t>Check the AH plans monthly enrolment and placement numbers by the 3rd of each month and shares them with second level managers.</t>
        </is>
      </c>
      <c r="G3410" s="37" t="inlineStr">
        <is>
          <t>All is Well</t>
        </is>
      </c>
    </row>
    <row r="3411">
      <c r="A3411" s="37" t="inlineStr">
        <is>
          <t>Phani</t>
        </is>
      </c>
      <c r="B3411" s="37" t="inlineStr">
        <is>
          <t>Guindy Solar</t>
        </is>
      </c>
      <c r="C3411" s="37" t="inlineStr">
        <is>
          <t>Grow Green - Solar</t>
        </is>
      </c>
      <c r="D3411" s="37" t="inlineStr">
        <is>
          <t>2026-07-07</t>
        </is>
      </c>
      <c r="E3411" s="37" t="inlineStr">
        <is>
          <t>Process Check</t>
        </is>
      </c>
      <c r="F3411" s="37" t="inlineStr">
        <is>
          <t>Check trainers submit aspirants’ placement interest areas to the AH by the batch’s 25th day (in GROW).</t>
        </is>
      </c>
      <c r="G3411" s="37" t="inlineStr">
        <is>
          <t>Not Applicable</t>
        </is>
      </c>
    </row>
    <row r="3412">
      <c r="A3412" s="37" t="inlineStr">
        <is>
          <t>Phani</t>
        </is>
      </c>
      <c r="B3412" s="37" t="inlineStr">
        <is>
          <t>Guindy Solar</t>
        </is>
      </c>
      <c r="C3412" s="37" t="inlineStr">
        <is>
          <t>Grow Green - Solar</t>
        </is>
      </c>
      <c r="D3412" s="37" t="inlineStr">
        <is>
          <t>2026-07-07</t>
        </is>
      </c>
      <c r="E3412" s="37" t="inlineStr">
        <is>
          <t>Process Check</t>
        </is>
      </c>
      <c r="F3412" s="37" t="inlineStr">
        <is>
          <t>Ckeck For technical programs, placement is done only in technical jobs,on which aspirants are trained and relevant emplyers are identified by 45th day.</t>
        </is>
      </c>
      <c r="G3412" s="37" t="inlineStr">
        <is>
          <t>All is Well</t>
        </is>
      </c>
    </row>
    <row r="3413">
      <c r="A3413" s="37" t="inlineStr">
        <is>
          <t>Phani</t>
        </is>
      </c>
      <c r="B3413" s="37" t="inlineStr">
        <is>
          <t>Guindy Solar</t>
        </is>
      </c>
      <c r="C3413" s="37" t="inlineStr">
        <is>
          <t>Grow Green - Solar</t>
        </is>
      </c>
      <c r="D3413" s="37" t="inlineStr">
        <is>
          <t>2026-07-07</t>
        </is>
      </c>
      <c r="E3413" s="37" t="inlineStr">
        <is>
          <t>Process Check</t>
        </is>
      </c>
      <c r="F3413" s="37" t="inlineStr">
        <is>
          <t>Check the AH follows EP guidelines and minimum benchmark salary guidelines.</t>
        </is>
      </c>
      <c r="G3413" s="37" t="inlineStr">
        <is>
          <t>All is Well</t>
        </is>
      </c>
    </row>
    <row r="3414">
      <c r="A3414" s="37" t="inlineStr">
        <is>
          <t>Phani</t>
        </is>
      </c>
      <c r="B3414" s="37" t="inlineStr">
        <is>
          <t>Guindy Solar</t>
        </is>
      </c>
      <c r="C3414" s="37" t="inlineStr">
        <is>
          <t>Grow Green - Solar</t>
        </is>
      </c>
      <c r="D3414" s="37" t="inlineStr">
        <is>
          <t>2026-07-07</t>
        </is>
      </c>
      <c r="E3414" s="37" t="inlineStr">
        <is>
          <t>Process Check</t>
        </is>
      </c>
      <c r="F3414" s="37" t="inlineStr">
        <is>
          <t>Check that AH is enrolling only the right traget group in the program -as per the defined target.</t>
        </is>
      </c>
      <c r="G3414" s="37" t="inlineStr">
        <is>
          <t>Need Improvement</t>
        </is>
      </c>
    </row>
    <row r="3415">
      <c r="A3415" s="37" t="inlineStr">
        <is>
          <t>Phani</t>
        </is>
      </c>
      <c r="B3415" s="37" t="inlineStr">
        <is>
          <t>Guindy Solar</t>
        </is>
      </c>
      <c r="C3415" s="37" t="inlineStr">
        <is>
          <t>Grow Green - Solar</t>
        </is>
      </c>
      <c r="D3415" s="37" t="inlineStr">
        <is>
          <t>2026-07-07</t>
        </is>
      </c>
      <c r="E3415" s="37" t="inlineStr">
        <is>
          <t>Process Check</t>
        </is>
      </c>
      <c r="F3415" s="37" t="inlineStr">
        <is>
          <t>Check the AH announces the next batch-start date by the 3rd of the month on all notice boards — focus on Zero-Day start.</t>
        </is>
      </c>
      <c r="G3415" s="37" t="inlineStr">
        <is>
          <t>All is Well</t>
        </is>
      </c>
    </row>
    <row r="3416">
      <c r="A3416" s="37" t="inlineStr">
        <is>
          <t>Phani</t>
        </is>
      </c>
      <c r="B3416" s="37" t="inlineStr">
        <is>
          <t>Guindy Solar</t>
        </is>
      </c>
      <c r="C3416" s="37" t="inlineStr">
        <is>
          <t>Grow Green - Solar</t>
        </is>
      </c>
      <c r="D3416" s="37" t="inlineStr">
        <is>
          <t>2026-07-07</t>
        </is>
      </c>
      <c r="E3416" s="37" t="inlineStr">
        <is>
          <t>Process Check</t>
        </is>
      </c>
      <c r="F3416" s="37" t="inlineStr">
        <is>
          <t>Check the Aspirant Mock Interview Score Tracker is updated after every mock interview in the L&amp;D Google Sheet.</t>
        </is>
      </c>
      <c r="G3416" s="37" t="inlineStr">
        <is>
          <t>Need Improvement</t>
        </is>
      </c>
    </row>
    <row r="3417">
      <c r="A3417" s="37" t="inlineStr">
        <is>
          <t>Phani</t>
        </is>
      </c>
      <c r="B3417" s="37" t="inlineStr">
        <is>
          <t>Guindy Solar</t>
        </is>
      </c>
      <c r="C3417" s="37" t="inlineStr">
        <is>
          <t>Grow Green - Solar</t>
        </is>
      </c>
      <c r="D3417" s="37" t="inlineStr">
        <is>
          <t>2026-07-07</t>
        </is>
      </c>
      <c r="E3417" s="37" t="inlineStr">
        <is>
          <t>Process Check</t>
        </is>
      </c>
      <c r="F3417" s="37" t="inlineStr">
        <is>
          <t>Confirm NPS (Net Promoter Score) is collected at MSDF centres.</t>
        </is>
      </c>
      <c r="G3417" s="37" t="inlineStr">
        <is>
          <t>Not Applicable</t>
        </is>
      </c>
    </row>
    <row r="3418">
      <c r="A3418" s="37" t="inlineStr">
        <is>
          <t>Phani</t>
        </is>
      </c>
      <c r="B3418" s="37" t="inlineStr">
        <is>
          <t>Guindy Solar</t>
        </is>
      </c>
      <c r="C3418" s="37" t="inlineStr">
        <is>
          <t>Grow Green - Solar</t>
        </is>
      </c>
      <c r="D3418" s="37" t="inlineStr">
        <is>
          <t>2026-07-07</t>
        </is>
      </c>
      <c r="E3418" s="37" t="inlineStr">
        <is>
          <t>Process Check</t>
        </is>
      </c>
      <c r="F3418" s="37" t="inlineStr">
        <is>
          <t>Confirm that QAE is collecting student feedback for every batch.</t>
        </is>
      </c>
      <c r="G3418" s="37" t="inlineStr">
        <is>
          <t>All is Well</t>
        </is>
      </c>
    </row>
    <row r="3419">
      <c r="A3419" s="37" t="inlineStr">
        <is>
          <t>Phani</t>
        </is>
      </c>
      <c r="B3419" s="37" t="inlineStr">
        <is>
          <t>Guindy Solar</t>
        </is>
      </c>
      <c r="C3419" s="37" t="inlineStr">
        <is>
          <t>Grow Green - Solar</t>
        </is>
      </c>
      <c r="D3419" s="37" t="inlineStr">
        <is>
          <t>2026-07-07</t>
        </is>
      </c>
      <c r="E3419" s="37" t="inlineStr">
        <is>
          <t>Process Check</t>
        </is>
      </c>
      <c r="F3419" s="37" t="inlineStr">
        <is>
          <t>Confirm all centre teams have completed the GROW Manual Course on Skillfy — ask for achievement certificates.</t>
        </is>
      </c>
      <c r="G3419" s="37" t="inlineStr">
        <is>
          <t>All is Well</t>
        </is>
      </c>
    </row>
    <row r="3420">
      <c r="A3420" s="37" t="inlineStr">
        <is>
          <t>Phani</t>
        </is>
      </c>
      <c r="B3420" s="37" t="inlineStr">
        <is>
          <t>Guindy Solar</t>
        </is>
      </c>
      <c r="C3420" s="37" t="inlineStr">
        <is>
          <t>Grow Green - Solar</t>
        </is>
      </c>
      <c r="D3420" s="37" t="inlineStr">
        <is>
          <t>2026-07-07</t>
        </is>
      </c>
      <c r="E3420" s="37" t="inlineStr">
        <is>
          <t>Process Check</t>
        </is>
      </c>
      <c r="F3420" s="37" t="inlineStr">
        <is>
          <t>Check AH holds a quality weekly team meeting, documents action points in the weekly meeting format, and sends you a photo on WhatsApp.</t>
        </is>
      </c>
      <c r="G3420" s="37" t="inlineStr">
        <is>
          <t>All is Well</t>
        </is>
      </c>
    </row>
    <row r="3421">
      <c r="A3421" s="37" t="inlineStr">
        <is>
          <t>Phani</t>
        </is>
      </c>
      <c r="B3421" s="37" t="inlineStr">
        <is>
          <t>Guindy Solar</t>
        </is>
      </c>
      <c r="C3421" s="37" t="inlineStr">
        <is>
          <t>Grow Green - Solar</t>
        </is>
      </c>
      <c r="D3421" s="37" t="inlineStr">
        <is>
          <t>2026-07-07</t>
        </is>
      </c>
      <c r="E3421" s="37" t="inlineStr">
        <is>
          <t>Aspirant Interaction</t>
        </is>
      </c>
      <c r="F3421" s="37" t="inlineStr">
        <is>
          <t>Ask aspirants about the session plan — confirm training is happening as planned?</t>
        </is>
      </c>
      <c r="G3421" s="37" t="inlineStr">
        <is>
          <t>All is Well</t>
        </is>
      </c>
    </row>
    <row r="3422">
      <c r="A3422" s="37" t="inlineStr">
        <is>
          <t>Phani</t>
        </is>
      </c>
      <c r="B3422" s="37" t="inlineStr">
        <is>
          <t>Guindy Solar</t>
        </is>
      </c>
      <c r="C3422" s="37" t="inlineStr">
        <is>
          <t>Grow Green - Solar</t>
        </is>
      </c>
      <c r="D3422" s="37" t="inlineStr">
        <is>
          <t>2026-07-07</t>
        </is>
      </c>
      <c r="E3422" s="37" t="inlineStr">
        <is>
          <t>Aspirant Interaction</t>
        </is>
      </c>
      <c r="F3422" s="37" t="inlineStr">
        <is>
          <t>Ask about the quality of Core Employability component delivery (technical centres) and who delivers it.</t>
        </is>
      </c>
      <c r="G3422" s="37" t="inlineStr">
        <is>
          <t>All is Well</t>
        </is>
      </c>
    </row>
    <row r="3423">
      <c r="A3423" s="37" t="inlineStr">
        <is>
          <t>Phani</t>
        </is>
      </c>
      <c r="B3423" s="37" t="inlineStr">
        <is>
          <t>Guindy Solar</t>
        </is>
      </c>
      <c r="C3423" s="37" t="inlineStr">
        <is>
          <t>Grow Green - Solar</t>
        </is>
      </c>
      <c r="D3423" s="37" t="inlineStr">
        <is>
          <t>2026-07-07</t>
        </is>
      </c>
      <c r="E3423" s="37" t="inlineStr">
        <is>
          <t>Aspirant Interaction</t>
        </is>
      </c>
      <c r="F3423" s="37" t="inlineStr">
        <is>
          <t>Ask whether they are aware of the referral scheme?</t>
        </is>
      </c>
      <c r="G3423" s="37" t="inlineStr">
        <is>
          <t>All is Well</t>
        </is>
      </c>
    </row>
    <row r="3424">
      <c r="A3424" s="37" t="inlineStr">
        <is>
          <t>Phani</t>
        </is>
      </c>
      <c r="B3424" s="37" t="inlineStr">
        <is>
          <t>Guindy Solar</t>
        </is>
      </c>
      <c r="C3424" s="37" t="inlineStr">
        <is>
          <t>Grow Green - Solar</t>
        </is>
      </c>
      <c r="D3424" s="37" t="inlineStr">
        <is>
          <t>2026-07-07</t>
        </is>
      </c>
      <c r="E3424" s="37" t="inlineStr">
        <is>
          <t>Aspirant Interaction</t>
        </is>
      </c>
      <c r="F3424" s="37" t="inlineStr">
        <is>
          <t>Ask whether the AH explained the importance of the offer letter and sharing it with us once received for reporting purposes?</t>
        </is>
      </c>
      <c r="G3424" s="37" t="inlineStr">
        <is>
          <t>All is Well</t>
        </is>
      </c>
    </row>
    <row r="3425">
      <c r="A3425" s="37" t="inlineStr">
        <is>
          <t>Phani</t>
        </is>
      </c>
      <c r="B3425" s="37" t="inlineStr">
        <is>
          <t>Guindy Solar</t>
        </is>
      </c>
      <c r="C3425" s="37" t="inlineStr">
        <is>
          <t>Grow Green - Solar</t>
        </is>
      </c>
      <c r="D3425" s="37" t="inlineStr">
        <is>
          <t>2026-07-07</t>
        </is>
      </c>
      <c r="E3425" s="37" t="inlineStr">
        <is>
          <t>Aspirant Interaction</t>
        </is>
      </c>
      <c r="F3425" s="37" t="inlineStr">
        <is>
          <t>Ask how many are not interested in jobs — and if so, why they enrolled in the programme?</t>
        </is>
      </c>
      <c r="G3425" s="37" t="inlineStr">
        <is>
          <t>All is Well</t>
        </is>
      </c>
    </row>
    <row r="3426">
      <c r="A3426" s="37" t="inlineStr">
        <is>
          <t>Phani</t>
        </is>
      </c>
      <c r="B3426" s="37" t="inlineStr">
        <is>
          <t>Guindy Solar</t>
        </is>
      </c>
      <c r="C3426" s="37" t="inlineStr">
        <is>
          <t>Grow Green - Solar</t>
        </is>
      </c>
      <c r="D3426" s="37" t="inlineStr">
        <is>
          <t>2026-07-07</t>
        </is>
      </c>
      <c r="E3426" s="37" t="inlineStr">
        <is>
          <t>Aspirant Interaction</t>
        </is>
      </c>
      <c r="F3426" s="37" t="inlineStr">
        <is>
          <t>Ask whether they were told the kind of job they would get during counselling?</t>
        </is>
      </c>
      <c r="G3426" s="37" t="inlineStr">
        <is>
          <t>All is Well</t>
        </is>
      </c>
    </row>
    <row r="3427">
      <c r="A3427" s="37" t="inlineStr">
        <is>
          <t>Phani</t>
        </is>
      </c>
      <c r="B3427" s="37" t="inlineStr">
        <is>
          <t>Guindy Solar</t>
        </is>
      </c>
      <c r="C3427" s="37" t="inlineStr">
        <is>
          <t>Grow Green - Solar</t>
        </is>
      </c>
      <c r="D3427" s="37" t="inlineStr">
        <is>
          <t>2026-07-07</t>
        </is>
      </c>
      <c r="E3427" s="37" t="inlineStr">
        <is>
          <t>Aspirant Interaction</t>
        </is>
      </c>
      <c r="F3427" s="37" t="inlineStr">
        <is>
          <t>Ask whether they have been given LMS access?</t>
        </is>
      </c>
      <c r="G3427" s="37" t="inlineStr">
        <is>
          <t>All is Well</t>
        </is>
      </c>
    </row>
    <row r="3428">
      <c r="A3428" s="37" t="inlineStr">
        <is>
          <t>Phani</t>
        </is>
      </c>
      <c r="B3428" s="37" t="inlineStr">
        <is>
          <t>Guindy Solar</t>
        </is>
      </c>
      <c r="C3428" s="37" t="inlineStr">
        <is>
          <t>Grow Green - Solar</t>
        </is>
      </c>
      <c r="D3428" s="37" t="inlineStr">
        <is>
          <t>2026-07-07</t>
        </is>
      </c>
      <c r="E3428" s="37" t="inlineStr">
        <is>
          <t>Aspirant Interaction</t>
        </is>
      </c>
      <c r="F3428" s="37" t="inlineStr">
        <is>
          <t>Ask whether anyone asked them for money for training or placement?</t>
        </is>
      </c>
      <c r="G3428" s="37" t="inlineStr">
        <is>
          <t>All is Well</t>
        </is>
      </c>
    </row>
    <row r="3429">
      <c r="A3429" s="37" t="inlineStr">
        <is>
          <t>Phani</t>
        </is>
      </c>
      <c r="B3429" s="37" t="inlineStr">
        <is>
          <t>Guindy Solar</t>
        </is>
      </c>
      <c r="C3429" s="37" t="inlineStr">
        <is>
          <t>Grow Green - Solar</t>
        </is>
      </c>
      <c r="D3429" s="37" t="inlineStr">
        <is>
          <t>2026-07-07</t>
        </is>
      </c>
      <c r="E3429" s="37" t="inlineStr">
        <is>
          <t>Aspirant Interaction</t>
        </is>
      </c>
      <c r="F3429" s="37" t="inlineStr">
        <is>
          <t>Ask to show their mobile phones — are they enrolled on Skillfy? If not, get them enrolled and give written feedback to trainers and the AH in your presence.</t>
        </is>
      </c>
      <c r="G3429" s="37" t="inlineStr">
        <is>
          <t>All is Well</t>
        </is>
      </c>
    </row>
    <row r="3430">
      <c r="A3430" s="37" t="inlineStr">
        <is>
          <t>Phani</t>
        </is>
      </c>
      <c r="B3430" s="37" t="inlineStr">
        <is>
          <t>Guindy Solar</t>
        </is>
      </c>
      <c r="C3430" s="37" t="inlineStr">
        <is>
          <t>Grow Green - Solar</t>
        </is>
      </c>
      <c r="D3430" s="37" t="inlineStr">
        <is>
          <t>2026-07-07</t>
        </is>
      </c>
      <c r="E3430" s="37" t="inlineStr">
        <is>
          <t>Aspirant Interaction</t>
        </is>
      </c>
      <c r="F3430" s="37" t="inlineStr">
        <is>
          <t>Ask about the quality of the hostel and any issues they face.</t>
        </is>
      </c>
      <c r="G3430" s="37" t="inlineStr">
        <is>
          <t>All is Well</t>
        </is>
      </c>
    </row>
    <row r="3431">
      <c r="A3431" s="37" t="inlineStr">
        <is>
          <t>Phani</t>
        </is>
      </c>
      <c r="B3431" s="37" t="inlineStr">
        <is>
          <t>Guindy Solar</t>
        </is>
      </c>
      <c r="C3431" s="37" t="inlineStr">
        <is>
          <t>Grow Green - Solar</t>
        </is>
      </c>
      <c r="D3431" s="37" t="inlineStr">
        <is>
          <t>2026-07-07</t>
        </is>
      </c>
      <c r="E3431" s="37" t="inlineStr">
        <is>
          <t>Aspirant Interaction</t>
        </is>
      </c>
      <c r="F3431" s="37" t="inlineStr">
        <is>
          <t>Ask a few relevant screening questions to support the 10th-day report and remove non-serious candidates, explaining to them the reasons.</t>
        </is>
      </c>
      <c r="G3431" s="37" t="inlineStr">
        <is>
          <t>All is Well</t>
        </is>
      </c>
    </row>
    <row r="3432">
      <c r="A3432" s="37" t="inlineStr">
        <is>
          <t>Phani</t>
        </is>
      </c>
      <c r="B3432" s="37" t="inlineStr">
        <is>
          <t>Gajuwaka</t>
        </is>
      </c>
      <c r="C3432" s="37" t="inlineStr">
        <is>
          <t>Grow Youth</t>
        </is>
      </c>
      <c r="D3432" s="37" t="inlineStr">
        <is>
          <t>2026-07-16</t>
        </is>
      </c>
      <c r="E3432" s="37" t="inlineStr">
        <is>
          <t>Data Check</t>
        </is>
      </c>
      <c r="F3432" s="37" t="inlineStr">
        <is>
          <t>Reach the centre on time (unannounced) — confirm the centre opened on time.</t>
        </is>
      </c>
      <c r="G3432" s="37" t="inlineStr">
        <is>
          <t>All is Well</t>
        </is>
      </c>
    </row>
    <row r="3433">
      <c r="A3433" s="37" t="inlineStr">
        <is>
          <t>Phani</t>
        </is>
      </c>
      <c r="B3433" s="37" t="inlineStr">
        <is>
          <t>Gajuwaka</t>
        </is>
      </c>
      <c r="C3433" s="37" t="inlineStr">
        <is>
          <t>Grow Youth</t>
        </is>
      </c>
      <c r="D3433" s="37" t="inlineStr">
        <is>
          <t>2026-07-16</t>
        </is>
      </c>
      <c r="E3433" s="37" t="inlineStr">
        <is>
          <t>Data Check</t>
        </is>
      </c>
      <c r="F3433" s="37" t="inlineStr">
        <is>
          <t>Check the staff attendance register, the Google Sheet, and geo-tagged photos for aspirants.</t>
        </is>
      </c>
      <c r="G3433" s="37" t="inlineStr">
        <is>
          <t>All is Well</t>
        </is>
      </c>
    </row>
    <row r="3434">
      <c r="A3434" s="37" t="inlineStr">
        <is>
          <t>Phani</t>
        </is>
      </c>
      <c r="B3434" s="37" t="inlineStr">
        <is>
          <t>Gajuwaka</t>
        </is>
      </c>
      <c r="C3434" s="37" t="inlineStr">
        <is>
          <t>Grow Youth</t>
        </is>
      </c>
      <c r="D3434" s="37" t="inlineStr">
        <is>
          <t>2026-07-16</t>
        </is>
      </c>
      <c r="E3434" s="37" t="inlineStr">
        <is>
          <t>Data Check</t>
        </is>
      </c>
      <c r="F3434" s="37" t="inlineStr">
        <is>
          <t>Check Counselling and Screening Forms of recently started batches.</t>
        </is>
      </c>
      <c r="G3434" s="37" t="inlineStr">
        <is>
          <t>All is Well</t>
        </is>
      </c>
    </row>
    <row r="3435">
      <c r="A3435" s="37" t="inlineStr">
        <is>
          <t>Phani</t>
        </is>
      </c>
      <c r="B3435" s="37" t="inlineStr">
        <is>
          <t>Gajuwaka</t>
        </is>
      </c>
      <c r="C3435" s="37" t="inlineStr">
        <is>
          <t>Grow Youth</t>
        </is>
      </c>
      <c r="D3435" s="37" t="inlineStr">
        <is>
          <t>2026-07-16</t>
        </is>
      </c>
      <c r="E3435" s="37" t="inlineStr">
        <is>
          <t>Data Check</t>
        </is>
      </c>
      <c r="F3435" s="37" t="inlineStr">
        <is>
          <t>Check Aspirant Registration Forms and related documents.</t>
        </is>
      </c>
      <c r="G3435" s="37" t="inlineStr">
        <is>
          <t>All is Well</t>
        </is>
      </c>
    </row>
    <row r="3436">
      <c r="A3436" s="37" t="inlineStr">
        <is>
          <t>Phani</t>
        </is>
      </c>
      <c r="B3436" s="37" t="inlineStr">
        <is>
          <t>Gajuwaka</t>
        </is>
      </c>
      <c r="C3436" s="37" t="inlineStr">
        <is>
          <t>Grow Youth</t>
        </is>
      </c>
      <c r="D3436" s="37" t="inlineStr">
        <is>
          <t>2026-07-16</t>
        </is>
      </c>
      <c r="E3436" s="37" t="inlineStr">
        <is>
          <t>Data Check</t>
        </is>
      </c>
      <c r="F3436" s="37" t="inlineStr">
        <is>
          <t>On the GROW portal, confirm all student profile details and batch updates are currect.</t>
        </is>
      </c>
      <c r="G3436" s="37" t="inlineStr">
        <is>
          <t>All is Well</t>
        </is>
      </c>
    </row>
    <row r="3437">
      <c r="A3437" s="37" t="inlineStr">
        <is>
          <t>Phani</t>
        </is>
      </c>
      <c r="B3437" s="37" t="inlineStr">
        <is>
          <t>Gajuwaka</t>
        </is>
      </c>
      <c r="C3437" s="37" t="inlineStr">
        <is>
          <t>Grow Youth</t>
        </is>
      </c>
      <c r="D3437" s="37" t="inlineStr">
        <is>
          <t>2026-07-16</t>
        </is>
      </c>
      <c r="E3437" s="37" t="inlineStr">
        <is>
          <t>Data Check</t>
        </is>
      </c>
      <c r="F3437" s="37" t="inlineStr">
        <is>
          <t>Verify placement data — randomly call 3–4 alumni placed in the last 3 months to confirm veracity (random selection is essential).</t>
        </is>
      </c>
      <c r="G3437" s="37" t="inlineStr">
        <is>
          <t>Not Applicable</t>
        </is>
      </c>
    </row>
    <row r="3438">
      <c r="A3438" s="37" t="inlineStr">
        <is>
          <t>Phani</t>
        </is>
      </c>
      <c r="B3438" s="37" t="inlineStr">
        <is>
          <t>Gajuwaka</t>
        </is>
      </c>
      <c r="C3438" s="37" t="inlineStr">
        <is>
          <t>Grow Youth</t>
        </is>
      </c>
      <c r="D3438" s="37" t="inlineStr">
        <is>
          <t>2026-07-16</t>
        </is>
      </c>
      <c r="E3438" s="37" t="inlineStr">
        <is>
          <t>Data Check</t>
        </is>
      </c>
      <c r="F3438" s="37" t="inlineStr">
        <is>
          <t>Verify retention — check the Alumni Hand-holding Format is being updated as designed.</t>
        </is>
      </c>
      <c r="G3438" s="37" t="inlineStr">
        <is>
          <t>Not Applicable</t>
        </is>
      </c>
    </row>
    <row r="3439">
      <c r="A3439" s="37" t="inlineStr">
        <is>
          <t>Phani</t>
        </is>
      </c>
      <c r="B3439" s="37" t="inlineStr">
        <is>
          <t>Gajuwaka</t>
        </is>
      </c>
      <c r="C3439" s="37" t="inlineStr">
        <is>
          <t>Grow Youth</t>
        </is>
      </c>
      <c r="D3439" s="37" t="inlineStr">
        <is>
          <t>2026-07-16</t>
        </is>
      </c>
      <c r="E3439" s="37" t="inlineStr">
        <is>
          <t>Data Check</t>
        </is>
      </c>
      <c r="F3439" s="37" t="inlineStr">
        <is>
          <t>Check aspirant Hostel Forms are properly filled or not.</t>
        </is>
      </c>
      <c r="G3439" s="37" t="inlineStr">
        <is>
          <t>Not Applicable</t>
        </is>
      </c>
    </row>
    <row r="3440">
      <c r="A3440" s="37" t="inlineStr">
        <is>
          <t>Phani</t>
        </is>
      </c>
      <c r="B3440" s="37" t="inlineStr">
        <is>
          <t>Gajuwaka</t>
        </is>
      </c>
      <c r="C3440" s="37" t="inlineStr">
        <is>
          <t>Grow Youth</t>
        </is>
      </c>
      <c r="D3440" s="37" t="inlineStr">
        <is>
          <t>2026-07-16</t>
        </is>
      </c>
      <c r="E3440" s="37" t="inlineStr">
        <is>
          <t>Infra Check</t>
        </is>
      </c>
      <c r="F3440" s="37" t="inlineStr">
        <is>
          <t>Check all CCTV cameras; if any are not working, ask the AH to troubleshoot or call the vendor.</t>
        </is>
      </c>
      <c r="G3440" s="37" t="inlineStr">
        <is>
          <t>All is Well</t>
        </is>
      </c>
    </row>
    <row r="3441">
      <c r="A3441" s="37" t="inlineStr">
        <is>
          <t>Phani</t>
        </is>
      </c>
      <c r="B3441" s="37" t="inlineStr">
        <is>
          <t>Gajuwaka</t>
        </is>
      </c>
      <c r="C3441" s="37" t="inlineStr">
        <is>
          <t>Grow Youth</t>
        </is>
      </c>
      <c r="D3441" s="37" t="inlineStr">
        <is>
          <t>2026-07-16</t>
        </is>
      </c>
      <c r="E3441" s="37" t="inlineStr">
        <is>
          <t>Infra Check</t>
        </is>
      </c>
      <c r="F3441" s="37" t="inlineStr">
        <is>
          <t>Check for any scrap material and get it cleared, with support of Admin</t>
        </is>
      </c>
      <c r="G3441" s="37" t="inlineStr">
        <is>
          <t>All is Well</t>
        </is>
      </c>
    </row>
    <row r="3442">
      <c r="A3442" s="37" t="inlineStr">
        <is>
          <t>Phani</t>
        </is>
      </c>
      <c r="B3442" s="37" t="inlineStr">
        <is>
          <t>Gajuwaka</t>
        </is>
      </c>
      <c r="C3442" s="37" t="inlineStr">
        <is>
          <t>Grow Youth</t>
        </is>
      </c>
      <c r="D3442" s="37" t="inlineStr">
        <is>
          <t>2026-07-16</t>
        </is>
      </c>
      <c r="E3442" s="37" t="inlineStr">
        <is>
          <t>Infra Check</t>
        </is>
      </c>
      <c r="F3442" s="37" t="inlineStr">
        <is>
          <t>Check for any pending infra repairs.</t>
        </is>
      </c>
      <c r="G3442" s="37" t="inlineStr">
        <is>
          <t>Need Improvement</t>
        </is>
      </c>
    </row>
    <row r="3443">
      <c r="A3443" s="37" t="inlineStr">
        <is>
          <t>Phani</t>
        </is>
      </c>
      <c r="B3443" s="37" t="inlineStr">
        <is>
          <t>Gajuwaka</t>
        </is>
      </c>
      <c r="C3443" s="37" t="inlineStr">
        <is>
          <t>Grow Youth</t>
        </is>
      </c>
      <c r="D3443" s="37" t="inlineStr">
        <is>
          <t>2026-07-16</t>
        </is>
      </c>
      <c r="E3443" s="37" t="inlineStr">
        <is>
          <t>Infra Check</t>
        </is>
      </c>
      <c r="F3443" s="37" t="inlineStr">
        <is>
          <t>Check whether any fire extinguishers have expired (check the needle and expiry date both).</t>
        </is>
      </c>
      <c r="G3443" s="37" t="inlineStr">
        <is>
          <t>All is Well</t>
        </is>
      </c>
    </row>
    <row r="3444">
      <c r="A3444" s="37" t="inlineStr">
        <is>
          <t>Phani</t>
        </is>
      </c>
      <c r="B3444" s="37" t="inlineStr">
        <is>
          <t>Gajuwaka</t>
        </is>
      </c>
      <c r="C3444" s="37" t="inlineStr">
        <is>
          <t>Grow Youth</t>
        </is>
      </c>
      <c r="D3444" s="37" t="inlineStr">
        <is>
          <t>2026-07-16</t>
        </is>
      </c>
      <c r="E3444" s="37" t="inlineStr">
        <is>
          <t>Infra Check</t>
        </is>
      </c>
      <c r="F3444" s="37" t="inlineStr">
        <is>
          <t>Check basic cleanliness of the washrooms and the centre.</t>
        </is>
      </c>
      <c r="G3444" s="37" t="inlineStr">
        <is>
          <t>Need Improvement</t>
        </is>
      </c>
    </row>
    <row r="3445">
      <c r="A3445" s="37" t="inlineStr">
        <is>
          <t>Phani</t>
        </is>
      </c>
      <c r="B3445" s="37" t="inlineStr">
        <is>
          <t>Gajuwaka</t>
        </is>
      </c>
      <c r="C3445" s="37" t="inlineStr">
        <is>
          <t>Grow Youth</t>
        </is>
      </c>
      <c r="D3445" s="37" t="inlineStr">
        <is>
          <t>2026-07-16</t>
        </is>
      </c>
      <c r="E3445" s="37" t="inlineStr">
        <is>
          <t>Infra Check</t>
        </is>
      </c>
      <c r="F3445" s="37" t="inlineStr">
        <is>
          <t>Confirm the correct program and partner logos are displayed.</t>
        </is>
      </c>
      <c r="G3445" s="37" t="inlineStr">
        <is>
          <t>All is Well</t>
        </is>
      </c>
    </row>
    <row r="3446">
      <c r="A3446" s="37" t="inlineStr">
        <is>
          <t>Phani</t>
        </is>
      </c>
      <c r="B3446" s="37" t="inlineStr">
        <is>
          <t>Gajuwaka</t>
        </is>
      </c>
      <c r="C3446" s="37" t="inlineStr">
        <is>
          <t>Grow Youth</t>
        </is>
      </c>
      <c r="D3446" s="37" t="inlineStr">
        <is>
          <t>2026-07-16</t>
        </is>
      </c>
      <c r="E3446" s="37" t="inlineStr">
        <is>
          <t>Infra Check</t>
        </is>
      </c>
      <c r="F3446" s="37" t="inlineStr">
        <is>
          <t>Check the status of digital infra — PCs, smartboards, tablets, laptops, etc.</t>
        </is>
      </c>
      <c r="G3446" s="37" t="inlineStr">
        <is>
          <t>All is Well</t>
        </is>
      </c>
    </row>
    <row r="3447">
      <c r="A3447" s="37" t="inlineStr">
        <is>
          <t>Phani</t>
        </is>
      </c>
      <c r="B3447" s="37" t="inlineStr">
        <is>
          <t>Gajuwaka</t>
        </is>
      </c>
      <c r="C3447" s="37" t="inlineStr">
        <is>
          <t>Grow Youth</t>
        </is>
      </c>
      <c r="D3447" s="37" t="inlineStr">
        <is>
          <t>2026-07-16</t>
        </is>
      </c>
      <c r="E3447" s="37" t="inlineStr">
        <is>
          <t>Infra Check</t>
        </is>
      </c>
      <c r="F3447" s="37" t="inlineStr">
        <is>
          <t>Make a quick hostel visit; have lunch there if possible to test the food quality.</t>
        </is>
      </c>
      <c r="G3447" s="37" t="inlineStr">
        <is>
          <t>Not Applicable</t>
        </is>
      </c>
    </row>
    <row r="3448">
      <c r="A3448" s="37" t="inlineStr">
        <is>
          <t>Phani</t>
        </is>
      </c>
      <c r="B3448" s="37" t="inlineStr">
        <is>
          <t>Gajuwaka</t>
        </is>
      </c>
      <c r="C3448" s="37" t="inlineStr">
        <is>
          <t>Grow Youth</t>
        </is>
      </c>
      <c r="D3448" s="37" t="inlineStr">
        <is>
          <t>2026-07-16</t>
        </is>
      </c>
      <c r="E3448" s="37" t="inlineStr">
        <is>
          <t>Process Check</t>
        </is>
      </c>
      <c r="F3448" s="37" t="inlineStr">
        <is>
          <t>Refer to the activity planner — check if any activities are delayed.</t>
        </is>
      </c>
      <c r="G3448" s="37" t="inlineStr">
        <is>
          <t>Not Applicable</t>
        </is>
      </c>
    </row>
    <row r="3449">
      <c r="A3449" s="37" t="inlineStr">
        <is>
          <t>Phani</t>
        </is>
      </c>
      <c r="B3449" s="37" t="inlineStr">
        <is>
          <t>Gajuwaka</t>
        </is>
      </c>
      <c r="C3449" s="37" t="inlineStr">
        <is>
          <t>Grow Youth</t>
        </is>
      </c>
      <c r="D3449" s="37" t="inlineStr">
        <is>
          <t>2026-07-16</t>
        </is>
      </c>
      <c r="E3449" s="37" t="inlineStr">
        <is>
          <t>Process Check</t>
        </is>
      </c>
      <c r="F3449" s="37" t="inlineStr">
        <is>
          <t>Check planning for the next batch-start announcement.</t>
        </is>
      </c>
      <c r="G3449" s="37" t="inlineStr">
        <is>
          <t>All is Well</t>
        </is>
      </c>
    </row>
    <row r="3450">
      <c r="A3450" s="37" t="inlineStr">
        <is>
          <t>Phani</t>
        </is>
      </c>
      <c r="B3450" s="37" t="inlineStr">
        <is>
          <t>Gajuwaka</t>
        </is>
      </c>
      <c r="C3450" s="37" t="inlineStr">
        <is>
          <t>Grow Youth</t>
        </is>
      </c>
      <c r="D3450" s="37" t="inlineStr">
        <is>
          <t>2026-07-16</t>
        </is>
      </c>
      <c r="E3450" s="37" t="inlineStr">
        <is>
          <t>Process Check</t>
        </is>
      </c>
      <c r="F3450" s="37" t="inlineStr">
        <is>
          <t>Check if any hiring is delayed and plan a resolution.</t>
        </is>
      </c>
      <c r="G3450" s="37" t="inlineStr">
        <is>
          <t>All is Well</t>
        </is>
      </c>
    </row>
    <row r="3451">
      <c r="A3451" s="37" t="inlineStr">
        <is>
          <t>Phani</t>
        </is>
      </c>
      <c r="B3451" s="37" t="inlineStr">
        <is>
          <t>Gajuwaka</t>
        </is>
      </c>
      <c r="C3451" s="37" t="inlineStr">
        <is>
          <t>Grow Youth</t>
        </is>
      </c>
      <c r="D3451" s="37" t="inlineStr">
        <is>
          <t>2026-07-16</t>
        </is>
      </c>
      <c r="E3451" s="37" t="inlineStr">
        <is>
          <t>Process Check</t>
        </is>
      </c>
      <c r="F3451" s="37" t="inlineStr">
        <is>
          <t>Check the CA’s diary — is CA guided daily by the AH during planning days?</t>
        </is>
      </c>
      <c r="G3451" s="37" t="inlineStr">
        <is>
          <t>Need Improvement</t>
        </is>
      </c>
    </row>
    <row r="3452">
      <c r="A3452" s="37" t="inlineStr">
        <is>
          <t>Phani</t>
        </is>
      </c>
      <c r="B3452" s="37" t="inlineStr">
        <is>
          <t>Gajuwaka</t>
        </is>
      </c>
      <c r="C3452" s="37" t="inlineStr">
        <is>
          <t>Grow Youth</t>
        </is>
      </c>
      <c r="D3452" s="37" t="inlineStr">
        <is>
          <t>2026-07-16</t>
        </is>
      </c>
      <c r="E3452" s="37" t="inlineStr">
        <is>
          <t>Process Check</t>
        </is>
      </c>
      <c r="F3452" s="37" t="inlineStr">
        <is>
          <t>Check the AH is regularly meeting employers (in person and online) and updating the centre’s Top 20 Employer format.</t>
        </is>
      </c>
      <c r="G3452" s="37" t="inlineStr">
        <is>
          <t>Not Applicable</t>
        </is>
      </c>
    </row>
    <row r="3453">
      <c r="A3453" s="37" t="inlineStr">
        <is>
          <t>Phani</t>
        </is>
      </c>
      <c r="B3453" s="37" t="inlineStr">
        <is>
          <t>Gajuwaka</t>
        </is>
      </c>
      <c r="C3453" s="37" t="inlineStr">
        <is>
          <t>Grow Youth</t>
        </is>
      </c>
      <c r="D3453" s="37" t="inlineStr">
        <is>
          <t>2026-07-16</t>
        </is>
      </c>
      <c r="E3453" s="37" t="inlineStr">
        <is>
          <t>Process Check</t>
        </is>
      </c>
      <c r="F3453" s="37" t="inlineStr">
        <is>
          <t>Confirm all new employers are registered on portal as per new process.</t>
        </is>
      </c>
      <c r="G3453" s="37" t="inlineStr">
        <is>
          <t>Not Applicable</t>
        </is>
      </c>
    </row>
    <row r="3454">
      <c r="A3454" s="37" t="inlineStr">
        <is>
          <t>Phani</t>
        </is>
      </c>
      <c r="B3454" s="37" t="inlineStr">
        <is>
          <t>Gajuwaka</t>
        </is>
      </c>
      <c r="C3454" s="37" t="inlineStr">
        <is>
          <t>Grow Youth</t>
        </is>
      </c>
      <c r="D3454" s="37" t="inlineStr">
        <is>
          <t>2026-07-16</t>
        </is>
      </c>
      <c r="E3454" s="37" t="inlineStr">
        <is>
          <t>Process Check</t>
        </is>
      </c>
      <c r="F3454" s="37" t="inlineStr">
        <is>
          <t>Confirm 100% of enrolled students undergone screening (for technical courses).</t>
        </is>
      </c>
      <c r="G3454" s="37" t="inlineStr">
        <is>
          <t>Not Applicable</t>
        </is>
      </c>
    </row>
    <row r="3455">
      <c r="A3455" s="37" t="inlineStr">
        <is>
          <t>Phani</t>
        </is>
      </c>
      <c r="B3455" s="37" t="inlineStr">
        <is>
          <t>Gajuwaka</t>
        </is>
      </c>
      <c r="C3455" s="37" t="inlineStr">
        <is>
          <t>Grow Youth</t>
        </is>
      </c>
      <c r="D3455" s="37" t="inlineStr">
        <is>
          <t>2026-07-16</t>
        </is>
      </c>
      <c r="E3455" s="37" t="inlineStr">
        <is>
          <t>Process Check</t>
        </is>
      </c>
      <c r="F3455" s="37" t="inlineStr">
        <is>
          <t>Confirm ESA is done (in GROW full ESA and in Technical courses relevant sections of Core Employability Part).</t>
        </is>
      </c>
      <c r="G3455" s="37" t="inlineStr">
        <is>
          <t>All is Well</t>
        </is>
      </c>
    </row>
    <row r="3456">
      <c r="A3456" s="37" t="inlineStr">
        <is>
          <t>Phani</t>
        </is>
      </c>
      <c r="B3456" s="37" t="inlineStr">
        <is>
          <t>Gajuwaka</t>
        </is>
      </c>
      <c r="C3456" s="37" t="inlineStr">
        <is>
          <t>Grow Youth</t>
        </is>
      </c>
      <c r="D3456" s="37" t="inlineStr">
        <is>
          <t>2026-07-16</t>
        </is>
      </c>
      <c r="E3456" s="37" t="inlineStr">
        <is>
          <t>Process Check</t>
        </is>
      </c>
      <c r="F3456" s="37" t="inlineStr">
        <is>
          <t>Check is AH giving capstone project in GROW Tech.</t>
        </is>
      </c>
      <c r="G3456" s="37" t="inlineStr">
        <is>
          <t>Not Applicable</t>
        </is>
      </c>
    </row>
    <row r="3457">
      <c r="A3457" s="37" t="inlineStr">
        <is>
          <t>Phani</t>
        </is>
      </c>
      <c r="B3457" s="37" t="inlineStr">
        <is>
          <t>Gajuwaka</t>
        </is>
      </c>
      <c r="C3457" s="37" t="inlineStr">
        <is>
          <t>Grow Youth</t>
        </is>
      </c>
      <c r="D3457" s="37" t="inlineStr">
        <is>
          <t>2026-07-16</t>
        </is>
      </c>
      <c r="E3457" s="37" t="inlineStr">
        <is>
          <t>Process Check</t>
        </is>
      </c>
      <c r="F3457" s="37" t="inlineStr">
        <is>
          <t>Check is AH planning OJT as per guidelines and proofs are collected for technical courses.</t>
        </is>
      </c>
      <c r="G3457" s="37" t="inlineStr">
        <is>
          <t>Not Applicable</t>
        </is>
      </c>
    </row>
    <row r="3458">
      <c r="A3458" s="37" t="inlineStr">
        <is>
          <t>Phani</t>
        </is>
      </c>
      <c r="B3458" s="37" t="inlineStr">
        <is>
          <t>Gajuwaka</t>
        </is>
      </c>
      <c r="C3458" s="37" t="inlineStr">
        <is>
          <t>Grow Youth</t>
        </is>
      </c>
      <c r="D3458" s="37" t="inlineStr">
        <is>
          <t>2026-07-16</t>
        </is>
      </c>
      <c r="E3458" s="37" t="inlineStr">
        <is>
          <t>Process Check</t>
        </is>
      </c>
      <c r="F3458" s="37" t="inlineStr">
        <is>
          <t>Check are trainers contacting aspirants to find reason for their absenteeism of more than 1 day.</t>
        </is>
      </c>
      <c r="G3458" s="37" t="inlineStr">
        <is>
          <t>All is Well</t>
        </is>
      </c>
    </row>
    <row r="3459">
      <c r="A3459" s="37" t="inlineStr">
        <is>
          <t>Phani</t>
        </is>
      </c>
      <c r="B3459" s="37" t="inlineStr">
        <is>
          <t>Gajuwaka</t>
        </is>
      </c>
      <c r="C3459" s="37" t="inlineStr">
        <is>
          <t>Grow Youth</t>
        </is>
      </c>
      <c r="D3459" s="37" t="inlineStr">
        <is>
          <t>2026-07-16</t>
        </is>
      </c>
      <c r="E3459" s="37" t="inlineStr">
        <is>
          <t>Process Check</t>
        </is>
      </c>
      <c r="F3459" s="37" t="inlineStr">
        <is>
          <t>Check the AH plans monthly enrolment and placement numbers by the 3rd of each month and shares them with second level managers.</t>
        </is>
      </c>
      <c r="G3459" s="37" t="inlineStr">
        <is>
          <t>All is Well</t>
        </is>
      </c>
    </row>
    <row r="3460">
      <c r="A3460" s="37" t="inlineStr">
        <is>
          <t>Phani</t>
        </is>
      </c>
      <c r="B3460" s="37" t="inlineStr">
        <is>
          <t>Gajuwaka</t>
        </is>
      </c>
      <c r="C3460" s="37" t="inlineStr">
        <is>
          <t>Grow Youth</t>
        </is>
      </c>
      <c r="D3460" s="37" t="inlineStr">
        <is>
          <t>2026-07-16</t>
        </is>
      </c>
      <c r="E3460" s="37" t="inlineStr">
        <is>
          <t>Process Check</t>
        </is>
      </c>
      <c r="F3460" s="37" t="inlineStr">
        <is>
          <t>Check trainers submit aspirants’ placement interest areas to the AH by the batch’s 25th day (in GROW).</t>
        </is>
      </c>
      <c r="G3460" s="37" t="inlineStr">
        <is>
          <t>Not Applicable</t>
        </is>
      </c>
    </row>
    <row r="3461">
      <c r="A3461" s="37" t="inlineStr">
        <is>
          <t>Phani</t>
        </is>
      </c>
      <c r="B3461" s="37" t="inlineStr">
        <is>
          <t>Gajuwaka</t>
        </is>
      </c>
      <c r="C3461" s="37" t="inlineStr">
        <is>
          <t>Grow Youth</t>
        </is>
      </c>
      <c r="D3461" s="37" t="inlineStr">
        <is>
          <t>2026-07-16</t>
        </is>
      </c>
      <c r="E3461" s="37" t="inlineStr">
        <is>
          <t>Process Check</t>
        </is>
      </c>
      <c r="F3461" s="37" t="inlineStr">
        <is>
          <t>Ckeck For technical programs, placement is done only in technical jobs,on which aspirants are trained and relevant emplyers are identified by 45th day.</t>
        </is>
      </c>
      <c r="G3461" s="37" t="inlineStr">
        <is>
          <t>Not Applicable</t>
        </is>
      </c>
    </row>
    <row r="3462">
      <c r="A3462" s="37" t="inlineStr">
        <is>
          <t>Phani</t>
        </is>
      </c>
      <c r="B3462" s="37" t="inlineStr">
        <is>
          <t>Gajuwaka</t>
        </is>
      </c>
      <c r="C3462" s="37" t="inlineStr">
        <is>
          <t>Grow Youth</t>
        </is>
      </c>
      <c r="D3462" s="37" t="inlineStr">
        <is>
          <t>2026-07-16</t>
        </is>
      </c>
      <c r="E3462" s="37" t="inlineStr">
        <is>
          <t>Process Check</t>
        </is>
      </c>
      <c r="F3462" s="37" t="inlineStr">
        <is>
          <t>Check the AH follows EP guidelines and minimum benchmark salary guidelines.</t>
        </is>
      </c>
      <c r="G3462" s="37" t="inlineStr">
        <is>
          <t>Not Applicable</t>
        </is>
      </c>
    </row>
    <row r="3463">
      <c r="A3463" s="37" t="inlineStr">
        <is>
          <t>Phani</t>
        </is>
      </c>
      <c r="B3463" s="37" t="inlineStr">
        <is>
          <t>Gajuwaka</t>
        </is>
      </c>
      <c r="C3463" s="37" t="inlineStr">
        <is>
          <t>Grow Youth</t>
        </is>
      </c>
      <c r="D3463" s="37" t="inlineStr">
        <is>
          <t>2026-07-16</t>
        </is>
      </c>
      <c r="E3463" s="37" t="inlineStr">
        <is>
          <t>Process Check</t>
        </is>
      </c>
      <c r="F3463" s="37" t="inlineStr">
        <is>
          <t>Check that AH is enrolling only the right traget group in the program -as per the defined target.</t>
        </is>
      </c>
      <c r="G3463" s="37" t="inlineStr">
        <is>
          <t>All is Well</t>
        </is>
      </c>
    </row>
    <row r="3464">
      <c r="A3464" s="37" t="inlineStr">
        <is>
          <t>Phani</t>
        </is>
      </c>
      <c r="B3464" s="37" t="inlineStr">
        <is>
          <t>Gajuwaka</t>
        </is>
      </c>
      <c r="C3464" s="37" t="inlineStr">
        <is>
          <t>Grow Youth</t>
        </is>
      </c>
      <c r="D3464" s="37" t="inlineStr">
        <is>
          <t>2026-07-16</t>
        </is>
      </c>
      <c r="E3464" s="37" t="inlineStr">
        <is>
          <t>Process Check</t>
        </is>
      </c>
      <c r="F3464" s="37" t="inlineStr">
        <is>
          <t>Check the AH announces the next batch-start date by the 3rd of the month on all notice boards — focus on Zero-Day start.</t>
        </is>
      </c>
      <c r="G3464" s="37" t="inlineStr">
        <is>
          <t>All is Well</t>
        </is>
      </c>
    </row>
    <row r="3465">
      <c r="A3465" s="37" t="inlineStr">
        <is>
          <t>Phani</t>
        </is>
      </c>
      <c r="B3465" s="37" t="inlineStr">
        <is>
          <t>Gajuwaka</t>
        </is>
      </c>
      <c r="C3465" s="37" t="inlineStr">
        <is>
          <t>Grow Youth</t>
        </is>
      </c>
      <c r="D3465" s="37" t="inlineStr">
        <is>
          <t>2026-07-16</t>
        </is>
      </c>
      <c r="E3465" s="37" t="inlineStr">
        <is>
          <t>Process Check</t>
        </is>
      </c>
      <c r="F3465" s="37" t="inlineStr">
        <is>
          <t>Check the Aspirant Mock Interview Score Tracker is updated after every mock interview in the L&amp;D Google Sheet.</t>
        </is>
      </c>
      <c r="G3465" s="37" t="inlineStr">
        <is>
          <t>Not Applicable</t>
        </is>
      </c>
    </row>
    <row r="3466">
      <c r="A3466" s="37" t="inlineStr">
        <is>
          <t>Phani</t>
        </is>
      </c>
      <c r="B3466" s="37" t="inlineStr">
        <is>
          <t>Gajuwaka</t>
        </is>
      </c>
      <c r="C3466" s="37" t="inlineStr">
        <is>
          <t>Grow Youth</t>
        </is>
      </c>
      <c r="D3466" s="37" t="inlineStr">
        <is>
          <t>2026-07-16</t>
        </is>
      </c>
      <c r="E3466" s="37" t="inlineStr">
        <is>
          <t>Process Check</t>
        </is>
      </c>
      <c r="F3466" s="37" t="inlineStr">
        <is>
          <t>Confirm NPS (Net Promoter Score) is collected at MSDF centres.</t>
        </is>
      </c>
      <c r="G3466" s="37" t="inlineStr">
        <is>
          <t>Not Applicable</t>
        </is>
      </c>
    </row>
    <row r="3467">
      <c r="A3467" s="37" t="inlineStr">
        <is>
          <t>Phani</t>
        </is>
      </c>
      <c r="B3467" s="37" t="inlineStr">
        <is>
          <t>Gajuwaka</t>
        </is>
      </c>
      <c r="C3467" s="37" t="inlineStr">
        <is>
          <t>Grow Youth</t>
        </is>
      </c>
      <c r="D3467" s="37" t="inlineStr">
        <is>
          <t>2026-07-16</t>
        </is>
      </c>
      <c r="E3467" s="37" t="inlineStr">
        <is>
          <t>Process Check</t>
        </is>
      </c>
      <c r="F3467" s="37" t="inlineStr">
        <is>
          <t>Confirm that QAE is collecting student feedback for every batch.</t>
        </is>
      </c>
      <c r="G3467" s="37" t="inlineStr">
        <is>
          <t>Not Applicable</t>
        </is>
      </c>
    </row>
    <row r="3468">
      <c r="A3468" s="37" t="inlineStr">
        <is>
          <t>Phani</t>
        </is>
      </c>
      <c r="B3468" s="37" t="inlineStr">
        <is>
          <t>Gajuwaka</t>
        </is>
      </c>
      <c r="C3468" s="37" t="inlineStr">
        <is>
          <t>Grow Youth</t>
        </is>
      </c>
      <c r="D3468" s="37" t="inlineStr">
        <is>
          <t>2026-07-16</t>
        </is>
      </c>
      <c r="E3468" s="37" t="inlineStr">
        <is>
          <t>Process Check</t>
        </is>
      </c>
      <c r="F3468" s="37" t="inlineStr">
        <is>
          <t>Confirm all centre teams have completed the GROW Manual Course on Skillfy — ask for achievement certificates.</t>
        </is>
      </c>
      <c r="G3468" s="37" t="inlineStr">
        <is>
          <t>All is Well</t>
        </is>
      </c>
    </row>
    <row r="3469">
      <c r="A3469" s="37" t="inlineStr">
        <is>
          <t>Phani</t>
        </is>
      </c>
      <c r="B3469" s="37" t="inlineStr">
        <is>
          <t>Gajuwaka</t>
        </is>
      </c>
      <c r="C3469" s="37" t="inlineStr">
        <is>
          <t>Grow Youth</t>
        </is>
      </c>
      <c r="D3469" s="37" t="inlineStr">
        <is>
          <t>2026-07-16</t>
        </is>
      </c>
      <c r="E3469" s="37" t="inlineStr">
        <is>
          <t>Process Check</t>
        </is>
      </c>
      <c r="F3469" s="37" t="inlineStr">
        <is>
          <t>Check AH holds a quality weekly team meeting, documents action points in the weekly meeting format, and sends you a photo on WhatsApp.</t>
        </is>
      </c>
      <c r="G3469" s="37" t="inlineStr">
        <is>
          <t>Need Improvement</t>
        </is>
      </c>
    </row>
    <row r="3470">
      <c r="A3470" s="37" t="inlineStr">
        <is>
          <t>Phani</t>
        </is>
      </c>
      <c r="B3470" s="37" t="inlineStr">
        <is>
          <t>Gajuwaka</t>
        </is>
      </c>
      <c r="C3470" s="37" t="inlineStr">
        <is>
          <t>Grow Youth</t>
        </is>
      </c>
      <c r="D3470" s="37" t="inlineStr">
        <is>
          <t>2026-07-16</t>
        </is>
      </c>
      <c r="E3470" s="37" t="inlineStr">
        <is>
          <t>Aspirant Interaction</t>
        </is>
      </c>
      <c r="F3470" s="37" t="inlineStr">
        <is>
          <t>Ask aspirants about the session plan — confirm training is happening as planned?</t>
        </is>
      </c>
      <c r="G3470" s="37" t="inlineStr">
        <is>
          <t>All is Well</t>
        </is>
      </c>
    </row>
    <row r="3471">
      <c r="A3471" s="37" t="inlineStr">
        <is>
          <t>Phani</t>
        </is>
      </c>
      <c r="B3471" s="37" t="inlineStr">
        <is>
          <t>Gajuwaka</t>
        </is>
      </c>
      <c r="C3471" s="37" t="inlineStr">
        <is>
          <t>Grow Youth</t>
        </is>
      </c>
      <c r="D3471" s="37" t="inlineStr">
        <is>
          <t>2026-07-16</t>
        </is>
      </c>
      <c r="E3471" s="37" t="inlineStr">
        <is>
          <t>Aspirant Interaction</t>
        </is>
      </c>
      <c r="F3471" s="37" t="inlineStr">
        <is>
          <t>Ask about the quality of Core Employability component delivery (technical centres) and who delivers it.</t>
        </is>
      </c>
      <c r="G3471" s="37" t="inlineStr">
        <is>
          <t>Not Applicable</t>
        </is>
      </c>
    </row>
    <row r="3472">
      <c r="A3472" s="37" t="inlineStr">
        <is>
          <t>Phani</t>
        </is>
      </c>
      <c r="B3472" s="37" t="inlineStr">
        <is>
          <t>Gajuwaka</t>
        </is>
      </c>
      <c r="C3472" s="37" t="inlineStr">
        <is>
          <t>Grow Youth</t>
        </is>
      </c>
      <c r="D3472" s="37" t="inlineStr">
        <is>
          <t>2026-07-16</t>
        </is>
      </c>
      <c r="E3472" s="37" t="inlineStr">
        <is>
          <t>Aspirant Interaction</t>
        </is>
      </c>
      <c r="F3472" s="37" t="inlineStr">
        <is>
          <t>Ask whether they are aware of the referral scheme?</t>
        </is>
      </c>
      <c r="G3472" s="37" t="inlineStr">
        <is>
          <t>All is Well</t>
        </is>
      </c>
    </row>
    <row r="3473">
      <c r="A3473" s="37" t="inlineStr">
        <is>
          <t>Phani</t>
        </is>
      </c>
      <c r="B3473" s="37" t="inlineStr">
        <is>
          <t>Gajuwaka</t>
        </is>
      </c>
      <c r="C3473" s="37" t="inlineStr">
        <is>
          <t>Grow Youth</t>
        </is>
      </c>
      <c r="D3473" s="37" t="inlineStr">
        <is>
          <t>2026-07-16</t>
        </is>
      </c>
      <c r="E3473" s="37" t="inlineStr">
        <is>
          <t>Aspirant Interaction</t>
        </is>
      </c>
      <c r="F3473" s="37" t="inlineStr">
        <is>
          <t>Ask whether the AH explained the importance of the offer letter and sharing it with us once received for reporting purposes?</t>
        </is>
      </c>
      <c r="G3473" s="37" t="inlineStr">
        <is>
          <t>Not Applicable</t>
        </is>
      </c>
    </row>
    <row r="3474">
      <c r="A3474" s="37" t="inlineStr">
        <is>
          <t>Phani</t>
        </is>
      </c>
      <c r="B3474" s="37" t="inlineStr">
        <is>
          <t>Gajuwaka</t>
        </is>
      </c>
      <c r="C3474" s="37" t="inlineStr">
        <is>
          <t>Grow Youth</t>
        </is>
      </c>
      <c r="D3474" s="37" t="inlineStr">
        <is>
          <t>2026-07-16</t>
        </is>
      </c>
      <c r="E3474" s="37" t="inlineStr">
        <is>
          <t>Aspirant Interaction</t>
        </is>
      </c>
      <c r="F3474" s="37" t="inlineStr">
        <is>
          <t>Ask how many are not interested in jobs — and if so, why they enrolled in the programme?</t>
        </is>
      </c>
      <c r="G3474" s="37" t="inlineStr">
        <is>
          <t>All is Well</t>
        </is>
      </c>
    </row>
    <row r="3475">
      <c r="A3475" s="37" t="inlineStr">
        <is>
          <t>Phani</t>
        </is>
      </c>
      <c r="B3475" s="37" t="inlineStr">
        <is>
          <t>Gajuwaka</t>
        </is>
      </c>
      <c r="C3475" s="37" t="inlineStr">
        <is>
          <t>Grow Youth</t>
        </is>
      </c>
      <c r="D3475" s="37" t="inlineStr">
        <is>
          <t>2026-07-16</t>
        </is>
      </c>
      <c r="E3475" s="37" t="inlineStr">
        <is>
          <t>Aspirant Interaction</t>
        </is>
      </c>
      <c r="F3475" s="37" t="inlineStr">
        <is>
          <t>Ask whether they were told the kind of job they would get during counselling?</t>
        </is>
      </c>
      <c r="G3475" s="37" t="inlineStr">
        <is>
          <t>All is Well</t>
        </is>
      </c>
    </row>
    <row r="3476">
      <c r="A3476" s="37" t="inlineStr">
        <is>
          <t>Phani</t>
        </is>
      </c>
      <c r="B3476" s="37" t="inlineStr">
        <is>
          <t>Gajuwaka</t>
        </is>
      </c>
      <c r="C3476" s="37" t="inlineStr">
        <is>
          <t>Grow Youth</t>
        </is>
      </c>
      <c r="D3476" s="37" t="inlineStr">
        <is>
          <t>2026-07-16</t>
        </is>
      </c>
      <c r="E3476" s="37" t="inlineStr">
        <is>
          <t>Aspirant Interaction</t>
        </is>
      </c>
      <c r="F3476" s="37" t="inlineStr">
        <is>
          <t>Ask whether they have been given LMS access?</t>
        </is>
      </c>
      <c r="G3476" s="37" t="inlineStr">
        <is>
          <t>All is Well</t>
        </is>
      </c>
    </row>
    <row r="3477">
      <c r="A3477" s="37" t="inlineStr">
        <is>
          <t>Phani</t>
        </is>
      </c>
      <c r="B3477" s="37" t="inlineStr">
        <is>
          <t>Gajuwaka</t>
        </is>
      </c>
      <c r="C3477" s="37" t="inlineStr">
        <is>
          <t>Grow Youth</t>
        </is>
      </c>
      <c r="D3477" s="37" t="inlineStr">
        <is>
          <t>2026-07-16</t>
        </is>
      </c>
      <c r="E3477" s="37" t="inlineStr">
        <is>
          <t>Aspirant Interaction</t>
        </is>
      </c>
      <c r="F3477" s="37" t="inlineStr">
        <is>
          <t>Ask whether anyone asked them for money for training or placement?</t>
        </is>
      </c>
      <c r="G3477" s="37" t="inlineStr">
        <is>
          <t>All is Well</t>
        </is>
      </c>
    </row>
    <row r="3478">
      <c r="A3478" s="37" t="inlineStr">
        <is>
          <t>Phani</t>
        </is>
      </c>
      <c r="B3478" s="37" t="inlineStr">
        <is>
          <t>Gajuwaka</t>
        </is>
      </c>
      <c r="C3478" s="37" t="inlineStr">
        <is>
          <t>Grow Youth</t>
        </is>
      </c>
      <c r="D3478" s="37" t="inlineStr">
        <is>
          <t>2026-07-16</t>
        </is>
      </c>
      <c r="E3478" s="37" t="inlineStr">
        <is>
          <t>Aspirant Interaction</t>
        </is>
      </c>
      <c r="F3478" s="37" t="inlineStr">
        <is>
          <t>Ask to show their mobile phones — are they enrolled on Skillfy? If not, get them enrolled and give written feedback to trainers and the AH in your presence.</t>
        </is>
      </c>
      <c r="G3478" s="37" t="inlineStr">
        <is>
          <t>All is Well</t>
        </is>
      </c>
    </row>
    <row r="3479">
      <c r="A3479" s="37" t="inlineStr">
        <is>
          <t>Phani</t>
        </is>
      </c>
      <c r="B3479" s="37" t="inlineStr">
        <is>
          <t>Gajuwaka</t>
        </is>
      </c>
      <c r="C3479" s="37" t="inlineStr">
        <is>
          <t>Grow Youth</t>
        </is>
      </c>
      <c r="D3479" s="37" t="inlineStr">
        <is>
          <t>2026-07-16</t>
        </is>
      </c>
      <c r="E3479" s="37" t="inlineStr">
        <is>
          <t>Aspirant Interaction</t>
        </is>
      </c>
      <c r="F3479" s="37" t="inlineStr">
        <is>
          <t>Ask about the quality of the hostel and any issues they face.</t>
        </is>
      </c>
      <c r="G3479" s="37" t="inlineStr">
        <is>
          <t>Not Applicable</t>
        </is>
      </c>
    </row>
    <row r="3480">
      <c r="A3480" s="37" t="inlineStr">
        <is>
          <t>Phani</t>
        </is>
      </c>
      <c r="B3480" s="37" t="inlineStr">
        <is>
          <t>Gajuwaka</t>
        </is>
      </c>
      <c r="C3480" s="37" t="inlineStr">
        <is>
          <t>Grow Youth</t>
        </is>
      </c>
      <c r="D3480" s="37" t="inlineStr">
        <is>
          <t>2026-07-16</t>
        </is>
      </c>
      <c r="E3480" s="37" t="inlineStr">
        <is>
          <t>Aspirant Interaction</t>
        </is>
      </c>
      <c r="F3480" s="37" t="inlineStr">
        <is>
          <t>Ask a few relevant screening questions to support the 10th-day report and remove non-serious candidates, explaining to them the reasons.</t>
        </is>
      </c>
      <c r="G3480" s="37" t="inlineStr">
        <is>
          <t>All is Well</t>
        </is>
      </c>
    </row>
    <row r="3481">
      <c r="A3481" s="37" t="inlineStr">
        <is>
          <t>Phani</t>
        </is>
      </c>
      <c r="B3481" s="37" t="inlineStr">
        <is>
          <t>Akkayapalem</t>
        </is>
      </c>
      <c r="C3481" s="37" t="inlineStr">
        <is>
          <t>Grow Youth</t>
        </is>
      </c>
      <c r="D3481" s="37" t="inlineStr">
        <is>
          <t>2026-07-20</t>
        </is>
      </c>
      <c r="E3481" s="37" t="inlineStr">
        <is>
          <t>Data Check</t>
        </is>
      </c>
      <c r="F3481" s="37" t="inlineStr">
        <is>
          <t>Reach the centre on time (unannounced) — confirm the centre opened on time.</t>
        </is>
      </c>
      <c r="G3481" s="37" t="inlineStr">
        <is>
          <t>All is Well</t>
        </is>
      </c>
    </row>
    <row r="3482">
      <c r="A3482" s="37" t="inlineStr">
        <is>
          <t>Phani</t>
        </is>
      </c>
      <c r="B3482" s="37" t="inlineStr">
        <is>
          <t>Akkayapalem</t>
        </is>
      </c>
      <c r="C3482" s="37" t="inlineStr">
        <is>
          <t>Grow Youth</t>
        </is>
      </c>
      <c r="D3482" s="37" t="inlineStr">
        <is>
          <t>2026-07-20</t>
        </is>
      </c>
      <c r="E3482" s="37" t="inlineStr">
        <is>
          <t>Data Check</t>
        </is>
      </c>
      <c r="F3482" s="37" t="inlineStr">
        <is>
          <t>Check the staff attendance register, the Google Sheet, and geo-tagged photos for aspirants.</t>
        </is>
      </c>
      <c r="G3482" s="37" t="inlineStr">
        <is>
          <t>All is Well</t>
        </is>
      </c>
    </row>
    <row r="3483">
      <c r="A3483" s="37" t="inlineStr">
        <is>
          <t>Phani</t>
        </is>
      </c>
      <c r="B3483" s="37" t="inlineStr">
        <is>
          <t>Akkayapalem</t>
        </is>
      </c>
      <c r="C3483" s="37" t="inlineStr">
        <is>
          <t>Grow Youth</t>
        </is>
      </c>
      <c r="D3483" s="37" t="inlineStr">
        <is>
          <t>2026-07-20</t>
        </is>
      </c>
      <c r="E3483" s="37" t="inlineStr">
        <is>
          <t>Data Check</t>
        </is>
      </c>
      <c r="F3483" s="37" t="inlineStr">
        <is>
          <t>Check Counselling and Screening Forms of recently started batches.</t>
        </is>
      </c>
      <c r="G3483" s="37" t="inlineStr">
        <is>
          <t>All is Well</t>
        </is>
      </c>
    </row>
    <row r="3484">
      <c r="A3484" s="37" t="inlineStr">
        <is>
          <t>Phani</t>
        </is>
      </c>
      <c r="B3484" s="37" t="inlineStr">
        <is>
          <t>Akkayapalem</t>
        </is>
      </c>
      <c r="C3484" s="37" t="inlineStr">
        <is>
          <t>Grow Youth</t>
        </is>
      </c>
      <c r="D3484" s="37" t="inlineStr">
        <is>
          <t>2026-07-20</t>
        </is>
      </c>
      <c r="E3484" s="37" t="inlineStr">
        <is>
          <t>Data Check</t>
        </is>
      </c>
      <c r="F3484" s="37" t="inlineStr">
        <is>
          <t>Check Aspirant Registration Forms and related documents.</t>
        </is>
      </c>
      <c r="G3484" s="37" t="inlineStr">
        <is>
          <t>All is Well</t>
        </is>
      </c>
    </row>
    <row r="3485">
      <c r="A3485" s="37" t="inlineStr">
        <is>
          <t>Phani</t>
        </is>
      </c>
      <c r="B3485" s="37" t="inlineStr">
        <is>
          <t>Akkayapalem</t>
        </is>
      </c>
      <c r="C3485" s="37" t="inlineStr">
        <is>
          <t>Grow Youth</t>
        </is>
      </c>
      <c r="D3485" s="37" t="inlineStr">
        <is>
          <t>2026-07-20</t>
        </is>
      </c>
      <c r="E3485" s="37" t="inlineStr">
        <is>
          <t>Data Check</t>
        </is>
      </c>
      <c r="F3485" s="37" t="inlineStr">
        <is>
          <t>On the GROW portal, confirm all student profile details and batch updates are currect.</t>
        </is>
      </c>
      <c r="G3485" s="37" t="inlineStr">
        <is>
          <t>All is Well</t>
        </is>
      </c>
    </row>
    <row r="3486">
      <c r="A3486" s="37" t="inlineStr">
        <is>
          <t>Phani</t>
        </is>
      </c>
      <c r="B3486" s="37" t="inlineStr">
        <is>
          <t>Akkayapalem</t>
        </is>
      </c>
      <c r="C3486" s="37" t="inlineStr">
        <is>
          <t>Grow Youth</t>
        </is>
      </c>
      <c r="D3486" s="37" t="inlineStr">
        <is>
          <t>2026-07-20</t>
        </is>
      </c>
      <c r="E3486" s="37" t="inlineStr">
        <is>
          <t>Data Check</t>
        </is>
      </c>
      <c r="F3486" s="37" t="inlineStr">
        <is>
          <t>Verify placement data — randomly call 3–4 alumni placed in the last 3 months to confirm veracity (random selection is essential).</t>
        </is>
      </c>
      <c r="G3486" s="37" t="inlineStr">
        <is>
          <t>All is Well</t>
        </is>
      </c>
    </row>
    <row r="3487">
      <c r="A3487" s="37" t="inlineStr">
        <is>
          <t>Phani</t>
        </is>
      </c>
      <c r="B3487" s="37" t="inlineStr">
        <is>
          <t>Akkayapalem</t>
        </is>
      </c>
      <c r="C3487" s="37" t="inlineStr">
        <is>
          <t>Grow Youth</t>
        </is>
      </c>
      <c r="D3487" s="37" t="inlineStr">
        <is>
          <t>2026-07-20</t>
        </is>
      </c>
      <c r="E3487" s="37" t="inlineStr">
        <is>
          <t>Data Check</t>
        </is>
      </c>
      <c r="F3487" s="37" t="inlineStr">
        <is>
          <t>Verify retention — check the Alumni Hand-holding Format is being updated as designed.</t>
        </is>
      </c>
      <c r="G3487" s="37" t="inlineStr">
        <is>
          <t>All is Well</t>
        </is>
      </c>
    </row>
    <row r="3488">
      <c r="A3488" s="37" t="inlineStr">
        <is>
          <t>Phani</t>
        </is>
      </c>
      <c r="B3488" s="37" t="inlineStr">
        <is>
          <t>Akkayapalem</t>
        </is>
      </c>
      <c r="C3488" s="37" t="inlineStr">
        <is>
          <t>Grow Youth</t>
        </is>
      </c>
      <c r="D3488" s="37" t="inlineStr">
        <is>
          <t>2026-07-20</t>
        </is>
      </c>
      <c r="E3488" s="37" t="inlineStr">
        <is>
          <t>Data Check</t>
        </is>
      </c>
      <c r="F3488" s="37" t="inlineStr">
        <is>
          <t>Check aspirant Hostel Forms are properly filled or not.</t>
        </is>
      </c>
      <c r="G3488" s="37" t="inlineStr">
        <is>
          <t>Not Applicable</t>
        </is>
      </c>
    </row>
    <row r="3489">
      <c r="A3489" s="37" t="inlineStr">
        <is>
          <t>Phani</t>
        </is>
      </c>
      <c r="B3489" s="37" t="inlineStr">
        <is>
          <t>Akkayapalem</t>
        </is>
      </c>
      <c r="C3489" s="37" t="inlineStr">
        <is>
          <t>Grow Youth</t>
        </is>
      </c>
      <c r="D3489" s="37" t="inlineStr">
        <is>
          <t>2026-07-20</t>
        </is>
      </c>
      <c r="E3489" s="37" t="inlineStr">
        <is>
          <t>Infra Check</t>
        </is>
      </c>
      <c r="F3489" s="37" t="inlineStr">
        <is>
          <t>Check all CCTV cameras; if any are not working, ask the AH to troubleshoot or call the vendor.</t>
        </is>
      </c>
      <c r="G3489" s="37" t="inlineStr">
        <is>
          <t>All is Well</t>
        </is>
      </c>
    </row>
    <row r="3490">
      <c r="A3490" s="37" t="inlineStr">
        <is>
          <t>Phani</t>
        </is>
      </c>
      <c r="B3490" s="37" t="inlineStr">
        <is>
          <t>Akkayapalem</t>
        </is>
      </c>
      <c r="C3490" s="37" t="inlineStr">
        <is>
          <t>Grow Youth</t>
        </is>
      </c>
      <c r="D3490" s="37" t="inlineStr">
        <is>
          <t>2026-07-20</t>
        </is>
      </c>
      <c r="E3490" s="37" t="inlineStr">
        <is>
          <t>Infra Check</t>
        </is>
      </c>
      <c r="F3490" s="37" t="inlineStr">
        <is>
          <t>Check for any scrap material and get it cleared, with support of Admin</t>
        </is>
      </c>
      <c r="G3490" s="37" t="inlineStr">
        <is>
          <t>All is Well</t>
        </is>
      </c>
    </row>
    <row r="3491">
      <c r="A3491" s="37" t="inlineStr">
        <is>
          <t>Phani</t>
        </is>
      </c>
      <c r="B3491" s="37" t="inlineStr">
        <is>
          <t>Akkayapalem</t>
        </is>
      </c>
      <c r="C3491" s="37" t="inlineStr">
        <is>
          <t>Grow Youth</t>
        </is>
      </c>
      <c r="D3491" s="37" t="inlineStr">
        <is>
          <t>2026-07-20</t>
        </is>
      </c>
      <c r="E3491" s="37" t="inlineStr">
        <is>
          <t>Infra Check</t>
        </is>
      </c>
      <c r="F3491" s="37" t="inlineStr">
        <is>
          <t>Check for any pending infra repairs.</t>
        </is>
      </c>
      <c r="G3491" s="37" t="inlineStr">
        <is>
          <t>All is Well</t>
        </is>
      </c>
    </row>
    <row r="3492">
      <c r="A3492" s="37" t="inlineStr">
        <is>
          <t>Phani</t>
        </is>
      </c>
      <c r="B3492" s="37" t="inlineStr">
        <is>
          <t>Akkayapalem</t>
        </is>
      </c>
      <c r="C3492" s="37" t="inlineStr">
        <is>
          <t>Grow Youth</t>
        </is>
      </c>
      <c r="D3492" s="37" t="inlineStr">
        <is>
          <t>2026-07-20</t>
        </is>
      </c>
      <c r="E3492" s="37" t="inlineStr">
        <is>
          <t>Infra Check</t>
        </is>
      </c>
      <c r="F3492" s="37" t="inlineStr">
        <is>
          <t>Check whether any fire extinguishers have expired (check the needle and expiry date both).</t>
        </is>
      </c>
      <c r="G3492" s="37" t="inlineStr">
        <is>
          <t>All is Well</t>
        </is>
      </c>
    </row>
    <row r="3493">
      <c r="A3493" s="37" t="inlineStr">
        <is>
          <t>Phani</t>
        </is>
      </c>
      <c r="B3493" s="37" t="inlineStr">
        <is>
          <t>Akkayapalem</t>
        </is>
      </c>
      <c r="C3493" s="37" t="inlineStr">
        <is>
          <t>Grow Youth</t>
        </is>
      </c>
      <c r="D3493" s="37" t="inlineStr">
        <is>
          <t>2026-07-20</t>
        </is>
      </c>
      <c r="E3493" s="37" t="inlineStr">
        <is>
          <t>Infra Check</t>
        </is>
      </c>
      <c r="F3493" s="37" t="inlineStr">
        <is>
          <t>Check basic cleanliness of the washrooms and the centre.</t>
        </is>
      </c>
      <c r="G3493" s="37" t="inlineStr">
        <is>
          <t>All is Well</t>
        </is>
      </c>
    </row>
    <row r="3494">
      <c r="A3494" s="37" t="inlineStr">
        <is>
          <t>Phani</t>
        </is>
      </c>
      <c r="B3494" s="37" t="inlineStr">
        <is>
          <t>Akkayapalem</t>
        </is>
      </c>
      <c r="C3494" s="37" t="inlineStr">
        <is>
          <t>Grow Youth</t>
        </is>
      </c>
      <c r="D3494" s="37" t="inlineStr">
        <is>
          <t>2026-07-20</t>
        </is>
      </c>
      <c r="E3494" s="37" t="inlineStr">
        <is>
          <t>Infra Check</t>
        </is>
      </c>
      <c r="F3494" s="37" t="inlineStr">
        <is>
          <t>Confirm the correct program and partner logos are displayed.</t>
        </is>
      </c>
      <c r="G3494" s="37" t="inlineStr">
        <is>
          <t>All is Well</t>
        </is>
      </c>
    </row>
    <row r="3495">
      <c r="A3495" s="37" t="inlineStr">
        <is>
          <t>Phani</t>
        </is>
      </c>
      <c r="B3495" s="37" t="inlineStr">
        <is>
          <t>Akkayapalem</t>
        </is>
      </c>
      <c r="C3495" s="37" t="inlineStr">
        <is>
          <t>Grow Youth</t>
        </is>
      </c>
      <c r="D3495" s="37" t="inlineStr">
        <is>
          <t>2026-07-20</t>
        </is>
      </c>
      <c r="E3495" s="37" t="inlineStr">
        <is>
          <t>Infra Check</t>
        </is>
      </c>
      <c r="F3495" s="37" t="inlineStr">
        <is>
          <t>Check the status of digital infra — PCs, smartboards, tablets, laptops, etc.</t>
        </is>
      </c>
      <c r="G3495" s="37" t="inlineStr">
        <is>
          <t>All is Well</t>
        </is>
      </c>
    </row>
    <row r="3496">
      <c r="A3496" s="37" t="inlineStr">
        <is>
          <t>Phani</t>
        </is>
      </c>
      <c r="B3496" s="37" t="inlineStr">
        <is>
          <t>Akkayapalem</t>
        </is>
      </c>
      <c r="C3496" s="37" t="inlineStr">
        <is>
          <t>Grow Youth</t>
        </is>
      </c>
      <c r="D3496" s="37" t="inlineStr">
        <is>
          <t>2026-07-20</t>
        </is>
      </c>
      <c r="E3496" s="37" t="inlineStr">
        <is>
          <t>Infra Check</t>
        </is>
      </c>
      <c r="F3496" s="37" t="inlineStr">
        <is>
          <t>Make a quick hostel visit; have lunch there if possible to test the food quality.</t>
        </is>
      </c>
      <c r="G3496" s="37" t="inlineStr">
        <is>
          <t>Not Applicable</t>
        </is>
      </c>
    </row>
    <row r="3497">
      <c r="A3497" s="37" t="inlineStr">
        <is>
          <t>Phani</t>
        </is>
      </c>
      <c r="B3497" s="37" t="inlineStr">
        <is>
          <t>Akkayapalem</t>
        </is>
      </c>
      <c r="C3497" s="37" t="inlineStr">
        <is>
          <t>Grow Youth</t>
        </is>
      </c>
      <c r="D3497" s="37" t="inlineStr">
        <is>
          <t>2026-07-20</t>
        </is>
      </c>
      <c r="E3497" s="37" t="inlineStr">
        <is>
          <t>Process Check</t>
        </is>
      </c>
      <c r="F3497" s="37" t="inlineStr">
        <is>
          <t>Refer to the activity planner — check if any activities are delayed.</t>
        </is>
      </c>
      <c r="G3497" s="37" t="inlineStr">
        <is>
          <t>All is Well</t>
        </is>
      </c>
    </row>
    <row r="3498">
      <c r="A3498" s="37" t="inlineStr">
        <is>
          <t>Phani</t>
        </is>
      </c>
      <c r="B3498" s="37" t="inlineStr">
        <is>
          <t>Akkayapalem</t>
        </is>
      </c>
      <c r="C3498" s="37" t="inlineStr">
        <is>
          <t>Grow Youth</t>
        </is>
      </c>
      <c r="D3498" s="37" t="inlineStr">
        <is>
          <t>2026-07-20</t>
        </is>
      </c>
      <c r="E3498" s="37" t="inlineStr">
        <is>
          <t>Process Check</t>
        </is>
      </c>
      <c r="F3498" s="37" t="inlineStr">
        <is>
          <t>Check planning for the next batch-start announcement.</t>
        </is>
      </c>
      <c r="G3498" s="37" t="inlineStr">
        <is>
          <t>All is Well</t>
        </is>
      </c>
    </row>
    <row r="3499">
      <c r="A3499" s="37" t="inlineStr">
        <is>
          <t>Phani</t>
        </is>
      </c>
      <c r="B3499" s="37" t="inlineStr">
        <is>
          <t>Akkayapalem</t>
        </is>
      </c>
      <c r="C3499" s="37" t="inlineStr">
        <is>
          <t>Grow Youth</t>
        </is>
      </c>
      <c r="D3499" s="37" t="inlineStr">
        <is>
          <t>2026-07-20</t>
        </is>
      </c>
      <c r="E3499" s="37" t="inlineStr">
        <is>
          <t>Process Check</t>
        </is>
      </c>
      <c r="F3499" s="37" t="inlineStr">
        <is>
          <t>Check if any hiring is delayed and plan a resolution.</t>
        </is>
      </c>
      <c r="G3499" s="37" t="inlineStr">
        <is>
          <t>All is Well</t>
        </is>
      </c>
    </row>
    <row r="3500">
      <c r="A3500" s="37" t="inlineStr">
        <is>
          <t>Phani</t>
        </is>
      </c>
      <c r="B3500" s="37" t="inlineStr">
        <is>
          <t>Akkayapalem</t>
        </is>
      </c>
      <c r="C3500" s="37" t="inlineStr">
        <is>
          <t>Grow Youth</t>
        </is>
      </c>
      <c r="D3500" s="37" t="inlineStr">
        <is>
          <t>2026-07-20</t>
        </is>
      </c>
      <c r="E3500" s="37" t="inlineStr">
        <is>
          <t>Process Check</t>
        </is>
      </c>
      <c r="F3500" s="37" t="inlineStr">
        <is>
          <t>Check the CA’s diary — is CA guided daily by the AH during planning days?</t>
        </is>
      </c>
      <c r="G3500" s="37" t="inlineStr">
        <is>
          <t>All is Well</t>
        </is>
      </c>
    </row>
    <row r="3501">
      <c r="A3501" s="37" t="inlineStr">
        <is>
          <t>Phani</t>
        </is>
      </c>
      <c r="B3501" s="37" t="inlineStr">
        <is>
          <t>Akkayapalem</t>
        </is>
      </c>
      <c r="C3501" s="37" t="inlineStr">
        <is>
          <t>Grow Youth</t>
        </is>
      </c>
      <c r="D3501" s="37" t="inlineStr">
        <is>
          <t>2026-07-20</t>
        </is>
      </c>
      <c r="E3501" s="37" t="inlineStr">
        <is>
          <t>Process Check</t>
        </is>
      </c>
      <c r="F3501" s="37" t="inlineStr">
        <is>
          <t>Check the AH is regularly meeting employers (in person and online) and updating the centre’s Top 20 Employer format.</t>
        </is>
      </c>
      <c r="G3501" s="37" t="inlineStr">
        <is>
          <t>All is Well</t>
        </is>
      </c>
    </row>
    <row r="3502">
      <c r="A3502" s="37" t="inlineStr">
        <is>
          <t>Phani</t>
        </is>
      </c>
      <c r="B3502" s="37" t="inlineStr">
        <is>
          <t>Akkayapalem</t>
        </is>
      </c>
      <c r="C3502" s="37" t="inlineStr">
        <is>
          <t>Grow Youth</t>
        </is>
      </c>
      <c r="D3502" s="37" t="inlineStr">
        <is>
          <t>2026-07-20</t>
        </is>
      </c>
      <c r="E3502" s="37" t="inlineStr">
        <is>
          <t>Process Check</t>
        </is>
      </c>
      <c r="F3502" s="37" t="inlineStr">
        <is>
          <t>Confirm all new employers are registered on portal as per new process.</t>
        </is>
      </c>
      <c r="G3502" s="37" t="inlineStr">
        <is>
          <t>All is Well</t>
        </is>
      </c>
    </row>
    <row r="3503">
      <c r="A3503" s="37" t="inlineStr">
        <is>
          <t>Phani</t>
        </is>
      </c>
      <c r="B3503" s="37" t="inlineStr">
        <is>
          <t>Akkayapalem</t>
        </is>
      </c>
      <c r="C3503" s="37" t="inlineStr">
        <is>
          <t>Grow Youth</t>
        </is>
      </c>
      <c r="D3503" s="37" t="inlineStr">
        <is>
          <t>2026-07-20</t>
        </is>
      </c>
      <c r="E3503" s="37" t="inlineStr">
        <is>
          <t>Process Check</t>
        </is>
      </c>
      <c r="F3503" s="37" t="inlineStr">
        <is>
          <t>Confirm 100% of enrolled students undergone screening (for technical courses).</t>
        </is>
      </c>
      <c r="G3503" s="37" t="inlineStr">
        <is>
          <t>Not Applicable</t>
        </is>
      </c>
    </row>
    <row r="3504">
      <c r="A3504" s="37" t="inlineStr">
        <is>
          <t>Phani</t>
        </is>
      </c>
      <c r="B3504" s="37" t="inlineStr">
        <is>
          <t>Akkayapalem</t>
        </is>
      </c>
      <c r="C3504" s="37" t="inlineStr">
        <is>
          <t>Grow Youth</t>
        </is>
      </c>
      <c r="D3504" s="37" t="inlineStr">
        <is>
          <t>2026-07-20</t>
        </is>
      </c>
      <c r="E3504" s="37" t="inlineStr">
        <is>
          <t>Process Check</t>
        </is>
      </c>
      <c r="F3504" s="37" t="inlineStr">
        <is>
          <t>Confirm ESA is done (in GROW full ESA and in Technical courses relevant sections of Core Employability Part).</t>
        </is>
      </c>
      <c r="G3504" s="37" t="inlineStr">
        <is>
          <t>All is Well</t>
        </is>
      </c>
    </row>
    <row r="3505">
      <c r="A3505" s="37" t="inlineStr">
        <is>
          <t>Phani</t>
        </is>
      </c>
      <c r="B3505" s="37" t="inlineStr">
        <is>
          <t>Akkayapalem</t>
        </is>
      </c>
      <c r="C3505" s="37" t="inlineStr">
        <is>
          <t>Grow Youth</t>
        </is>
      </c>
      <c r="D3505" s="37" t="inlineStr">
        <is>
          <t>2026-07-20</t>
        </is>
      </c>
      <c r="E3505" s="37" t="inlineStr">
        <is>
          <t>Process Check</t>
        </is>
      </c>
      <c r="F3505" s="37" t="inlineStr">
        <is>
          <t>Check is AH giving capstone project in GROW Tech.</t>
        </is>
      </c>
      <c r="G3505" s="37" t="inlineStr">
        <is>
          <t>Not Applicable</t>
        </is>
      </c>
    </row>
    <row r="3506">
      <c r="A3506" s="37" t="inlineStr">
        <is>
          <t>Phani</t>
        </is>
      </c>
      <c r="B3506" s="37" t="inlineStr">
        <is>
          <t>Akkayapalem</t>
        </is>
      </c>
      <c r="C3506" s="37" t="inlineStr">
        <is>
          <t>Grow Youth</t>
        </is>
      </c>
      <c r="D3506" s="37" t="inlineStr">
        <is>
          <t>2026-07-20</t>
        </is>
      </c>
      <c r="E3506" s="37" t="inlineStr">
        <is>
          <t>Process Check</t>
        </is>
      </c>
      <c r="F3506" s="37" t="inlineStr">
        <is>
          <t>Check is AH planning OJT as per guidelines and proofs are collected for technical courses.</t>
        </is>
      </c>
      <c r="G3506" s="37" t="inlineStr">
        <is>
          <t>Not Applicable</t>
        </is>
      </c>
    </row>
    <row r="3507">
      <c r="A3507" s="37" t="inlineStr">
        <is>
          <t>Phani</t>
        </is>
      </c>
      <c r="B3507" s="37" t="inlineStr">
        <is>
          <t>Akkayapalem</t>
        </is>
      </c>
      <c r="C3507" s="37" t="inlineStr">
        <is>
          <t>Grow Youth</t>
        </is>
      </c>
      <c r="D3507" s="37" t="inlineStr">
        <is>
          <t>2026-07-20</t>
        </is>
      </c>
      <c r="E3507" s="37" t="inlineStr">
        <is>
          <t>Process Check</t>
        </is>
      </c>
      <c r="F3507" s="37" t="inlineStr">
        <is>
          <t>Check are trainers contacting aspirants to find reason for their absenteeism of more than 1 day.</t>
        </is>
      </c>
      <c r="G3507" s="37" t="inlineStr">
        <is>
          <t>All is Well</t>
        </is>
      </c>
    </row>
    <row r="3508">
      <c r="A3508" s="37" t="inlineStr">
        <is>
          <t>Phani</t>
        </is>
      </c>
      <c r="B3508" s="37" t="inlineStr">
        <is>
          <t>Akkayapalem</t>
        </is>
      </c>
      <c r="C3508" s="37" t="inlineStr">
        <is>
          <t>Grow Youth</t>
        </is>
      </c>
      <c r="D3508" s="37" t="inlineStr">
        <is>
          <t>2026-07-20</t>
        </is>
      </c>
      <c r="E3508" s="37" t="inlineStr">
        <is>
          <t>Process Check</t>
        </is>
      </c>
      <c r="F3508" s="37" t="inlineStr">
        <is>
          <t>Check the AH plans monthly enrolment and placement numbers by the 3rd of each month and shares them with second level managers.</t>
        </is>
      </c>
      <c r="G3508" s="37" t="inlineStr">
        <is>
          <t>All is Well</t>
        </is>
      </c>
    </row>
    <row r="3509">
      <c r="A3509" s="37" t="inlineStr">
        <is>
          <t>Phani</t>
        </is>
      </c>
      <c r="B3509" s="37" t="inlineStr">
        <is>
          <t>Akkayapalem</t>
        </is>
      </c>
      <c r="C3509" s="37" t="inlineStr">
        <is>
          <t>Grow Youth</t>
        </is>
      </c>
      <c r="D3509" s="37" t="inlineStr">
        <is>
          <t>2026-07-20</t>
        </is>
      </c>
      <c r="E3509" s="37" t="inlineStr">
        <is>
          <t>Process Check</t>
        </is>
      </c>
      <c r="F3509" s="37" t="inlineStr">
        <is>
          <t>Check trainers submit aspirants’ placement interest areas to the AH by the batch’s 25th day (in GROW).</t>
        </is>
      </c>
      <c r="G3509" s="37" t="inlineStr">
        <is>
          <t>All is Well</t>
        </is>
      </c>
    </row>
    <row r="3510">
      <c r="A3510" s="37" t="inlineStr">
        <is>
          <t>Phani</t>
        </is>
      </c>
      <c r="B3510" s="37" t="inlineStr">
        <is>
          <t>Akkayapalem</t>
        </is>
      </c>
      <c r="C3510" s="37" t="inlineStr">
        <is>
          <t>Grow Youth</t>
        </is>
      </c>
      <c r="D3510" s="37" t="inlineStr">
        <is>
          <t>2026-07-20</t>
        </is>
      </c>
      <c r="E3510" s="37" t="inlineStr">
        <is>
          <t>Process Check</t>
        </is>
      </c>
      <c r="F3510" s="37" t="inlineStr">
        <is>
          <t>Ckeck For technical programs, placement is done only in technical jobs,on which aspirants are trained and relevant emplyers are identified by 45th day.</t>
        </is>
      </c>
      <c r="G3510" s="37" t="inlineStr">
        <is>
          <t>Not Applicable</t>
        </is>
      </c>
    </row>
    <row r="3511">
      <c r="A3511" s="37" t="inlineStr">
        <is>
          <t>Phani</t>
        </is>
      </c>
      <c r="B3511" s="37" t="inlineStr">
        <is>
          <t>Akkayapalem</t>
        </is>
      </c>
      <c r="C3511" s="37" t="inlineStr">
        <is>
          <t>Grow Youth</t>
        </is>
      </c>
      <c r="D3511" s="37" t="inlineStr">
        <is>
          <t>2026-07-20</t>
        </is>
      </c>
      <c r="E3511" s="37" t="inlineStr">
        <is>
          <t>Process Check</t>
        </is>
      </c>
      <c r="F3511" s="37" t="inlineStr">
        <is>
          <t>Check the AH follows EP guidelines and minimum benchmark salary guidelines.</t>
        </is>
      </c>
      <c r="G3511" s="37" t="inlineStr">
        <is>
          <t>All is Well</t>
        </is>
      </c>
    </row>
    <row r="3512">
      <c r="A3512" s="37" t="inlineStr">
        <is>
          <t>Phani</t>
        </is>
      </c>
      <c r="B3512" s="37" t="inlineStr">
        <is>
          <t>Akkayapalem</t>
        </is>
      </c>
      <c r="C3512" s="37" t="inlineStr">
        <is>
          <t>Grow Youth</t>
        </is>
      </c>
      <c r="D3512" s="37" t="inlineStr">
        <is>
          <t>2026-07-20</t>
        </is>
      </c>
      <c r="E3512" s="37" t="inlineStr">
        <is>
          <t>Process Check</t>
        </is>
      </c>
      <c r="F3512" s="37" t="inlineStr">
        <is>
          <t>Check that AH is enrolling only the right traget group in the program -as per the defined target.</t>
        </is>
      </c>
      <c r="G3512" s="37" t="inlineStr">
        <is>
          <t>All is Well</t>
        </is>
      </c>
    </row>
    <row r="3513">
      <c r="A3513" s="37" t="inlineStr">
        <is>
          <t>Phani</t>
        </is>
      </c>
      <c r="B3513" s="37" t="inlineStr">
        <is>
          <t>Akkayapalem</t>
        </is>
      </c>
      <c r="C3513" s="37" t="inlineStr">
        <is>
          <t>Grow Youth</t>
        </is>
      </c>
      <c r="D3513" s="37" t="inlineStr">
        <is>
          <t>2026-07-20</t>
        </is>
      </c>
      <c r="E3513" s="37" t="inlineStr">
        <is>
          <t>Process Check</t>
        </is>
      </c>
      <c r="F3513" s="37" t="inlineStr">
        <is>
          <t>Check the AH announces the next batch-start date by the 3rd of the month on all notice boards — focus on Zero-Day start.</t>
        </is>
      </c>
      <c r="G3513" s="37" t="inlineStr">
        <is>
          <t>All is Well</t>
        </is>
      </c>
    </row>
    <row r="3514">
      <c r="A3514" s="37" t="inlineStr">
        <is>
          <t>Phani</t>
        </is>
      </c>
      <c r="B3514" s="37" t="inlineStr">
        <is>
          <t>Akkayapalem</t>
        </is>
      </c>
      <c r="C3514" s="37" t="inlineStr">
        <is>
          <t>Grow Youth</t>
        </is>
      </c>
      <c r="D3514" s="37" t="inlineStr">
        <is>
          <t>2026-07-20</t>
        </is>
      </c>
      <c r="E3514" s="37" t="inlineStr">
        <is>
          <t>Process Check</t>
        </is>
      </c>
      <c r="F3514" s="37" t="inlineStr">
        <is>
          <t>Check the Aspirant Mock Interview Score Tracker is updated after every mock interview in the L&amp;D Google Sheet.</t>
        </is>
      </c>
      <c r="G3514" s="37" t="inlineStr">
        <is>
          <t>All is Well</t>
        </is>
      </c>
    </row>
    <row r="3515">
      <c r="A3515" s="37" t="inlineStr">
        <is>
          <t>Phani</t>
        </is>
      </c>
      <c r="B3515" s="37" t="inlineStr">
        <is>
          <t>Akkayapalem</t>
        </is>
      </c>
      <c r="C3515" s="37" t="inlineStr">
        <is>
          <t>Grow Youth</t>
        </is>
      </c>
      <c r="D3515" s="37" t="inlineStr">
        <is>
          <t>2026-07-20</t>
        </is>
      </c>
      <c r="E3515" s="37" t="inlineStr">
        <is>
          <t>Process Check</t>
        </is>
      </c>
      <c r="F3515" s="37" t="inlineStr">
        <is>
          <t>Confirm NPS (Net Promoter Score) is collected at MSDF centres.</t>
        </is>
      </c>
      <c r="G3515" s="37" t="inlineStr">
        <is>
          <t>Not Applicable</t>
        </is>
      </c>
    </row>
    <row r="3516">
      <c r="A3516" s="37" t="inlineStr">
        <is>
          <t>Phani</t>
        </is>
      </c>
      <c r="B3516" s="37" t="inlineStr">
        <is>
          <t>Akkayapalem</t>
        </is>
      </c>
      <c r="C3516" s="37" t="inlineStr">
        <is>
          <t>Grow Youth</t>
        </is>
      </c>
      <c r="D3516" s="37" t="inlineStr">
        <is>
          <t>2026-07-20</t>
        </is>
      </c>
      <c r="E3516" s="37" t="inlineStr">
        <is>
          <t>Process Check</t>
        </is>
      </c>
      <c r="F3516" s="37" t="inlineStr">
        <is>
          <t>Confirm that QAE is collecting student feedback for every batch.</t>
        </is>
      </c>
      <c r="G3516" s="37" t="inlineStr">
        <is>
          <t>All is Well</t>
        </is>
      </c>
    </row>
    <row r="3517">
      <c r="A3517" s="37" t="inlineStr">
        <is>
          <t>Phani</t>
        </is>
      </c>
      <c r="B3517" s="37" t="inlineStr">
        <is>
          <t>Akkayapalem</t>
        </is>
      </c>
      <c r="C3517" s="37" t="inlineStr">
        <is>
          <t>Grow Youth</t>
        </is>
      </c>
      <c r="D3517" s="37" t="inlineStr">
        <is>
          <t>2026-07-20</t>
        </is>
      </c>
      <c r="E3517" s="37" t="inlineStr">
        <is>
          <t>Process Check</t>
        </is>
      </c>
      <c r="F3517" s="37" t="inlineStr">
        <is>
          <t>Confirm all centre teams have completed the GROW Manual Course on Skillfy — ask for achievement certificates.</t>
        </is>
      </c>
      <c r="G3517" s="37" t="inlineStr">
        <is>
          <t>All is Well</t>
        </is>
      </c>
    </row>
    <row r="3518">
      <c r="A3518" s="37" t="inlineStr">
        <is>
          <t>Phani</t>
        </is>
      </c>
      <c r="B3518" s="37" t="inlineStr">
        <is>
          <t>Akkayapalem</t>
        </is>
      </c>
      <c r="C3518" s="37" t="inlineStr">
        <is>
          <t>Grow Youth</t>
        </is>
      </c>
      <c r="D3518" s="37" t="inlineStr">
        <is>
          <t>2026-07-20</t>
        </is>
      </c>
      <c r="E3518" s="37" t="inlineStr">
        <is>
          <t>Process Check</t>
        </is>
      </c>
      <c r="F3518" s="37" t="inlineStr">
        <is>
          <t>Check AH holds a quality weekly team meeting, documents action points in the weekly meeting format, and sends you a photo on WhatsApp.</t>
        </is>
      </c>
      <c r="G3518" s="37" t="inlineStr">
        <is>
          <t>All is Well</t>
        </is>
      </c>
    </row>
    <row r="3519">
      <c r="A3519" s="37" t="inlineStr">
        <is>
          <t>Phani</t>
        </is>
      </c>
      <c r="B3519" s="37" t="inlineStr">
        <is>
          <t>Akkayapalem</t>
        </is>
      </c>
      <c r="C3519" s="37" t="inlineStr">
        <is>
          <t>Grow Youth</t>
        </is>
      </c>
      <c r="D3519" s="37" t="inlineStr">
        <is>
          <t>2026-07-20</t>
        </is>
      </c>
      <c r="E3519" s="37" t="inlineStr">
        <is>
          <t>Aspirant Interaction</t>
        </is>
      </c>
      <c r="F3519" s="37" t="inlineStr">
        <is>
          <t>Ask aspirants about the session plan — confirm training is happening as planned?</t>
        </is>
      </c>
      <c r="G3519" s="37" t="inlineStr">
        <is>
          <t>All is Well</t>
        </is>
      </c>
    </row>
    <row r="3520">
      <c r="A3520" s="37" t="inlineStr">
        <is>
          <t>Phani</t>
        </is>
      </c>
      <c r="B3520" s="37" t="inlineStr">
        <is>
          <t>Akkayapalem</t>
        </is>
      </c>
      <c r="C3520" s="37" t="inlineStr">
        <is>
          <t>Grow Youth</t>
        </is>
      </c>
      <c r="D3520" s="37" t="inlineStr">
        <is>
          <t>2026-07-20</t>
        </is>
      </c>
      <c r="E3520" s="37" t="inlineStr">
        <is>
          <t>Aspirant Interaction</t>
        </is>
      </c>
      <c r="F3520" s="37" t="inlineStr">
        <is>
          <t>Ask about the quality of Core Employability component delivery (technical centres) and who delivers it.</t>
        </is>
      </c>
      <c r="G3520" s="37" t="inlineStr">
        <is>
          <t>Not Applicable</t>
        </is>
      </c>
    </row>
    <row r="3521">
      <c r="A3521" s="37" t="inlineStr">
        <is>
          <t>Phani</t>
        </is>
      </c>
      <c r="B3521" s="37" t="inlineStr">
        <is>
          <t>Akkayapalem</t>
        </is>
      </c>
      <c r="C3521" s="37" t="inlineStr">
        <is>
          <t>Grow Youth</t>
        </is>
      </c>
      <c r="D3521" s="37" t="inlineStr">
        <is>
          <t>2026-07-20</t>
        </is>
      </c>
      <c r="E3521" s="37" t="inlineStr">
        <is>
          <t>Aspirant Interaction</t>
        </is>
      </c>
      <c r="F3521" s="37" t="inlineStr">
        <is>
          <t>Ask whether they are aware of the referral scheme?</t>
        </is>
      </c>
      <c r="G3521" s="37" t="inlineStr">
        <is>
          <t>All is Well</t>
        </is>
      </c>
    </row>
    <row r="3522">
      <c r="A3522" s="37" t="inlineStr">
        <is>
          <t>Phani</t>
        </is>
      </c>
      <c r="B3522" s="37" t="inlineStr">
        <is>
          <t>Akkayapalem</t>
        </is>
      </c>
      <c r="C3522" s="37" t="inlineStr">
        <is>
          <t>Grow Youth</t>
        </is>
      </c>
      <c r="D3522" s="37" t="inlineStr">
        <is>
          <t>2026-07-20</t>
        </is>
      </c>
      <c r="E3522" s="37" t="inlineStr">
        <is>
          <t>Aspirant Interaction</t>
        </is>
      </c>
      <c r="F3522" s="37" t="inlineStr">
        <is>
          <t>Ask whether the AH explained the importance of the offer letter and sharing it with us once received for reporting purposes?</t>
        </is>
      </c>
      <c r="G3522" s="37" t="inlineStr">
        <is>
          <t>All is Well</t>
        </is>
      </c>
    </row>
    <row r="3523">
      <c r="A3523" s="37" t="inlineStr">
        <is>
          <t>Phani</t>
        </is>
      </c>
      <c r="B3523" s="37" t="inlineStr">
        <is>
          <t>Akkayapalem</t>
        </is>
      </c>
      <c r="C3523" s="37" t="inlineStr">
        <is>
          <t>Grow Youth</t>
        </is>
      </c>
      <c r="D3523" s="37" t="inlineStr">
        <is>
          <t>2026-07-20</t>
        </is>
      </c>
      <c r="E3523" s="37" t="inlineStr">
        <is>
          <t>Aspirant Interaction</t>
        </is>
      </c>
      <c r="F3523" s="37" t="inlineStr">
        <is>
          <t>Ask how many are not interested in jobs — and if so, why they enrolled in the programme?</t>
        </is>
      </c>
      <c r="G3523" s="37" t="inlineStr">
        <is>
          <t>All is Well</t>
        </is>
      </c>
    </row>
    <row r="3524">
      <c r="A3524" s="37" t="inlineStr">
        <is>
          <t>Phani</t>
        </is>
      </c>
      <c r="B3524" s="37" t="inlineStr">
        <is>
          <t>Akkayapalem</t>
        </is>
      </c>
      <c r="C3524" s="37" t="inlineStr">
        <is>
          <t>Grow Youth</t>
        </is>
      </c>
      <c r="D3524" s="37" t="inlineStr">
        <is>
          <t>2026-07-20</t>
        </is>
      </c>
      <c r="E3524" s="37" t="inlineStr">
        <is>
          <t>Aspirant Interaction</t>
        </is>
      </c>
      <c r="F3524" s="37" t="inlineStr">
        <is>
          <t>Ask whether they were told the kind of job they would get during counselling?</t>
        </is>
      </c>
      <c r="G3524" s="37" t="inlineStr">
        <is>
          <t>All is Well</t>
        </is>
      </c>
    </row>
    <row r="3525">
      <c r="A3525" s="37" t="inlineStr">
        <is>
          <t>Phani</t>
        </is>
      </c>
      <c r="B3525" s="37" t="inlineStr">
        <is>
          <t>Akkayapalem</t>
        </is>
      </c>
      <c r="C3525" s="37" t="inlineStr">
        <is>
          <t>Grow Youth</t>
        </is>
      </c>
      <c r="D3525" s="37" t="inlineStr">
        <is>
          <t>2026-07-20</t>
        </is>
      </c>
      <c r="E3525" s="37" t="inlineStr">
        <is>
          <t>Aspirant Interaction</t>
        </is>
      </c>
      <c r="F3525" s="37" t="inlineStr">
        <is>
          <t>Ask whether they have been given LMS access?</t>
        </is>
      </c>
      <c r="G3525" s="37" t="inlineStr">
        <is>
          <t>All is Well</t>
        </is>
      </c>
    </row>
    <row r="3526">
      <c r="A3526" s="37" t="inlineStr">
        <is>
          <t>Phani</t>
        </is>
      </c>
      <c r="B3526" s="37" t="inlineStr">
        <is>
          <t>Akkayapalem</t>
        </is>
      </c>
      <c r="C3526" s="37" t="inlineStr">
        <is>
          <t>Grow Youth</t>
        </is>
      </c>
      <c r="D3526" s="37" t="inlineStr">
        <is>
          <t>2026-07-20</t>
        </is>
      </c>
      <c r="E3526" s="37" t="inlineStr">
        <is>
          <t>Aspirant Interaction</t>
        </is>
      </c>
      <c r="F3526" s="37" t="inlineStr">
        <is>
          <t>Ask whether anyone asked them for money for training or placement?</t>
        </is>
      </c>
      <c r="G3526" s="37" t="inlineStr">
        <is>
          <t>All is Well</t>
        </is>
      </c>
    </row>
    <row r="3527">
      <c r="A3527" s="37" t="inlineStr">
        <is>
          <t>Phani</t>
        </is>
      </c>
      <c r="B3527" s="37" t="inlineStr">
        <is>
          <t>Akkayapalem</t>
        </is>
      </c>
      <c r="C3527" s="37" t="inlineStr">
        <is>
          <t>Grow Youth</t>
        </is>
      </c>
      <c r="D3527" s="37" t="inlineStr">
        <is>
          <t>2026-07-20</t>
        </is>
      </c>
      <c r="E3527" s="37" t="inlineStr">
        <is>
          <t>Aspirant Interaction</t>
        </is>
      </c>
      <c r="F3527" s="37" t="inlineStr">
        <is>
          <t>Ask to show their mobile phones — are they enrolled on Skillfy? If not, get them enrolled and give written feedback to trainers and the AH in your presence.</t>
        </is>
      </c>
      <c r="G3527" s="37" t="inlineStr">
        <is>
          <t>All is Well</t>
        </is>
      </c>
    </row>
    <row r="3528">
      <c r="A3528" s="37" t="inlineStr">
        <is>
          <t>Phani</t>
        </is>
      </c>
      <c r="B3528" s="37" t="inlineStr">
        <is>
          <t>Akkayapalem</t>
        </is>
      </c>
      <c r="C3528" s="37" t="inlineStr">
        <is>
          <t>Grow Youth</t>
        </is>
      </c>
      <c r="D3528" s="37" t="inlineStr">
        <is>
          <t>2026-07-20</t>
        </is>
      </c>
      <c r="E3528" s="37" t="inlineStr">
        <is>
          <t>Aspirant Interaction</t>
        </is>
      </c>
      <c r="F3528" s="37" t="inlineStr">
        <is>
          <t>Ask about the quality of the hostel and any issues they face.</t>
        </is>
      </c>
      <c r="G3528" s="37" t="inlineStr">
        <is>
          <t>Not Applicable</t>
        </is>
      </c>
    </row>
    <row r="3529">
      <c r="A3529" s="37" t="inlineStr">
        <is>
          <t>Phani</t>
        </is>
      </c>
      <c r="B3529" s="37" t="inlineStr">
        <is>
          <t>Akkayapalem</t>
        </is>
      </c>
      <c r="C3529" s="37" t="inlineStr">
        <is>
          <t>Grow Youth</t>
        </is>
      </c>
      <c r="D3529" s="37" t="inlineStr">
        <is>
          <t>2026-07-20</t>
        </is>
      </c>
      <c r="E3529" s="37" t="inlineStr">
        <is>
          <t>Aspirant Interaction</t>
        </is>
      </c>
      <c r="F3529" s="37" t="inlineStr">
        <is>
          <t>Ask a few relevant screening questions to support the 10th-day report and remove non-serious candidates, explaining to them the reasons.</t>
        </is>
      </c>
      <c r="G3529" s="37" t="inlineStr">
        <is>
          <t>All is Well</t>
        </is>
      </c>
    </row>
    <row r="3530">
      <c r="A3530" s="37" t="inlineStr">
        <is>
          <t>Phani</t>
        </is>
      </c>
      <c r="B3530" s="37" t="inlineStr">
        <is>
          <t>Anakapalli</t>
        </is>
      </c>
      <c r="C3530" s="37" t="inlineStr">
        <is>
          <t>Grow Youth</t>
        </is>
      </c>
      <c r="D3530" s="37" t="inlineStr">
        <is>
          <t>2026-07-22</t>
        </is>
      </c>
      <c r="E3530" s="37" t="inlineStr">
        <is>
          <t>Data Check</t>
        </is>
      </c>
      <c r="F3530" s="37" t="inlineStr">
        <is>
          <t>Reach the centre on time (unannounced) — confirm the centre opened on time.</t>
        </is>
      </c>
      <c r="G3530" s="37" t="inlineStr">
        <is>
          <t>All is Well</t>
        </is>
      </c>
    </row>
    <row r="3531">
      <c r="A3531" s="37" t="inlineStr">
        <is>
          <t>Phani</t>
        </is>
      </c>
      <c r="B3531" s="37" t="inlineStr">
        <is>
          <t>Anakapalli</t>
        </is>
      </c>
      <c r="C3531" s="37" t="inlineStr">
        <is>
          <t>Grow Youth</t>
        </is>
      </c>
      <c r="D3531" s="37" t="inlineStr">
        <is>
          <t>2026-07-22</t>
        </is>
      </c>
      <c r="E3531" s="37" t="inlineStr">
        <is>
          <t>Data Check</t>
        </is>
      </c>
      <c r="F3531" s="37" t="inlineStr">
        <is>
          <t>Check the staff attendance register, the Google Sheet, and geo-tagged photos for aspirants.</t>
        </is>
      </c>
      <c r="G3531" s="37" t="inlineStr">
        <is>
          <t>All is Well</t>
        </is>
      </c>
    </row>
    <row r="3532">
      <c r="A3532" s="37" t="inlineStr">
        <is>
          <t>Phani</t>
        </is>
      </c>
      <c r="B3532" s="37" t="inlineStr">
        <is>
          <t>Anakapalli</t>
        </is>
      </c>
      <c r="C3532" s="37" t="inlineStr">
        <is>
          <t>Grow Youth</t>
        </is>
      </c>
      <c r="D3532" s="37" t="inlineStr">
        <is>
          <t>2026-07-22</t>
        </is>
      </c>
      <c r="E3532" s="37" t="inlineStr">
        <is>
          <t>Data Check</t>
        </is>
      </c>
      <c r="F3532" s="37" t="inlineStr">
        <is>
          <t>Check Counselling and Screening Forms of recently started batches.</t>
        </is>
      </c>
      <c r="G3532" s="37" t="inlineStr">
        <is>
          <t>All is Well</t>
        </is>
      </c>
    </row>
    <row r="3533">
      <c r="A3533" s="37" t="inlineStr">
        <is>
          <t>Phani</t>
        </is>
      </c>
      <c r="B3533" s="37" t="inlineStr">
        <is>
          <t>Anakapalli</t>
        </is>
      </c>
      <c r="C3533" s="37" t="inlineStr">
        <is>
          <t>Grow Youth</t>
        </is>
      </c>
      <c r="D3533" s="37" t="inlineStr">
        <is>
          <t>2026-07-22</t>
        </is>
      </c>
      <c r="E3533" s="37" t="inlineStr">
        <is>
          <t>Data Check</t>
        </is>
      </c>
      <c r="F3533" s="37" t="inlineStr">
        <is>
          <t>Check Aspirant Registration Forms and related documents.</t>
        </is>
      </c>
      <c r="G3533" s="37" t="inlineStr">
        <is>
          <t>All is Well</t>
        </is>
      </c>
    </row>
    <row r="3534">
      <c r="A3534" s="37" t="inlineStr">
        <is>
          <t>Phani</t>
        </is>
      </c>
      <c r="B3534" s="37" t="inlineStr">
        <is>
          <t>Anakapalli</t>
        </is>
      </c>
      <c r="C3534" s="37" t="inlineStr">
        <is>
          <t>Grow Youth</t>
        </is>
      </c>
      <c r="D3534" s="37" t="inlineStr">
        <is>
          <t>2026-07-22</t>
        </is>
      </c>
      <c r="E3534" s="37" t="inlineStr">
        <is>
          <t>Data Check</t>
        </is>
      </c>
      <c r="F3534" s="37" t="inlineStr">
        <is>
          <t>On the GROW portal, confirm all student profile details and batch updates are currect.</t>
        </is>
      </c>
      <c r="G3534" s="37" t="inlineStr">
        <is>
          <t>All is Well</t>
        </is>
      </c>
    </row>
    <row r="3535">
      <c r="A3535" s="37" t="inlineStr">
        <is>
          <t>Phani</t>
        </is>
      </c>
      <c r="B3535" s="37" t="inlineStr">
        <is>
          <t>Anakapalli</t>
        </is>
      </c>
      <c r="C3535" s="37" t="inlineStr">
        <is>
          <t>Grow Youth</t>
        </is>
      </c>
      <c r="D3535" s="37" t="inlineStr">
        <is>
          <t>2026-07-22</t>
        </is>
      </c>
      <c r="E3535" s="37" t="inlineStr">
        <is>
          <t>Data Check</t>
        </is>
      </c>
      <c r="F3535" s="37" t="inlineStr">
        <is>
          <t>Verify placement data — randomly call 3–4 alumni placed in the last 3 months to confirm veracity (random selection is essential).</t>
        </is>
      </c>
      <c r="G3535" s="37" t="inlineStr">
        <is>
          <t>All is Well</t>
        </is>
      </c>
    </row>
    <row r="3536">
      <c r="A3536" s="37" t="inlineStr">
        <is>
          <t>Phani</t>
        </is>
      </c>
      <c r="B3536" s="37" t="inlineStr">
        <is>
          <t>Anakapalli</t>
        </is>
      </c>
      <c r="C3536" s="37" t="inlineStr">
        <is>
          <t>Grow Youth</t>
        </is>
      </c>
      <c r="D3536" s="37" t="inlineStr">
        <is>
          <t>2026-07-22</t>
        </is>
      </c>
      <c r="E3536" s="37" t="inlineStr">
        <is>
          <t>Data Check</t>
        </is>
      </c>
      <c r="F3536" s="37" t="inlineStr">
        <is>
          <t>Verify retention — check the Alumni Hand-holding Format is being updated as designed.</t>
        </is>
      </c>
      <c r="G3536" s="37" t="inlineStr">
        <is>
          <t>All is Well</t>
        </is>
      </c>
    </row>
    <row r="3537">
      <c r="A3537" s="37" t="inlineStr">
        <is>
          <t>Phani</t>
        </is>
      </c>
      <c r="B3537" s="37" t="inlineStr">
        <is>
          <t>Anakapalli</t>
        </is>
      </c>
      <c r="C3537" s="37" t="inlineStr">
        <is>
          <t>Grow Youth</t>
        </is>
      </c>
      <c r="D3537" s="37" t="inlineStr">
        <is>
          <t>2026-07-22</t>
        </is>
      </c>
      <c r="E3537" s="37" t="inlineStr">
        <is>
          <t>Data Check</t>
        </is>
      </c>
      <c r="F3537" s="37" t="inlineStr">
        <is>
          <t>Check aspirant Hostel Forms are properly filled or not.</t>
        </is>
      </c>
      <c r="G3537" s="37" t="inlineStr">
        <is>
          <t>Not Applicable</t>
        </is>
      </c>
    </row>
    <row r="3538">
      <c r="A3538" s="37" t="inlineStr">
        <is>
          <t>Phani</t>
        </is>
      </c>
      <c r="B3538" s="37" t="inlineStr">
        <is>
          <t>Anakapalli</t>
        </is>
      </c>
      <c r="C3538" s="37" t="inlineStr">
        <is>
          <t>Grow Youth</t>
        </is>
      </c>
      <c r="D3538" s="37" t="inlineStr">
        <is>
          <t>2026-07-22</t>
        </is>
      </c>
      <c r="E3538" s="37" t="inlineStr">
        <is>
          <t>Infra Check</t>
        </is>
      </c>
      <c r="F3538" s="37" t="inlineStr">
        <is>
          <t>Check all CCTV cameras; if any are not working, ask the AH to troubleshoot or call the vendor.</t>
        </is>
      </c>
      <c r="G3538" s="37" t="inlineStr">
        <is>
          <t>All is Well</t>
        </is>
      </c>
    </row>
    <row r="3539">
      <c r="A3539" s="37" t="inlineStr">
        <is>
          <t>Phani</t>
        </is>
      </c>
      <c r="B3539" s="37" t="inlineStr">
        <is>
          <t>Anakapalli</t>
        </is>
      </c>
      <c r="C3539" s="37" t="inlineStr">
        <is>
          <t>Grow Youth</t>
        </is>
      </c>
      <c r="D3539" s="37" t="inlineStr">
        <is>
          <t>2026-07-22</t>
        </is>
      </c>
      <c r="E3539" s="37" t="inlineStr">
        <is>
          <t>Infra Check</t>
        </is>
      </c>
      <c r="F3539" s="37" t="inlineStr">
        <is>
          <t>Check for any scrap material and get it cleared, with support of Admin</t>
        </is>
      </c>
      <c r="G3539" s="37" t="inlineStr">
        <is>
          <t>All is Well</t>
        </is>
      </c>
    </row>
    <row r="3540">
      <c r="A3540" s="37" t="inlineStr">
        <is>
          <t>Phani</t>
        </is>
      </c>
      <c r="B3540" s="37" t="inlineStr">
        <is>
          <t>Anakapalli</t>
        </is>
      </c>
      <c r="C3540" s="37" t="inlineStr">
        <is>
          <t>Grow Youth</t>
        </is>
      </c>
      <c r="D3540" s="37" t="inlineStr">
        <is>
          <t>2026-07-22</t>
        </is>
      </c>
      <c r="E3540" s="37" t="inlineStr">
        <is>
          <t>Infra Check</t>
        </is>
      </c>
      <c r="F3540" s="37" t="inlineStr">
        <is>
          <t>Check for any pending infra repairs.</t>
        </is>
      </c>
      <c r="G3540" s="37" t="inlineStr">
        <is>
          <t>All is Well</t>
        </is>
      </c>
    </row>
    <row r="3541">
      <c r="A3541" s="37" t="inlineStr">
        <is>
          <t>Phani</t>
        </is>
      </c>
      <c r="B3541" s="37" t="inlineStr">
        <is>
          <t>Anakapalli</t>
        </is>
      </c>
      <c r="C3541" s="37" t="inlineStr">
        <is>
          <t>Grow Youth</t>
        </is>
      </c>
      <c r="D3541" s="37" t="inlineStr">
        <is>
          <t>2026-07-22</t>
        </is>
      </c>
      <c r="E3541" s="37" t="inlineStr">
        <is>
          <t>Infra Check</t>
        </is>
      </c>
      <c r="F3541" s="37" t="inlineStr">
        <is>
          <t>Check whether any fire extinguishers have expired (check the needle and expiry date both).</t>
        </is>
      </c>
      <c r="G3541" s="37" t="inlineStr">
        <is>
          <t>All is Well</t>
        </is>
      </c>
    </row>
    <row r="3542">
      <c r="A3542" s="37" t="inlineStr">
        <is>
          <t>Phani</t>
        </is>
      </c>
      <c r="B3542" s="37" t="inlineStr">
        <is>
          <t>Anakapalli</t>
        </is>
      </c>
      <c r="C3542" s="37" t="inlineStr">
        <is>
          <t>Grow Youth</t>
        </is>
      </c>
      <c r="D3542" s="37" t="inlineStr">
        <is>
          <t>2026-07-22</t>
        </is>
      </c>
      <c r="E3542" s="37" t="inlineStr">
        <is>
          <t>Infra Check</t>
        </is>
      </c>
      <c r="F3542" s="37" t="inlineStr">
        <is>
          <t>Check basic cleanliness of the washrooms and the centre.</t>
        </is>
      </c>
      <c r="G3542" s="37" t="inlineStr">
        <is>
          <t>All is Well</t>
        </is>
      </c>
    </row>
    <row r="3543">
      <c r="A3543" s="37" t="inlineStr">
        <is>
          <t>Phani</t>
        </is>
      </c>
      <c r="B3543" s="37" t="inlineStr">
        <is>
          <t>Anakapalli</t>
        </is>
      </c>
      <c r="C3543" s="37" t="inlineStr">
        <is>
          <t>Grow Youth</t>
        </is>
      </c>
      <c r="D3543" s="37" t="inlineStr">
        <is>
          <t>2026-07-22</t>
        </is>
      </c>
      <c r="E3543" s="37" t="inlineStr">
        <is>
          <t>Infra Check</t>
        </is>
      </c>
      <c r="F3543" s="37" t="inlineStr">
        <is>
          <t>Confirm the correct program and partner logos are displayed.</t>
        </is>
      </c>
      <c r="G3543" s="37" t="inlineStr">
        <is>
          <t>All is Well</t>
        </is>
      </c>
    </row>
    <row r="3544">
      <c r="A3544" s="37" t="inlineStr">
        <is>
          <t>Phani</t>
        </is>
      </c>
      <c r="B3544" s="37" t="inlineStr">
        <is>
          <t>Anakapalli</t>
        </is>
      </c>
      <c r="C3544" s="37" t="inlineStr">
        <is>
          <t>Grow Youth</t>
        </is>
      </c>
      <c r="D3544" s="37" t="inlineStr">
        <is>
          <t>2026-07-22</t>
        </is>
      </c>
      <c r="E3544" s="37" t="inlineStr">
        <is>
          <t>Infra Check</t>
        </is>
      </c>
      <c r="F3544" s="37" t="inlineStr">
        <is>
          <t>Check the status of digital infra — PCs, smartboards, tablets, laptops, etc.</t>
        </is>
      </c>
      <c r="G3544" s="37" t="inlineStr">
        <is>
          <t>All is Well</t>
        </is>
      </c>
    </row>
    <row r="3545">
      <c r="A3545" s="37" t="inlineStr">
        <is>
          <t>Phani</t>
        </is>
      </c>
      <c r="B3545" s="37" t="inlineStr">
        <is>
          <t>Anakapalli</t>
        </is>
      </c>
      <c r="C3545" s="37" t="inlineStr">
        <is>
          <t>Grow Youth</t>
        </is>
      </c>
      <c r="D3545" s="37" t="inlineStr">
        <is>
          <t>2026-07-22</t>
        </is>
      </c>
      <c r="E3545" s="37" t="inlineStr">
        <is>
          <t>Infra Check</t>
        </is>
      </c>
      <c r="F3545" s="37" t="inlineStr">
        <is>
          <t>Make a quick hostel visit; have lunch there if possible to test the food quality.</t>
        </is>
      </c>
      <c r="G3545" s="37" t="inlineStr">
        <is>
          <t>Not Applicable</t>
        </is>
      </c>
    </row>
    <row r="3546">
      <c r="A3546" s="37" t="inlineStr">
        <is>
          <t>Phani</t>
        </is>
      </c>
      <c r="B3546" s="37" t="inlineStr">
        <is>
          <t>Anakapalli</t>
        </is>
      </c>
      <c r="C3546" s="37" t="inlineStr">
        <is>
          <t>Grow Youth</t>
        </is>
      </c>
      <c r="D3546" s="37" t="inlineStr">
        <is>
          <t>2026-07-22</t>
        </is>
      </c>
      <c r="E3546" s="37" t="inlineStr">
        <is>
          <t>Process Check</t>
        </is>
      </c>
      <c r="F3546" s="37" t="inlineStr">
        <is>
          <t>Refer to the activity planner — check if any activities are delayed.</t>
        </is>
      </c>
      <c r="G3546" s="37" t="inlineStr">
        <is>
          <t>All is Well</t>
        </is>
      </c>
    </row>
    <row r="3547">
      <c r="A3547" s="37" t="inlineStr">
        <is>
          <t>Phani</t>
        </is>
      </c>
      <c r="B3547" s="37" t="inlineStr">
        <is>
          <t>Anakapalli</t>
        </is>
      </c>
      <c r="C3547" s="37" t="inlineStr">
        <is>
          <t>Grow Youth</t>
        </is>
      </c>
      <c r="D3547" s="37" t="inlineStr">
        <is>
          <t>2026-07-22</t>
        </is>
      </c>
      <c r="E3547" s="37" t="inlineStr">
        <is>
          <t>Process Check</t>
        </is>
      </c>
      <c r="F3547" s="37" t="inlineStr">
        <is>
          <t>Check planning for the next batch-start announcement.</t>
        </is>
      </c>
      <c r="G3547" s="37" t="inlineStr">
        <is>
          <t>All is Well</t>
        </is>
      </c>
    </row>
    <row r="3548">
      <c r="A3548" s="37" t="inlineStr">
        <is>
          <t>Phani</t>
        </is>
      </c>
      <c r="B3548" s="37" t="inlineStr">
        <is>
          <t>Anakapalli</t>
        </is>
      </c>
      <c r="C3548" s="37" t="inlineStr">
        <is>
          <t>Grow Youth</t>
        </is>
      </c>
      <c r="D3548" s="37" t="inlineStr">
        <is>
          <t>2026-07-22</t>
        </is>
      </c>
      <c r="E3548" s="37" t="inlineStr">
        <is>
          <t>Process Check</t>
        </is>
      </c>
      <c r="F3548" s="37" t="inlineStr">
        <is>
          <t>Check if any hiring is delayed and plan a resolution.</t>
        </is>
      </c>
      <c r="G3548" s="37" t="inlineStr">
        <is>
          <t>All is Well</t>
        </is>
      </c>
    </row>
    <row r="3549">
      <c r="A3549" s="37" t="inlineStr">
        <is>
          <t>Phani</t>
        </is>
      </c>
      <c r="B3549" s="37" t="inlineStr">
        <is>
          <t>Anakapalli</t>
        </is>
      </c>
      <c r="C3549" s="37" t="inlineStr">
        <is>
          <t>Grow Youth</t>
        </is>
      </c>
      <c r="D3549" s="37" t="inlineStr">
        <is>
          <t>2026-07-22</t>
        </is>
      </c>
      <c r="E3549" s="37" t="inlineStr">
        <is>
          <t>Process Check</t>
        </is>
      </c>
      <c r="F3549" s="37" t="inlineStr">
        <is>
          <t>Check the CA’s diary — is CA guided daily by the AH during planning days?</t>
        </is>
      </c>
      <c r="G3549" s="37" t="inlineStr">
        <is>
          <t>Need Improvement</t>
        </is>
      </c>
    </row>
    <row r="3550">
      <c r="A3550" s="37" t="inlineStr">
        <is>
          <t>Phani</t>
        </is>
      </c>
      <c r="B3550" s="37" t="inlineStr">
        <is>
          <t>Anakapalli</t>
        </is>
      </c>
      <c r="C3550" s="37" t="inlineStr">
        <is>
          <t>Grow Youth</t>
        </is>
      </c>
      <c r="D3550" s="37" t="inlineStr">
        <is>
          <t>2026-07-22</t>
        </is>
      </c>
      <c r="E3550" s="37" t="inlineStr">
        <is>
          <t>Process Check</t>
        </is>
      </c>
      <c r="F3550" s="37" t="inlineStr">
        <is>
          <t>Check the AH is regularly meeting employers (in person and online) and updating the centre’s Top 20 Employer format.</t>
        </is>
      </c>
      <c r="G3550" s="37" t="inlineStr">
        <is>
          <t>All is Well</t>
        </is>
      </c>
    </row>
    <row r="3551">
      <c r="A3551" s="37" t="inlineStr">
        <is>
          <t>Phani</t>
        </is>
      </c>
      <c r="B3551" s="37" t="inlineStr">
        <is>
          <t>Anakapalli</t>
        </is>
      </c>
      <c r="C3551" s="37" t="inlineStr">
        <is>
          <t>Grow Youth</t>
        </is>
      </c>
      <c r="D3551" s="37" t="inlineStr">
        <is>
          <t>2026-07-22</t>
        </is>
      </c>
      <c r="E3551" s="37" t="inlineStr">
        <is>
          <t>Process Check</t>
        </is>
      </c>
      <c r="F3551" s="37" t="inlineStr">
        <is>
          <t>Confirm all new employers are registered on portal as per new process.</t>
        </is>
      </c>
      <c r="G3551" s="37" t="inlineStr">
        <is>
          <t>All is Well</t>
        </is>
      </c>
    </row>
    <row r="3552">
      <c r="A3552" s="37" t="inlineStr">
        <is>
          <t>Phani</t>
        </is>
      </c>
      <c r="B3552" s="37" t="inlineStr">
        <is>
          <t>Anakapalli</t>
        </is>
      </c>
      <c r="C3552" s="37" t="inlineStr">
        <is>
          <t>Grow Youth</t>
        </is>
      </c>
      <c r="D3552" s="37" t="inlineStr">
        <is>
          <t>2026-07-22</t>
        </is>
      </c>
      <c r="E3552" s="37" t="inlineStr">
        <is>
          <t>Process Check</t>
        </is>
      </c>
      <c r="F3552" s="37" t="inlineStr">
        <is>
          <t>Confirm 100% of enrolled students undergone screening (for technical courses).</t>
        </is>
      </c>
      <c r="G3552" s="37" t="inlineStr">
        <is>
          <t>All is Well</t>
        </is>
      </c>
    </row>
    <row r="3553">
      <c r="A3553" s="37" t="inlineStr">
        <is>
          <t>Phani</t>
        </is>
      </c>
      <c r="B3553" s="37" t="inlineStr">
        <is>
          <t>Anakapalli</t>
        </is>
      </c>
      <c r="C3553" s="37" t="inlineStr">
        <is>
          <t>Grow Youth</t>
        </is>
      </c>
      <c r="D3553" s="37" t="inlineStr">
        <is>
          <t>2026-07-22</t>
        </is>
      </c>
      <c r="E3553" s="37" t="inlineStr">
        <is>
          <t>Process Check</t>
        </is>
      </c>
      <c r="F3553" s="37" t="inlineStr">
        <is>
          <t>Confirm ESA is done (in GROW full ESA and in Technical courses relevant sections of Core Employability Part).</t>
        </is>
      </c>
      <c r="G3553" s="37" t="inlineStr">
        <is>
          <t>All is Well</t>
        </is>
      </c>
    </row>
    <row r="3554">
      <c r="A3554" s="37" t="inlineStr">
        <is>
          <t>Phani</t>
        </is>
      </c>
      <c r="B3554" s="37" t="inlineStr">
        <is>
          <t>Anakapalli</t>
        </is>
      </c>
      <c r="C3554" s="37" t="inlineStr">
        <is>
          <t>Grow Youth</t>
        </is>
      </c>
      <c r="D3554" s="37" t="inlineStr">
        <is>
          <t>2026-07-22</t>
        </is>
      </c>
      <c r="E3554" s="37" t="inlineStr">
        <is>
          <t>Process Check</t>
        </is>
      </c>
      <c r="F3554" s="37" t="inlineStr">
        <is>
          <t>Check is AH giving capstone project in GROW Tech.</t>
        </is>
      </c>
      <c r="G3554" s="37" t="inlineStr">
        <is>
          <t>Not Applicable</t>
        </is>
      </c>
    </row>
    <row r="3555">
      <c r="A3555" s="37" t="inlineStr">
        <is>
          <t>Phani</t>
        </is>
      </c>
      <c r="B3555" s="37" t="inlineStr">
        <is>
          <t>Anakapalli</t>
        </is>
      </c>
      <c r="C3555" s="37" t="inlineStr">
        <is>
          <t>Grow Youth</t>
        </is>
      </c>
      <c r="D3555" s="37" t="inlineStr">
        <is>
          <t>2026-07-22</t>
        </is>
      </c>
      <c r="E3555" s="37" t="inlineStr">
        <is>
          <t>Process Check</t>
        </is>
      </c>
      <c r="F3555" s="37" t="inlineStr">
        <is>
          <t>Check is AH planning OJT as per guidelines and proofs are collected for technical courses.</t>
        </is>
      </c>
      <c r="G3555" s="37" t="inlineStr">
        <is>
          <t>Not Applicable</t>
        </is>
      </c>
    </row>
    <row r="3556">
      <c r="A3556" s="37" t="inlineStr">
        <is>
          <t>Phani</t>
        </is>
      </c>
      <c r="B3556" s="37" t="inlineStr">
        <is>
          <t>Anakapalli</t>
        </is>
      </c>
      <c r="C3556" s="37" t="inlineStr">
        <is>
          <t>Grow Youth</t>
        </is>
      </c>
      <c r="D3556" s="37" t="inlineStr">
        <is>
          <t>2026-07-22</t>
        </is>
      </c>
      <c r="E3556" s="37" t="inlineStr">
        <is>
          <t>Process Check</t>
        </is>
      </c>
      <c r="F3556" s="37" t="inlineStr">
        <is>
          <t>Check are trainers contacting aspirants to find reason for their absenteeism of more than 1 day.</t>
        </is>
      </c>
      <c r="G3556" s="37" t="inlineStr">
        <is>
          <t>All is Well</t>
        </is>
      </c>
    </row>
    <row r="3557">
      <c r="A3557" s="37" t="inlineStr">
        <is>
          <t>Phani</t>
        </is>
      </c>
      <c r="B3557" s="37" t="inlineStr">
        <is>
          <t>Anakapalli</t>
        </is>
      </c>
      <c r="C3557" s="37" t="inlineStr">
        <is>
          <t>Grow Youth</t>
        </is>
      </c>
      <c r="D3557" s="37" t="inlineStr">
        <is>
          <t>2026-07-22</t>
        </is>
      </c>
      <c r="E3557" s="37" t="inlineStr">
        <is>
          <t>Process Check</t>
        </is>
      </c>
      <c r="F3557" s="37" t="inlineStr">
        <is>
          <t>Check the AH plans monthly enrolment and placement numbers by the 3rd of each month and shares them with second level managers.</t>
        </is>
      </c>
      <c r="G3557" s="37" t="inlineStr">
        <is>
          <t>All is Well</t>
        </is>
      </c>
    </row>
    <row r="3558">
      <c r="A3558" s="37" t="inlineStr">
        <is>
          <t>Phani</t>
        </is>
      </c>
      <c r="B3558" s="37" t="inlineStr">
        <is>
          <t>Anakapalli</t>
        </is>
      </c>
      <c r="C3558" s="37" t="inlineStr">
        <is>
          <t>Grow Youth</t>
        </is>
      </c>
      <c r="D3558" s="37" t="inlineStr">
        <is>
          <t>2026-07-22</t>
        </is>
      </c>
      <c r="E3558" s="37" t="inlineStr">
        <is>
          <t>Process Check</t>
        </is>
      </c>
      <c r="F3558" s="37" t="inlineStr">
        <is>
          <t>Check trainers submit aspirants’ placement interest areas to the AH by the batch’s 25th day (in GROW).</t>
        </is>
      </c>
      <c r="G3558" s="37" t="inlineStr">
        <is>
          <t>All is Well</t>
        </is>
      </c>
    </row>
    <row r="3559">
      <c r="A3559" s="37" t="inlineStr">
        <is>
          <t>Phani</t>
        </is>
      </c>
      <c r="B3559" s="37" t="inlineStr">
        <is>
          <t>Anakapalli</t>
        </is>
      </c>
      <c r="C3559" s="37" t="inlineStr">
        <is>
          <t>Grow Youth</t>
        </is>
      </c>
      <c r="D3559" s="37" t="inlineStr">
        <is>
          <t>2026-07-22</t>
        </is>
      </c>
      <c r="E3559" s="37" t="inlineStr">
        <is>
          <t>Process Check</t>
        </is>
      </c>
      <c r="F3559" s="37" t="inlineStr">
        <is>
          <t>Ckeck For technical programs, placement is done only in technical jobs,on which aspirants are trained and relevant emplyers are identified by 45th day.</t>
        </is>
      </c>
      <c r="G3559" s="37" t="inlineStr">
        <is>
          <t>Not Applicable</t>
        </is>
      </c>
    </row>
    <row r="3560">
      <c r="A3560" s="37" t="inlineStr">
        <is>
          <t>Phani</t>
        </is>
      </c>
      <c r="B3560" s="37" t="inlineStr">
        <is>
          <t>Anakapalli</t>
        </is>
      </c>
      <c r="C3560" s="37" t="inlineStr">
        <is>
          <t>Grow Youth</t>
        </is>
      </c>
      <c r="D3560" s="37" t="inlineStr">
        <is>
          <t>2026-07-22</t>
        </is>
      </c>
      <c r="E3560" s="37" t="inlineStr">
        <is>
          <t>Process Check</t>
        </is>
      </c>
      <c r="F3560" s="37" t="inlineStr">
        <is>
          <t>Check the AH follows EP guidelines and minimum benchmark salary guidelines.</t>
        </is>
      </c>
      <c r="G3560" s="37" t="inlineStr">
        <is>
          <t>All is Well</t>
        </is>
      </c>
    </row>
    <row r="3561">
      <c r="A3561" s="37" t="inlineStr">
        <is>
          <t>Phani</t>
        </is>
      </c>
      <c r="B3561" s="37" t="inlineStr">
        <is>
          <t>Anakapalli</t>
        </is>
      </c>
      <c r="C3561" s="37" t="inlineStr">
        <is>
          <t>Grow Youth</t>
        </is>
      </c>
      <c r="D3561" s="37" t="inlineStr">
        <is>
          <t>2026-07-22</t>
        </is>
      </c>
      <c r="E3561" s="37" t="inlineStr">
        <is>
          <t>Process Check</t>
        </is>
      </c>
      <c r="F3561" s="37" t="inlineStr">
        <is>
          <t>Check that AH is enrolling only the right traget group in the program -as per the defined target.</t>
        </is>
      </c>
      <c r="G3561" s="37" t="inlineStr">
        <is>
          <t>All is Well</t>
        </is>
      </c>
    </row>
    <row r="3562">
      <c r="A3562" s="37" t="inlineStr">
        <is>
          <t>Phani</t>
        </is>
      </c>
      <c r="B3562" s="37" t="inlineStr">
        <is>
          <t>Anakapalli</t>
        </is>
      </c>
      <c r="C3562" s="37" t="inlineStr">
        <is>
          <t>Grow Youth</t>
        </is>
      </c>
      <c r="D3562" s="37" t="inlineStr">
        <is>
          <t>2026-07-22</t>
        </is>
      </c>
      <c r="E3562" s="37" t="inlineStr">
        <is>
          <t>Process Check</t>
        </is>
      </c>
      <c r="F3562" s="37" t="inlineStr">
        <is>
          <t>Check the AH announces the next batch-start date by the 3rd of the month on all notice boards — focus on Zero-Day start.</t>
        </is>
      </c>
      <c r="G3562" s="37" t="inlineStr">
        <is>
          <t>All is Well</t>
        </is>
      </c>
    </row>
    <row r="3563">
      <c r="A3563" s="37" t="inlineStr">
        <is>
          <t>Phani</t>
        </is>
      </c>
      <c r="B3563" s="37" t="inlineStr">
        <is>
          <t>Anakapalli</t>
        </is>
      </c>
      <c r="C3563" s="37" t="inlineStr">
        <is>
          <t>Grow Youth</t>
        </is>
      </c>
      <c r="D3563" s="37" t="inlineStr">
        <is>
          <t>2026-07-22</t>
        </is>
      </c>
      <c r="E3563" s="37" t="inlineStr">
        <is>
          <t>Process Check</t>
        </is>
      </c>
      <c r="F3563" s="37" t="inlineStr">
        <is>
          <t>Check the Aspirant Mock Interview Score Tracker is updated after every mock interview in the L&amp;D Google Sheet.</t>
        </is>
      </c>
      <c r="G3563" s="37" t="inlineStr">
        <is>
          <t>All is Well</t>
        </is>
      </c>
    </row>
    <row r="3564">
      <c r="A3564" s="37" t="inlineStr">
        <is>
          <t>Phani</t>
        </is>
      </c>
      <c r="B3564" s="37" t="inlineStr">
        <is>
          <t>Anakapalli</t>
        </is>
      </c>
      <c r="C3564" s="37" t="inlineStr">
        <is>
          <t>Grow Youth</t>
        </is>
      </c>
      <c r="D3564" s="37" t="inlineStr">
        <is>
          <t>2026-07-22</t>
        </is>
      </c>
      <c r="E3564" s="37" t="inlineStr">
        <is>
          <t>Process Check</t>
        </is>
      </c>
      <c r="F3564" s="37" t="inlineStr">
        <is>
          <t>Confirm NPS (Net Promoter Score) is collected at MSDF centres.</t>
        </is>
      </c>
      <c r="G3564" s="37" t="inlineStr">
        <is>
          <t>Not Applicable</t>
        </is>
      </c>
    </row>
    <row r="3565">
      <c r="A3565" s="37" t="inlineStr">
        <is>
          <t>Phani</t>
        </is>
      </c>
      <c r="B3565" s="37" t="inlineStr">
        <is>
          <t>Anakapalli</t>
        </is>
      </c>
      <c r="C3565" s="37" t="inlineStr">
        <is>
          <t>Grow Youth</t>
        </is>
      </c>
      <c r="D3565" s="37" t="inlineStr">
        <is>
          <t>2026-07-22</t>
        </is>
      </c>
      <c r="E3565" s="37" t="inlineStr">
        <is>
          <t>Process Check</t>
        </is>
      </c>
      <c r="F3565" s="37" t="inlineStr">
        <is>
          <t>Confirm that QAE is collecting student feedback for every batch.</t>
        </is>
      </c>
      <c r="G3565" s="37" t="inlineStr">
        <is>
          <t>All is Well</t>
        </is>
      </c>
    </row>
    <row r="3566">
      <c r="A3566" s="37" t="inlineStr">
        <is>
          <t>Phani</t>
        </is>
      </c>
      <c r="B3566" s="37" t="inlineStr">
        <is>
          <t>Anakapalli</t>
        </is>
      </c>
      <c r="C3566" s="37" t="inlineStr">
        <is>
          <t>Grow Youth</t>
        </is>
      </c>
      <c r="D3566" s="37" t="inlineStr">
        <is>
          <t>2026-07-22</t>
        </is>
      </c>
      <c r="E3566" s="37" t="inlineStr">
        <is>
          <t>Process Check</t>
        </is>
      </c>
      <c r="F3566" s="37" t="inlineStr">
        <is>
          <t>Confirm all centre teams have completed the GROW Manual Course on Skillfy — ask for achievement certificates.</t>
        </is>
      </c>
      <c r="G3566" s="37" t="inlineStr">
        <is>
          <t>All is Well</t>
        </is>
      </c>
    </row>
    <row r="3567">
      <c r="A3567" s="37" t="inlineStr">
        <is>
          <t>Phani</t>
        </is>
      </c>
      <c r="B3567" s="37" t="inlineStr">
        <is>
          <t>Anakapalli</t>
        </is>
      </c>
      <c r="C3567" s="37" t="inlineStr">
        <is>
          <t>Grow Youth</t>
        </is>
      </c>
      <c r="D3567" s="37" t="inlineStr">
        <is>
          <t>2026-07-22</t>
        </is>
      </c>
      <c r="E3567" s="37" t="inlineStr">
        <is>
          <t>Process Check</t>
        </is>
      </c>
      <c r="F3567" s="37" t="inlineStr">
        <is>
          <t>Check AH holds a quality weekly team meeting, documents action points in the weekly meeting format, and sends you a photo on WhatsApp.</t>
        </is>
      </c>
      <c r="G3567" s="37" t="inlineStr">
        <is>
          <t>All is Well</t>
        </is>
      </c>
    </row>
    <row r="3568">
      <c r="A3568" s="37" t="inlineStr">
        <is>
          <t>Phani</t>
        </is>
      </c>
      <c r="B3568" s="37" t="inlineStr">
        <is>
          <t>Anakapalli</t>
        </is>
      </c>
      <c r="C3568" s="37" t="inlineStr">
        <is>
          <t>Grow Youth</t>
        </is>
      </c>
      <c r="D3568" s="37" t="inlineStr">
        <is>
          <t>2026-07-22</t>
        </is>
      </c>
      <c r="E3568" s="37" t="inlineStr">
        <is>
          <t>Aspirant Interaction</t>
        </is>
      </c>
      <c r="F3568" s="37" t="inlineStr">
        <is>
          <t>Ask aspirants about the session plan — confirm training is happening as planned?</t>
        </is>
      </c>
      <c r="G3568" s="37" t="inlineStr">
        <is>
          <t>All is Well</t>
        </is>
      </c>
    </row>
    <row r="3569">
      <c r="A3569" s="37" t="inlineStr">
        <is>
          <t>Phani</t>
        </is>
      </c>
      <c r="B3569" s="37" t="inlineStr">
        <is>
          <t>Anakapalli</t>
        </is>
      </c>
      <c r="C3569" s="37" t="inlineStr">
        <is>
          <t>Grow Youth</t>
        </is>
      </c>
      <c r="D3569" s="37" t="inlineStr">
        <is>
          <t>2026-07-22</t>
        </is>
      </c>
      <c r="E3569" s="37" t="inlineStr">
        <is>
          <t>Aspirant Interaction</t>
        </is>
      </c>
      <c r="F3569" s="37" t="inlineStr">
        <is>
          <t>Ask about the quality of Core Employability component delivery (technical centres) and who delivers it.</t>
        </is>
      </c>
      <c r="G3569" s="37" t="inlineStr">
        <is>
          <t>All is Well</t>
        </is>
      </c>
    </row>
    <row r="3570">
      <c r="A3570" s="37" t="inlineStr">
        <is>
          <t>Phani</t>
        </is>
      </c>
      <c r="B3570" s="37" t="inlineStr">
        <is>
          <t>Anakapalli</t>
        </is>
      </c>
      <c r="C3570" s="37" t="inlineStr">
        <is>
          <t>Grow Youth</t>
        </is>
      </c>
      <c r="D3570" s="37" t="inlineStr">
        <is>
          <t>2026-07-22</t>
        </is>
      </c>
      <c r="E3570" s="37" t="inlineStr">
        <is>
          <t>Aspirant Interaction</t>
        </is>
      </c>
      <c r="F3570" s="37" t="inlineStr">
        <is>
          <t>Ask whether they are aware of the referral scheme?</t>
        </is>
      </c>
      <c r="G3570" s="37" t="inlineStr">
        <is>
          <t>All is Well</t>
        </is>
      </c>
    </row>
    <row r="3571">
      <c r="A3571" s="37" t="inlineStr">
        <is>
          <t>Phani</t>
        </is>
      </c>
      <c r="B3571" s="37" t="inlineStr">
        <is>
          <t>Anakapalli</t>
        </is>
      </c>
      <c r="C3571" s="37" t="inlineStr">
        <is>
          <t>Grow Youth</t>
        </is>
      </c>
      <c r="D3571" s="37" t="inlineStr">
        <is>
          <t>2026-07-22</t>
        </is>
      </c>
      <c r="E3571" s="37" t="inlineStr">
        <is>
          <t>Aspirant Interaction</t>
        </is>
      </c>
      <c r="F3571" s="37" t="inlineStr">
        <is>
          <t>Ask whether the AH explained the importance of the offer letter and sharing it with us once received for reporting purposes?</t>
        </is>
      </c>
      <c r="G3571" s="37" t="inlineStr">
        <is>
          <t>All is Well</t>
        </is>
      </c>
    </row>
    <row r="3572">
      <c r="A3572" s="37" t="inlineStr">
        <is>
          <t>Phani</t>
        </is>
      </c>
      <c r="B3572" s="37" t="inlineStr">
        <is>
          <t>Anakapalli</t>
        </is>
      </c>
      <c r="C3572" s="37" t="inlineStr">
        <is>
          <t>Grow Youth</t>
        </is>
      </c>
      <c r="D3572" s="37" t="inlineStr">
        <is>
          <t>2026-07-22</t>
        </is>
      </c>
      <c r="E3572" s="37" t="inlineStr">
        <is>
          <t>Aspirant Interaction</t>
        </is>
      </c>
      <c r="F3572" s="37" t="inlineStr">
        <is>
          <t>Ask how many are not interested in jobs — and if so, why they enrolled in the programme?</t>
        </is>
      </c>
      <c r="G3572" s="37" t="inlineStr">
        <is>
          <t>All is Well</t>
        </is>
      </c>
    </row>
    <row r="3573">
      <c r="A3573" s="37" t="inlineStr">
        <is>
          <t>Phani</t>
        </is>
      </c>
      <c r="B3573" s="37" t="inlineStr">
        <is>
          <t>Anakapalli</t>
        </is>
      </c>
      <c r="C3573" s="37" t="inlineStr">
        <is>
          <t>Grow Youth</t>
        </is>
      </c>
      <c r="D3573" s="37" t="inlineStr">
        <is>
          <t>2026-07-22</t>
        </is>
      </c>
      <c r="E3573" s="37" t="inlineStr">
        <is>
          <t>Aspirant Interaction</t>
        </is>
      </c>
      <c r="F3573" s="37" t="inlineStr">
        <is>
          <t>Ask whether they were told the kind of job they would get during counselling?</t>
        </is>
      </c>
      <c r="G3573" s="37" t="inlineStr">
        <is>
          <t>All is Well</t>
        </is>
      </c>
    </row>
    <row r="3574">
      <c r="A3574" s="37" t="inlineStr">
        <is>
          <t>Phani</t>
        </is>
      </c>
      <c r="B3574" s="37" t="inlineStr">
        <is>
          <t>Anakapalli</t>
        </is>
      </c>
      <c r="C3574" s="37" t="inlineStr">
        <is>
          <t>Grow Youth</t>
        </is>
      </c>
      <c r="D3574" s="37" t="inlineStr">
        <is>
          <t>2026-07-22</t>
        </is>
      </c>
      <c r="E3574" s="37" t="inlineStr">
        <is>
          <t>Aspirant Interaction</t>
        </is>
      </c>
      <c r="F3574" s="37" t="inlineStr">
        <is>
          <t>Ask whether they have been given LMS access?</t>
        </is>
      </c>
      <c r="G3574" s="37" t="inlineStr">
        <is>
          <t>All is Well</t>
        </is>
      </c>
    </row>
    <row r="3575">
      <c r="A3575" s="37" t="inlineStr">
        <is>
          <t>Phani</t>
        </is>
      </c>
      <c r="B3575" s="37" t="inlineStr">
        <is>
          <t>Anakapalli</t>
        </is>
      </c>
      <c r="C3575" s="37" t="inlineStr">
        <is>
          <t>Grow Youth</t>
        </is>
      </c>
      <c r="D3575" s="37" t="inlineStr">
        <is>
          <t>2026-07-22</t>
        </is>
      </c>
      <c r="E3575" s="37" t="inlineStr">
        <is>
          <t>Aspirant Interaction</t>
        </is>
      </c>
      <c r="F3575" s="37" t="inlineStr">
        <is>
          <t>Ask whether anyone asked them for money for training or placement?</t>
        </is>
      </c>
      <c r="G3575" s="37" t="inlineStr">
        <is>
          <t>All is Well</t>
        </is>
      </c>
    </row>
    <row r="3576">
      <c r="A3576" s="37" t="inlineStr">
        <is>
          <t>Phani</t>
        </is>
      </c>
      <c r="B3576" s="37" t="inlineStr">
        <is>
          <t>Anakapalli</t>
        </is>
      </c>
      <c r="C3576" s="37" t="inlineStr">
        <is>
          <t>Grow Youth</t>
        </is>
      </c>
      <c r="D3576" s="37" t="inlineStr">
        <is>
          <t>2026-07-22</t>
        </is>
      </c>
      <c r="E3576" s="37" t="inlineStr">
        <is>
          <t>Aspirant Interaction</t>
        </is>
      </c>
      <c r="F3576" s="37" t="inlineStr">
        <is>
          <t>Ask to show their mobile phones — are they enrolled on Skillfy? If not, get them enrolled and give written feedback to trainers and the AH in your presence.</t>
        </is>
      </c>
      <c r="G3576" s="37" t="inlineStr">
        <is>
          <t>All is Well</t>
        </is>
      </c>
    </row>
    <row r="3577">
      <c r="A3577" s="37" t="inlineStr">
        <is>
          <t>Phani</t>
        </is>
      </c>
      <c r="B3577" s="37" t="inlineStr">
        <is>
          <t>Anakapalli</t>
        </is>
      </c>
      <c r="C3577" s="37" t="inlineStr">
        <is>
          <t>Grow Youth</t>
        </is>
      </c>
      <c r="D3577" s="37" t="inlineStr">
        <is>
          <t>2026-07-22</t>
        </is>
      </c>
      <c r="E3577" s="37" t="inlineStr">
        <is>
          <t>Aspirant Interaction</t>
        </is>
      </c>
      <c r="F3577" s="37" t="inlineStr">
        <is>
          <t>Ask about the quality of the hostel and any issues they face.</t>
        </is>
      </c>
      <c r="G3577" s="37" t="inlineStr">
        <is>
          <t>Not Applicable</t>
        </is>
      </c>
    </row>
    <row r="3578">
      <c r="A3578" s="37" t="inlineStr">
        <is>
          <t>Phani</t>
        </is>
      </c>
      <c r="B3578" s="37" t="inlineStr">
        <is>
          <t>Anakapalli</t>
        </is>
      </c>
      <c r="C3578" s="37" t="inlineStr">
        <is>
          <t>Grow Youth</t>
        </is>
      </c>
      <c r="D3578" s="37" t="inlineStr">
        <is>
          <t>2026-07-22</t>
        </is>
      </c>
      <c r="E3578" s="37" t="inlineStr">
        <is>
          <t>Aspirant Interaction</t>
        </is>
      </c>
      <c r="F3578" s="37" t="inlineStr">
        <is>
          <t>Ask a few relevant screening questions to support the 10th-day report and remove non-serious candidates, explaining to them the reasons.</t>
        </is>
      </c>
      <c r="G3578" s="37" t="inlineStr">
        <is>
          <t>All is Well</t>
        </is>
      </c>
    </row>
    <row r="3579">
      <c r="A3579" s="37" t="inlineStr">
        <is>
          <t>Phani</t>
        </is>
      </c>
      <c r="B3579" s="37" t="inlineStr">
        <is>
          <t>Srikakulam</t>
        </is>
      </c>
      <c r="C3579" s="37" t="inlineStr">
        <is>
          <t>Grow Youth</t>
        </is>
      </c>
      <c r="D3579" s="37" t="inlineStr">
        <is>
          <t>2026-07-02</t>
        </is>
      </c>
      <c r="E3579" s="37" t="inlineStr">
        <is>
          <t>Data Check</t>
        </is>
      </c>
      <c r="F3579" s="37" t="inlineStr">
        <is>
          <t>Reach the centre on time (unannounced) — confirm the centre opened on time.</t>
        </is>
      </c>
      <c r="G3579" s="37" t="inlineStr">
        <is>
          <t>All is Well</t>
        </is>
      </c>
    </row>
    <row r="3580">
      <c r="A3580" s="37" t="inlineStr">
        <is>
          <t>Phani</t>
        </is>
      </c>
      <c r="B3580" s="37" t="inlineStr">
        <is>
          <t>Srikakulam</t>
        </is>
      </c>
      <c r="C3580" s="37" t="inlineStr">
        <is>
          <t>Grow Youth</t>
        </is>
      </c>
      <c r="D3580" s="37" t="inlineStr">
        <is>
          <t>2026-07-02</t>
        </is>
      </c>
      <c r="E3580" s="37" t="inlineStr">
        <is>
          <t>Data Check</t>
        </is>
      </c>
      <c r="F3580" s="37" t="inlineStr">
        <is>
          <t>Check the staff attendance register, the Google Sheet, and geo-tagged photos for aspirants.</t>
        </is>
      </c>
      <c r="G3580" s="37" t="inlineStr">
        <is>
          <t>All is Well</t>
        </is>
      </c>
    </row>
    <row r="3581">
      <c r="A3581" s="37" t="inlineStr">
        <is>
          <t>Phani</t>
        </is>
      </c>
      <c r="B3581" s="37" t="inlineStr">
        <is>
          <t>Srikakulam</t>
        </is>
      </c>
      <c r="C3581" s="37" t="inlineStr">
        <is>
          <t>Grow Youth</t>
        </is>
      </c>
      <c r="D3581" s="37" t="inlineStr">
        <is>
          <t>2026-07-02</t>
        </is>
      </c>
      <c r="E3581" s="37" t="inlineStr">
        <is>
          <t>Data Check</t>
        </is>
      </c>
      <c r="F3581" s="37" t="inlineStr">
        <is>
          <t>Check Counselling and Screening Forms of recently started batches.</t>
        </is>
      </c>
      <c r="G3581" s="37" t="inlineStr">
        <is>
          <t>All is Well</t>
        </is>
      </c>
    </row>
    <row r="3582">
      <c r="A3582" s="37" t="inlineStr">
        <is>
          <t>Phani</t>
        </is>
      </c>
      <c r="B3582" s="37" t="inlineStr">
        <is>
          <t>Srikakulam</t>
        </is>
      </c>
      <c r="C3582" s="37" t="inlineStr">
        <is>
          <t>Grow Youth</t>
        </is>
      </c>
      <c r="D3582" s="37" t="inlineStr">
        <is>
          <t>2026-07-02</t>
        </is>
      </c>
      <c r="E3582" s="37" t="inlineStr">
        <is>
          <t>Data Check</t>
        </is>
      </c>
      <c r="F3582" s="37" t="inlineStr">
        <is>
          <t>Check Aspirant Registration Forms and related documents.</t>
        </is>
      </c>
      <c r="G3582" s="37" t="inlineStr">
        <is>
          <t>All is Well</t>
        </is>
      </c>
    </row>
    <row r="3583">
      <c r="A3583" s="37" t="inlineStr">
        <is>
          <t>Phani</t>
        </is>
      </c>
      <c r="B3583" s="37" t="inlineStr">
        <is>
          <t>Srikakulam</t>
        </is>
      </c>
      <c r="C3583" s="37" t="inlineStr">
        <is>
          <t>Grow Youth</t>
        </is>
      </c>
      <c r="D3583" s="37" t="inlineStr">
        <is>
          <t>2026-07-02</t>
        </is>
      </c>
      <c r="E3583" s="37" t="inlineStr">
        <is>
          <t>Data Check</t>
        </is>
      </c>
      <c r="F3583" s="37" t="inlineStr">
        <is>
          <t>On the GROW portal, confirm all student profile details and batch updates are currect.</t>
        </is>
      </c>
      <c r="G3583" s="37" t="inlineStr">
        <is>
          <t>All is Well</t>
        </is>
      </c>
    </row>
    <row r="3584">
      <c r="A3584" s="37" t="inlineStr">
        <is>
          <t>Phani</t>
        </is>
      </c>
      <c r="B3584" s="37" t="inlineStr">
        <is>
          <t>Srikakulam</t>
        </is>
      </c>
      <c r="C3584" s="37" t="inlineStr">
        <is>
          <t>Grow Youth</t>
        </is>
      </c>
      <c r="D3584" s="37" t="inlineStr">
        <is>
          <t>2026-07-02</t>
        </is>
      </c>
      <c r="E3584" s="37" t="inlineStr">
        <is>
          <t>Data Check</t>
        </is>
      </c>
      <c r="F3584" s="37" t="inlineStr">
        <is>
          <t>Verify placement data — randomly call 3–4 alumni placed in the last 3 months to confirm veracity (random selection is essential).</t>
        </is>
      </c>
      <c r="G3584" s="37" t="inlineStr">
        <is>
          <t>All is Well</t>
        </is>
      </c>
    </row>
    <row r="3585">
      <c r="A3585" s="37" t="inlineStr">
        <is>
          <t>Phani</t>
        </is>
      </c>
      <c r="B3585" s="37" t="inlineStr">
        <is>
          <t>Srikakulam</t>
        </is>
      </c>
      <c r="C3585" s="37" t="inlineStr">
        <is>
          <t>Grow Youth</t>
        </is>
      </c>
      <c r="D3585" s="37" t="inlineStr">
        <is>
          <t>2026-07-02</t>
        </is>
      </c>
      <c r="E3585" s="37" t="inlineStr">
        <is>
          <t>Data Check</t>
        </is>
      </c>
      <c r="F3585" s="37" t="inlineStr">
        <is>
          <t>Verify retention — check the Alumni Hand-holding Format is being updated as designed.</t>
        </is>
      </c>
      <c r="G3585" s="37" t="inlineStr">
        <is>
          <t>All is Well</t>
        </is>
      </c>
    </row>
    <row r="3586">
      <c r="A3586" s="37" t="inlineStr">
        <is>
          <t>Phani</t>
        </is>
      </c>
      <c r="B3586" s="37" t="inlineStr">
        <is>
          <t>Srikakulam</t>
        </is>
      </c>
      <c r="C3586" s="37" t="inlineStr">
        <is>
          <t>Grow Youth</t>
        </is>
      </c>
      <c r="D3586" s="37" t="inlineStr">
        <is>
          <t>2026-07-02</t>
        </is>
      </c>
      <c r="E3586" s="37" t="inlineStr">
        <is>
          <t>Data Check</t>
        </is>
      </c>
      <c r="F3586" s="37" t="inlineStr">
        <is>
          <t>Check aspirant Hostel Forms are properly filled or not.</t>
        </is>
      </c>
      <c r="G3586" s="37" t="inlineStr">
        <is>
          <t>Not Applicable</t>
        </is>
      </c>
    </row>
    <row r="3587">
      <c r="A3587" s="37" t="inlineStr">
        <is>
          <t>Phani</t>
        </is>
      </c>
      <c r="B3587" s="37" t="inlineStr">
        <is>
          <t>Srikakulam</t>
        </is>
      </c>
      <c r="C3587" s="37" t="inlineStr">
        <is>
          <t>Grow Youth</t>
        </is>
      </c>
      <c r="D3587" s="37" t="inlineStr">
        <is>
          <t>2026-07-02</t>
        </is>
      </c>
      <c r="E3587" s="37" t="inlineStr">
        <is>
          <t>Infra Check</t>
        </is>
      </c>
      <c r="F3587" s="37" t="inlineStr">
        <is>
          <t>Check all CCTV cameras; if any are not working, ask the AH to troubleshoot or call the vendor.</t>
        </is>
      </c>
      <c r="G3587" s="37" t="inlineStr">
        <is>
          <t>Need Improvement</t>
        </is>
      </c>
    </row>
    <row r="3588">
      <c r="A3588" s="37" t="inlineStr">
        <is>
          <t>Phani</t>
        </is>
      </c>
      <c r="B3588" s="37" t="inlineStr">
        <is>
          <t>Srikakulam</t>
        </is>
      </c>
      <c r="C3588" s="37" t="inlineStr">
        <is>
          <t>Grow Youth</t>
        </is>
      </c>
      <c r="D3588" s="37" t="inlineStr">
        <is>
          <t>2026-07-02</t>
        </is>
      </c>
      <c r="E3588" s="37" t="inlineStr">
        <is>
          <t>Infra Check</t>
        </is>
      </c>
      <c r="F3588" s="37" t="inlineStr">
        <is>
          <t>Check for any scrap material and get it cleared, with support of Admin</t>
        </is>
      </c>
      <c r="G3588" s="37" t="inlineStr">
        <is>
          <t>Need Improvement</t>
        </is>
      </c>
    </row>
    <row r="3589">
      <c r="A3589" s="37" t="inlineStr">
        <is>
          <t>Phani</t>
        </is>
      </c>
      <c r="B3589" s="37" t="inlineStr">
        <is>
          <t>Srikakulam</t>
        </is>
      </c>
      <c r="C3589" s="37" t="inlineStr">
        <is>
          <t>Grow Youth</t>
        </is>
      </c>
      <c r="D3589" s="37" t="inlineStr">
        <is>
          <t>2026-07-02</t>
        </is>
      </c>
      <c r="E3589" s="37" t="inlineStr">
        <is>
          <t>Infra Check</t>
        </is>
      </c>
      <c r="F3589" s="37" t="inlineStr">
        <is>
          <t>Check for any pending infra repairs.</t>
        </is>
      </c>
      <c r="G3589" s="37" t="inlineStr">
        <is>
          <t>All is Well</t>
        </is>
      </c>
    </row>
    <row r="3590">
      <c r="A3590" s="37" t="inlineStr">
        <is>
          <t>Phani</t>
        </is>
      </c>
      <c r="B3590" s="37" t="inlineStr">
        <is>
          <t>Srikakulam</t>
        </is>
      </c>
      <c r="C3590" s="37" t="inlineStr">
        <is>
          <t>Grow Youth</t>
        </is>
      </c>
      <c r="D3590" s="37" t="inlineStr">
        <is>
          <t>2026-07-02</t>
        </is>
      </c>
      <c r="E3590" s="37" t="inlineStr">
        <is>
          <t>Infra Check</t>
        </is>
      </c>
      <c r="F3590" s="37" t="inlineStr">
        <is>
          <t>Check whether any fire extinguishers have expired (check the needle and expiry date both).</t>
        </is>
      </c>
      <c r="G3590" s="37" t="inlineStr">
        <is>
          <t>All is Well</t>
        </is>
      </c>
    </row>
    <row r="3591">
      <c r="A3591" s="37" t="inlineStr">
        <is>
          <t>Phani</t>
        </is>
      </c>
      <c r="B3591" s="37" t="inlineStr">
        <is>
          <t>Srikakulam</t>
        </is>
      </c>
      <c r="C3591" s="37" t="inlineStr">
        <is>
          <t>Grow Youth</t>
        </is>
      </c>
      <c r="D3591" s="37" t="inlineStr">
        <is>
          <t>2026-07-02</t>
        </is>
      </c>
      <c r="E3591" s="37" t="inlineStr">
        <is>
          <t>Infra Check</t>
        </is>
      </c>
      <c r="F3591" s="37" t="inlineStr">
        <is>
          <t>Check basic cleanliness of the washrooms and the centre.</t>
        </is>
      </c>
      <c r="G3591" s="37" t="inlineStr">
        <is>
          <t>All is Well</t>
        </is>
      </c>
    </row>
    <row r="3592">
      <c r="A3592" s="37" t="inlineStr">
        <is>
          <t>Phani</t>
        </is>
      </c>
      <c r="B3592" s="37" t="inlineStr">
        <is>
          <t>Srikakulam</t>
        </is>
      </c>
      <c r="C3592" s="37" t="inlineStr">
        <is>
          <t>Grow Youth</t>
        </is>
      </c>
      <c r="D3592" s="37" t="inlineStr">
        <is>
          <t>2026-07-02</t>
        </is>
      </c>
      <c r="E3592" s="37" t="inlineStr">
        <is>
          <t>Infra Check</t>
        </is>
      </c>
      <c r="F3592" s="37" t="inlineStr">
        <is>
          <t>Confirm the correct program and partner logos are displayed.</t>
        </is>
      </c>
      <c r="G3592" s="37" t="inlineStr">
        <is>
          <t>All is Well</t>
        </is>
      </c>
    </row>
    <row r="3593">
      <c r="A3593" s="37" t="inlineStr">
        <is>
          <t>Phani</t>
        </is>
      </c>
      <c r="B3593" s="37" t="inlineStr">
        <is>
          <t>Srikakulam</t>
        </is>
      </c>
      <c r="C3593" s="37" t="inlineStr">
        <is>
          <t>Grow Youth</t>
        </is>
      </c>
      <c r="D3593" s="37" t="inlineStr">
        <is>
          <t>2026-07-02</t>
        </is>
      </c>
      <c r="E3593" s="37" t="inlineStr">
        <is>
          <t>Infra Check</t>
        </is>
      </c>
      <c r="F3593" s="37" t="inlineStr">
        <is>
          <t>Check the status of digital infra — PCs, smartboards, tablets, laptops, etc.</t>
        </is>
      </c>
      <c r="G3593" s="37" t="inlineStr">
        <is>
          <t>Need Improvement</t>
        </is>
      </c>
    </row>
    <row r="3594">
      <c r="A3594" s="37" t="inlineStr">
        <is>
          <t>Phani</t>
        </is>
      </c>
      <c r="B3594" s="37" t="inlineStr">
        <is>
          <t>Srikakulam</t>
        </is>
      </c>
      <c r="C3594" s="37" t="inlineStr">
        <is>
          <t>Grow Youth</t>
        </is>
      </c>
      <c r="D3594" s="37" t="inlineStr">
        <is>
          <t>2026-07-02</t>
        </is>
      </c>
      <c r="E3594" s="37" t="inlineStr">
        <is>
          <t>Infra Check</t>
        </is>
      </c>
      <c r="F3594" s="37" t="inlineStr">
        <is>
          <t>Make a quick hostel visit; have lunch there if possible to test the food quality.</t>
        </is>
      </c>
      <c r="G3594" s="37" t="inlineStr">
        <is>
          <t>Not Applicable</t>
        </is>
      </c>
    </row>
    <row r="3595">
      <c r="A3595" s="37" t="inlineStr">
        <is>
          <t>Phani</t>
        </is>
      </c>
      <c r="B3595" s="37" t="inlineStr">
        <is>
          <t>Srikakulam</t>
        </is>
      </c>
      <c r="C3595" s="37" t="inlineStr">
        <is>
          <t>Grow Youth</t>
        </is>
      </c>
      <c r="D3595" s="37" t="inlineStr">
        <is>
          <t>2026-07-02</t>
        </is>
      </c>
      <c r="E3595" s="37" t="inlineStr">
        <is>
          <t>Process Check</t>
        </is>
      </c>
      <c r="F3595" s="37" t="inlineStr">
        <is>
          <t>Refer to the activity planner — check if any activities are delayed.</t>
        </is>
      </c>
      <c r="G3595" s="37" t="inlineStr">
        <is>
          <t>Not Applicable</t>
        </is>
      </c>
    </row>
    <row r="3596">
      <c r="A3596" s="37" t="inlineStr">
        <is>
          <t>Phani</t>
        </is>
      </c>
      <c r="B3596" s="37" t="inlineStr">
        <is>
          <t>Srikakulam</t>
        </is>
      </c>
      <c r="C3596" s="37" t="inlineStr">
        <is>
          <t>Grow Youth</t>
        </is>
      </c>
      <c r="D3596" s="37" t="inlineStr">
        <is>
          <t>2026-07-02</t>
        </is>
      </c>
      <c r="E3596" s="37" t="inlineStr">
        <is>
          <t>Process Check</t>
        </is>
      </c>
      <c r="F3596" s="37" t="inlineStr">
        <is>
          <t>Check planning for the next batch-start announcement.</t>
        </is>
      </c>
      <c r="G3596" s="37" t="inlineStr">
        <is>
          <t>All is Well</t>
        </is>
      </c>
    </row>
    <row r="3597">
      <c r="A3597" s="37" t="inlineStr">
        <is>
          <t>Phani</t>
        </is>
      </c>
      <c r="B3597" s="37" t="inlineStr">
        <is>
          <t>Srikakulam</t>
        </is>
      </c>
      <c r="C3597" s="37" t="inlineStr">
        <is>
          <t>Grow Youth</t>
        </is>
      </c>
      <c r="D3597" s="37" t="inlineStr">
        <is>
          <t>2026-07-02</t>
        </is>
      </c>
      <c r="E3597" s="37" t="inlineStr">
        <is>
          <t>Process Check</t>
        </is>
      </c>
      <c r="F3597" s="37" t="inlineStr">
        <is>
          <t>Check if any hiring is delayed and plan a resolution.</t>
        </is>
      </c>
      <c r="G3597" s="37" t="inlineStr">
        <is>
          <t>All is Well</t>
        </is>
      </c>
    </row>
    <row r="3598">
      <c r="A3598" s="37" t="inlineStr">
        <is>
          <t>Phani</t>
        </is>
      </c>
      <c r="B3598" s="37" t="inlineStr">
        <is>
          <t>Srikakulam</t>
        </is>
      </c>
      <c r="C3598" s="37" t="inlineStr">
        <is>
          <t>Grow Youth</t>
        </is>
      </c>
      <c r="D3598" s="37" t="inlineStr">
        <is>
          <t>2026-07-02</t>
        </is>
      </c>
      <c r="E3598" s="37" t="inlineStr">
        <is>
          <t>Process Check</t>
        </is>
      </c>
      <c r="F3598" s="37" t="inlineStr">
        <is>
          <t>Check the CA’s diary — is CA guided daily by the AH during planning days?</t>
        </is>
      </c>
      <c r="G3598" s="37" t="inlineStr">
        <is>
          <t>All is Well</t>
        </is>
      </c>
    </row>
    <row r="3599">
      <c r="A3599" s="37" t="inlineStr">
        <is>
          <t>Phani</t>
        </is>
      </c>
      <c r="B3599" s="37" t="inlineStr">
        <is>
          <t>Srikakulam</t>
        </is>
      </c>
      <c r="C3599" s="37" t="inlineStr">
        <is>
          <t>Grow Youth</t>
        </is>
      </c>
      <c r="D3599" s="37" t="inlineStr">
        <is>
          <t>2026-07-02</t>
        </is>
      </c>
      <c r="E3599" s="37" t="inlineStr">
        <is>
          <t>Process Check</t>
        </is>
      </c>
      <c r="F3599" s="37" t="inlineStr">
        <is>
          <t>Check the AH is regularly meeting employers (in person and online) and updating the centre’s Top 20 Employer format.</t>
        </is>
      </c>
      <c r="G3599" s="37" t="inlineStr">
        <is>
          <t>All is Well</t>
        </is>
      </c>
    </row>
    <row r="3600">
      <c r="A3600" s="37" t="inlineStr">
        <is>
          <t>Phani</t>
        </is>
      </c>
      <c r="B3600" s="37" t="inlineStr">
        <is>
          <t>Srikakulam</t>
        </is>
      </c>
      <c r="C3600" s="37" t="inlineStr">
        <is>
          <t>Grow Youth</t>
        </is>
      </c>
      <c r="D3600" s="37" t="inlineStr">
        <is>
          <t>2026-07-02</t>
        </is>
      </c>
      <c r="E3600" s="37" t="inlineStr">
        <is>
          <t>Process Check</t>
        </is>
      </c>
      <c r="F3600" s="37" t="inlineStr">
        <is>
          <t>Confirm all new employers are registered on portal as per new process.</t>
        </is>
      </c>
      <c r="G3600" s="37" t="inlineStr">
        <is>
          <t>All is Well</t>
        </is>
      </c>
    </row>
    <row r="3601">
      <c r="A3601" s="37" t="inlineStr">
        <is>
          <t>Phani</t>
        </is>
      </c>
      <c r="B3601" s="37" t="inlineStr">
        <is>
          <t>Srikakulam</t>
        </is>
      </c>
      <c r="C3601" s="37" t="inlineStr">
        <is>
          <t>Grow Youth</t>
        </is>
      </c>
      <c r="D3601" s="37" t="inlineStr">
        <is>
          <t>2026-07-02</t>
        </is>
      </c>
      <c r="E3601" s="37" t="inlineStr">
        <is>
          <t>Process Check</t>
        </is>
      </c>
      <c r="F3601" s="37" t="inlineStr">
        <is>
          <t>Confirm 100% of enrolled students undergone screening (for technical courses).</t>
        </is>
      </c>
      <c r="G3601" s="37" t="inlineStr">
        <is>
          <t>All is Well</t>
        </is>
      </c>
    </row>
    <row r="3602">
      <c r="A3602" s="37" t="inlineStr">
        <is>
          <t>Phani</t>
        </is>
      </c>
      <c r="B3602" s="37" t="inlineStr">
        <is>
          <t>Srikakulam</t>
        </is>
      </c>
      <c r="C3602" s="37" t="inlineStr">
        <is>
          <t>Grow Youth</t>
        </is>
      </c>
      <c r="D3602" s="37" t="inlineStr">
        <is>
          <t>2026-07-02</t>
        </is>
      </c>
      <c r="E3602" s="37" t="inlineStr">
        <is>
          <t>Process Check</t>
        </is>
      </c>
      <c r="F3602" s="37" t="inlineStr">
        <is>
          <t>Confirm ESA is done (in GROW full ESA and in Technical courses relevant sections of Core Employability Part).</t>
        </is>
      </c>
      <c r="G3602" s="37" t="inlineStr">
        <is>
          <t>All is Well</t>
        </is>
      </c>
    </row>
    <row r="3603">
      <c r="A3603" s="37" t="inlineStr">
        <is>
          <t>Phani</t>
        </is>
      </c>
      <c r="B3603" s="37" t="inlineStr">
        <is>
          <t>Srikakulam</t>
        </is>
      </c>
      <c r="C3603" s="37" t="inlineStr">
        <is>
          <t>Grow Youth</t>
        </is>
      </c>
      <c r="D3603" s="37" t="inlineStr">
        <is>
          <t>2026-07-02</t>
        </is>
      </c>
      <c r="E3603" s="37" t="inlineStr">
        <is>
          <t>Process Check</t>
        </is>
      </c>
      <c r="F3603" s="37" t="inlineStr">
        <is>
          <t>Check is AH giving capstone project in GROW Tech.</t>
        </is>
      </c>
      <c r="G3603" s="37" t="inlineStr">
        <is>
          <t>Not Applicable</t>
        </is>
      </c>
    </row>
    <row r="3604">
      <c r="A3604" s="37" t="inlineStr">
        <is>
          <t>Phani</t>
        </is>
      </c>
      <c r="B3604" s="37" t="inlineStr">
        <is>
          <t>Srikakulam</t>
        </is>
      </c>
      <c r="C3604" s="37" t="inlineStr">
        <is>
          <t>Grow Youth</t>
        </is>
      </c>
      <c r="D3604" s="37" t="inlineStr">
        <is>
          <t>2026-07-02</t>
        </is>
      </c>
      <c r="E3604" s="37" t="inlineStr">
        <is>
          <t>Process Check</t>
        </is>
      </c>
      <c r="F3604" s="37" t="inlineStr">
        <is>
          <t>Check is AH planning OJT as per guidelines and proofs are collected for technical courses.</t>
        </is>
      </c>
      <c r="G3604" s="37" t="inlineStr">
        <is>
          <t>Not Applicable</t>
        </is>
      </c>
    </row>
    <row r="3605">
      <c r="A3605" s="37" t="inlineStr">
        <is>
          <t>Phani</t>
        </is>
      </c>
      <c r="B3605" s="37" t="inlineStr">
        <is>
          <t>Srikakulam</t>
        </is>
      </c>
      <c r="C3605" s="37" t="inlineStr">
        <is>
          <t>Grow Youth</t>
        </is>
      </c>
      <c r="D3605" s="37" t="inlineStr">
        <is>
          <t>2026-07-02</t>
        </is>
      </c>
      <c r="E3605" s="37" t="inlineStr">
        <is>
          <t>Process Check</t>
        </is>
      </c>
      <c r="F3605" s="37" t="inlineStr">
        <is>
          <t>Check are trainers contacting aspirants to find reason for their absenteeism of more than 1 day.</t>
        </is>
      </c>
      <c r="G3605" s="37" t="inlineStr">
        <is>
          <t>All is Well</t>
        </is>
      </c>
    </row>
    <row r="3606">
      <c r="A3606" s="37" t="inlineStr">
        <is>
          <t>Phani</t>
        </is>
      </c>
      <c r="B3606" s="37" t="inlineStr">
        <is>
          <t>Srikakulam</t>
        </is>
      </c>
      <c r="C3606" s="37" t="inlineStr">
        <is>
          <t>Grow Youth</t>
        </is>
      </c>
      <c r="D3606" s="37" t="inlineStr">
        <is>
          <t>2026-07-02</t>
        </is>
      </c>
      <c r="E3606" s="37" t="inlineStr">
        <is>
          <t>Process Check</t>
        </is>
      </c>
      <c r="F3606" s="37" t="inlineStr">
        <is>
          <t>Check the AH plans monthly enrolment and placement numbers by the 3rd of each month and shares them with second level managers.</t>
        </is>
      </c>
      <c r="G3606" s="37" t="inlineStr">
        <is>
          <t>All is Well</t>
        </is>
      </c>
    </row>
    <row r="3607">
      <c r="A3607" s="37" t="inlineStr">
        <is>
          <t>Phani</t>
        </is>
      </c>
      <c r="B3607" s="37" t="inlineStr">
        <is>
          <t>Srikakulam</t>
        </is>
      </c>
      <c r="C3607" s="37" t="inlineStr">
        <is>
          <t>Grow Youth</t>
        </is>
      </c>
      <c r="D3607" s="37" t="inlineStr">
        <is>
          <t>2026-07-02</t>
        </is>
      </c>
      <c r="E3607" s="37" t="inlineStr">
        <is>
          <t>Process Check</t>
        </is>
      </c>
      <c r="F3607" s="37" t="inlineStr">
        <is>
          <t>Check trainers submit aspirants’ placement interest areas to the AH by the batch’s 25th day (in GROW).</t>
        </is>
      </c>
      <c r="G3607" s="37" t="inlineStr">
        <is>
          <t>All is Well</t>
        </is>
      </c>
    </row>
    <row r="3608">
      <c r="A3608" s="37" t="inlineStr">
        <is>
          <t>Phani</t>
        </is>
      </c>
      <c r="B3608" s="37" t="inlineStr">
        <is>
          <t>Srikakulam</t>
        </is>
      </c>
      <c r="C3608" s="37" t="inlineStr">
        <is>
          <t>Grow Youth</t>
        </is>
      </c>
      <c r="D3608" s="37" t="inlineStr">
        <is>
          <t>2026-07-02</t>
        </is>
      </c>
      <c r="E3608" s="37" t="inlineStr">
        <is>
          <t>Process Check</t>
        </is>
      </c>
      <c r="F3608" s="37" t="inlineStr">
        <is>
          <t>Ckeck For technical programs, placement is done only in technical jobs,on which aspirants are trained and relevant emplyers are identified by 45th day.</t>
        </is>
      </c>
      <c r="G3608" s="37" t="inlineStr">
        <is>
          <t>Not Applicable</t>
        </is>
      </c>
    </row>
    <row r="3609">
      <c r="A3609" s="37" t="inlineStr">
        <is>
          <t>Phani</t>
        </is>
      </c>
      <c r="B3609" s="37" t="inlineStr">
        <is>
          <t>Srikakulam</t>
        </is>
      </c>
      <c r="C3609" s="37" t="inlineStr">
        <is>
          <t>Grow Youth</t>
        </is>
      </c>
      <c r="D3609" s="37" t="inlineStr">
        <is>
          <t>2026-07-02</t>
        </is>
      </c>
      <c r="E3609" s="37" t="inlineStr">
        <is>
          <t>Process Check</t>
        </is>
      </c>
      <c r="F3609" s="37" t="inlineStr">
        <is>
          <t>Check the AH follows EP guidelines and minimum benchmark salary guidelines.</t>
        </is>
      </c>
      <c r="G3609" s="37" t="inlineStr">
        <is>
          <t>All is Well</t>
        </is>
      </c>
    </row>
    <row r="3610">
      <c r="A3610" s="37" t="inlineStr">
        <is>
          <t>Phani</t>
        </is>
      </c>
      <c r="B3610" s="37" t="inlineStr">
        <is>
          <t>Srikakulam</t>
        </is>
      </c>
      <c r="C3610" s="37" t="inlineStr">
        <is>
          <t>Grow Youth</t>
        </is>
      </c>
      <c r="D3610" s="37" t="inlineStr">
        <is>
          <t>2026-07-02</t>
        </is>
      </c>
      <c r="E3610" s="37" t="inlineStr">
        <is>
          <t>Process Check</t>
        </is>
      </c>
      <c r="F3610" s="37" t="inlineStr">
        <is>
          <t>Check that AH is enrolling only the right traget group in the program -as per the defined target.</t>
        </is>
      </c>
      <c r="G3610" s="37" t="inlineStr">
        <is>
          <t>All is Well</t>
        </is>
      </c>
    </row>
    <row r="3611">
      <c r="A3611" s="37" t="inlineStr">
        <is>
          <t>Phani</t>
        </is>
      </c>
      <c r="B3611" s="37" t="inlineStr">
        <is>
          <t>Srikakulam</t>
        </is>
      </c>
      <c r="C3611" s="37" t="inlineStr">
        <is>
          <t>Grow Youth</t>
        </is>
      </c>
      <c r="D3611" s="37" t="inlineStr">
        <is>
          <t>2026-07-02</t>
        </is>
      </c>
      <c r="E3611" s="37" t="inlineStr">
        <is>
          <t>Process Check</t>
        </is>
      </c>
      <c r="F3611" s="37" t="inlineStr">
        <is>
          <t>Check the AH announces the next batch-start date by the 3rd of the month on all notice boards — focus on Zero-Day start.</t>
        </is>
      </c>
      <c r="G3611" s="37" t="inlineStr">
        <is>
          <t>All is Well</t>
        </is>
      </c>
    </row>
    <row r="3612">
      <c r="A3612" s="37" t="inlineStr">
        <is>
          <t>Phani</t>
        </is>
      </c>
      <c r="B3612" s="37" t="inlineStr">
        <is>
          <t>Srikakulam</t>
        </is>
      </c>
      <c r="C3612" s="37" t="inlineStr">
        <is>
          <t>Grow Youth</t>
        </is>
      </c>
      <c r="D3612" s="37" t="inlineStr">
        <is>
          <t>2026-07-02</t>
        </is>
      </c>
      <c r="E3612" s="37" t="inlineStr">
        <is>
          <t>Process Check</t>
        </is>
      </c>
      <c r="F3612" s="37" t="inlineStr">
        <is>
          <t>Check the Aspirant Mock Interview Score Tracker is updated after every mock interview in the L&amp;D Google Sheet.</t>
        </is>
      </c>
      <c r="G3612" s="37" t="inlineStr">
        <is>
          <t>All is Well</t>
        </is>
      </c>
    </row>
    <row r="3613">
      <c r="A3613" s="37" t="inlineStr">
        <is>
          <t>Phani</t>
        </is>
      </c>
      <c r="B3613" s="37" t="inlineStr">
        <is>
          <t>Srikakulam</t>
        </is>
      </c>
      <c r="C3613" s="37" t="inlineStr">
        <is>
          <t>Grow Youth</t>
        </is>
      </c>
      <c r="D3613" s="37" t="inlineStr">
        <is>
          <t>2026-07-02</t>
        </is>
      </c>
      <c r="E3613" s="37" t="inlineStr">
        <is>
          <t>Process Check</t>
        </is>
      </c>
      <c r="F3613" s="37" t="inlineStr">
        <is>
          <t>Confirm NPS (Net Promoter Score) is collected at MSDF centres.</t>
        </is>
      </c>
      <c r="G3613" s="37" t="inlineStr">
        <is>
          <t>Not Applicable</t>
        </is>
      </c>
    </row>
    <row r="3614">
      <c r="A3614" s="37" t="inlineStr">
        <is>
          <t>Phani</t>
        </is>
      </c>
      <c r="B3614" s="37" t="inlineStr">
        <is>
          <t>Srikakulam</t>
        </is>
      </c>
      <c r="C3614" s="37" t="inlineStr">
        <is>
          <t>Grow Youth</t>
        </is>
      </c>
      <c r="D3614" s="37" t="inlineStr">
        <is>
          <t>2026-07-02</t>
        </is>
      </c>
      <c r="E3614" s="37" t="inlineStr">
        <is>
          <t>Process Check</t>
        </is>
      </c>
      <c r="F3614" s="37" t="inlineStr">
        <is>
          <t>Confirm that QAE is collecting student feedback for every batch.</t>
        </is>
      </c>
      <c r="G3614" s="37" t="inlineStr">
        <is>
          <t>All is Well</t>
        </is>
      </c>
    </row>
    <row r="3615">
      <c r="A3615" s="37" t="inlineStr">
        <is>
          <t>Phani</t>
        </is>
      </c>
      <c r="B3615" s="37" t="inlineStr">
        <is>
          <t>Srikakulam</t>
        </is>
      </c>
      <c r="C3615" s="37" t="inlineStr">
        <is>
          <t>Grow Youth</t>
        </is>
      </c>
      <c r="D3615" s="37" t="inlineStr">
        <is>
          <t>2026-07-02</t>
        </is>
      </c>
      <c r="E3615" s="37" t="inlineStr">
        <is>
          <t>Process Check</t>
        </is>
      </c>
      <c r="F3615" s="37" t="inlineStr">
        <is>
          <t>Confirm all centre teams have completed the GROW Manual Course on Skillfy — ask for achievement certificates.</t>
        </is>
      </c>
      <c r="G3615" s="37" t="inlineStr">
        <is>
          <t>All is Well</t>
        </is>
      </c>
    </row>
    <row r="3616">
      <c r="A3616" s="37" t="inlineStr">
        <is>
          <t>Phani</t>
        </is>
      </c>
      <c r="B3616" s="37" t="inlineStr">
        <is>
          <t>Srikakulam</t>
        </is>
      </c>
      <c r="C3616" s="37" t="inlineStr">
        <is>
          <t>Grow Youth</t>
        </is>
      </c>
      <c r="D3616" s="37" t="inlineStr">
        <is>
          <t>2026-07-02</t>
        </is>
      </c>
      <c r="E3616" s="37" t="inlineStr">
        <is>
          <t>Process Check</t>
        </is>
      </c>
      <c r="F3616" s="37" t="inlineStr">
        <is>
          <t>Check AH holds a quality weekly team meeting, documents action points in the weekly meeting format, and sends you a photo on WhatsApp.</t>
        </is>
      </c>
      <c r="G3616" s="37" t="inlineStr">
        <is>
          <t>All is Well</t>
        </is>
      </c>
    </row>
    <row r="3617">
      <c r="A3617" s="37" t="inlineStr">
        <is>
          <t>Phani</t>
        </is>
      </c>
      <c r="B3617" s="37" t="inlineStr">
        <is>
          <t>Srikakulam</t>
        </is>
      </c>
      <c r="C3617" s="37" t="inlineStr">
        <is>
          <t>Grow Youth</t>
        </is>
      </c>
      <c r="D3617" s="37" t="inlineStr">
        <is>
          <t>2026-07-02</t>
        </is>
      </c>
      <c r="E3617" s="37" t="inlineStr">
        <is>
          <t>Aspirant Interaction</t>
        </is>
      </c>
      <c r="F3617" s="37" t="inlineStr">
        <is>
          <t>Ask aspirants about the session plan — confirm training is happening as planned?</t>
        </is>
      </c>
      <c r="G3617" s="37" t="inlineStr">
        <is>
          <t>All is Well</t>
        </is>
      </c>
    </row>
    <row r="3618">
      <c r="A3618" s="37" t="inlineStr">
        <is>
          <t>Phani</t>
        </is>
      </c>
      <c r="B3618" s="37" t="inlineStr">
        <is>
          <t>Srikakulam</t>
        </is>
      </c>
      <c r="C3618" s="37" t="inlineStr">
        <is>
          <t>Grow Youth</t>
        </is>
      </c>
      <c r="D3618" s="37" t="inlineStr">
        <is>
          <t>2026-07-02</t>
        </is>
      </c>
      <c r="E3618" s="37" t="inlineStr">
        <is>
          <t>Aspirant Interaction</t>
        </is>
      </c>
      <c r="F3618" s="37" t="inlineStr">
        <is>
          <t>Ask about the quality of Core Employability component delivery (technical centres) and who delivers it.</t>
        </is>
      </c>
      <c r="G3618" s="37" t="inlineStr">
        <is>
          <t>Not Applicable</t>
        </is>
      </c>
    </row>
    <row r="3619">
      <c r="A3619" s="37" t="inlineStr">
        <is>
          <t>Phani</t>
        </is>
      </c>
      <c r="B3619" s="37" t="inlineStr">
        <is>
          <t>Srikakulam</t>
        </is>
      </c>
      <c r="C3619" s="37" t="inlineStr">
        <is>
          <t>Grow Youth</t>
        </is>
      </c>
      <c r="D3619" s="37" t="inlineStr">
        <is>
          <t>2026-07-02</t>
        </is>
      </c>
      <c r="E3619" s="37" t="inlineStr">
        <is>
          <t>Aspirant Interaction</t>
        </is>
      </c>
      <c r="F3619" s="37" t="inlineStr">
        <is>
          <t>Ask whether they are aware of the referral scheme?</t>
        </is>
      </c>
      <c r="G3619" s="37" t="inlineStr">
        <is>
          <t>All is Well</t>
        </is>
      </c>
    </row>
    <row r="3620">
      <c r="A3620" s="37" t="inlineStr">
        <is>
          <t>Phani</t>
        </is>
      </c>
      <c r="B3620" s="37" t="inlineStr">
        <is>
          <t>Srikakulam</t>
        </is>
      </c>
      <c r="C3620" s="37" t="inlineStr">
        <is>
          <t>Grow Youth</t>
        </is>
      </c>
      <c r="D3620" s="37" t="inlineStr">
        <is>
          <t>2026-07-02</t>
        </is>
      </c>
      <c r="E3620" s="37" t="inlineStr">
        <is>
          <t>Aspirant Interaction</t>
        </is>
      </c>
      <c r="F3620" s="37" t="inlineStr">
        <is>
          <t>Ask whether the AH explained the importance of the offer letter and sharing it with us once received for reporting purposes?</t>
        </is>
      </c>
      <c r="G3620" s="37" t="inlineStr">
        <is>
          <t>All is Well</t>
        </is>
      </c>
    </row>
    <row r="3621">
      <c r="A3621" s="37" t="inlineStr">
        <is>
          <t>Phani</t>
        </is>
      </c>
      <c r="B3621" s="37" t="inlineStr">
        <is>
          <t>Srikakulam</t>
        </is>
      </c>
      <c r="C3621" s="37" t="inlineStr">
        <is>
          <t>Grow Youth</t>
        </is>
      </c>
      <c r="D3621" s="37" t="inlineStr">
        <is>
          <t>2026-07-02</t>
        </is>
      </c>
      <c r="E3621" s="37" t="inlineStr">
        <is>
          <t>Aspirant Interaction</t>
        </is>
      </c>
      <c r="F3621" s="37" t="inlineStr">
        <is>
          <t>Ask how many are not interested in jobs — and if so, why they enrolled in the programme?</t>
        </is>
      </c>
      <c r="G3621" s="37" t="inlineStr">
        <is>
          <t>All is Well</t>
        </is>
      </c>
    </row>
    <row r="3622">
      <c r="A3622" s="37" t="inlineStr">
        <is>
          <t>Phani</t>
        </is>
      </c>
      <c r="B3622" s="37" t="inlineStr">
        <is>
          <t>Srikakulam</t>
        </is>
      </c>
      <c r="C3622" s="37" t="inlineStr">
        <is>
          <t>Grow Youth</t>
        </is>
      </c>
      <c r="D3622" s="37" t="inlineStr">
        <is>
          <t>2026-07-02</t>
        </is>
      </c>
      <c r="E3622" s="37" t="inlineStr">
        <is>
          <t>Aspirant Interaction</t>
        </is>
      </c>
      <c r="F3622" s="37" t="inlineStr">
        <is>
          <t>Ask whether they were told the kind of job they would get during counselling?</t>
        </is>
      </c>
      <c r="G3622" s="37" t="inlineStr">
        <is>
          <t>All is Well</t>
        </is>
      </c>
    </row>
    <row r="3623">
      <c r="A3623" s="37" t="inlineStr">
        <is>
          <t>Phani</t>
        </is>
      </c>
      <c r="B3623" s="37" t="inlineStr">
        <is>
          <t>Srikakulam</t>
        </is>
      </c>
      <c r="C3623" s="37" t="inlineStr">
        <is>
          <t>Grow Youth</t>
        </is>
      </c>
      <c r="D3623" s="37" t="inlineStr">
        <is>
          <t>2026-07-02</t>
        </is>
      </c>
      <c r="E3623" s="37" t="inlineStr">
        <is>
          <t>Aspirant Interaction</t>
        </is>
      </c>
      <c r="F3623" s="37" t="inlineStr">
        <is>
          <t>Ask whether they have been given LMS access?</t>
        </is>
      </c>
      <c r="G3623" s="37" t="inlineStr">
        <is>
          <t>All is Well</t>
        </is>
      </c>
    </row>
    <row r="3624">
      <c r="A3624" s="37" t="inlineStr">
        <is>
          <t>Phani</t>
        </is>
      </c>
      <c r="B3624" s="37" t="inlineStr">
        <is>
          <t>Srikakulam</t>
        </is>
      </c>
      <c r="C3624" s="37" t="inlineStr">
        <is>
          <t>Grow Youth</t>
        </is>
      </c>
      <c r="D3624" s="37" t="inlineStr">
        <is>
          <t>2026-07-02</t>
        </is>
      </c>
      <c r="E3624" s="37" t="inlineStr">
        <is>
          <t>Aspirant Interaction</t>
        </is>
      </c>
      <c r="F3624" s="37" t="inlineStr">
        <is>
          <t>Ask whether anyone asked them for money for training or placement?</t>
        </is>
      </c>
      <c r="G3624" s="37" t="inlineStr">
        <is>
          <t>All is Well</t>
        </is>
      </c>
    </row>
    <row r="3625">
      <c r="A3625" s="37" t="inlineStr">
        <is>
          <t>Phani</t>
        </is>
      </c>
      <c r="B3625" s="37" t="inlineStr">
        <is>
          <t>Srikakulam</t>
        </is>
      </c>
      <c r="C3625" s="37" t="inlineStr">
        <is>
          <t>Grow Youth</t>
        </is>
      </c>
      <c r="D3625" s="37" t="inlineStr">
        <is>
          <t>2026-07-02</t>
        </is>
      </c>
      <c r="E3625" s="37" t="inlineStr">
        <is>
          <t>Aspirant Interaction</t>
        </is>
      </c>
      <c r="F3625" s="37" t="inlineStr">
        <is>
          <t>Ask to show their mobile phones — are they enrolled on Skillfy? If not, get them enrolled and give written feedback to trainers and the AH in your presence.</t>
        </is>
      </c>
      <c r="G3625" s="37" t="inlineStr">
        <is>
          <t>All is Well</t>
        </is>
      </c>
    </row>
    <row r="3626">
      <c r="A3626" s="37" t="inlineStr">
        <is>
          <t>Phani</t>
        </is>
      </c>
      <c r="B3626" s="37" t="inlineStr">
        <is>
          <t>Srikakulam</t>
        </is>
      </c>
      <c r="C3626" s="37" t="inlineStr">
        <is>
          <t>Grow Youth</t>
        </is>
      </c>
      <c r="D3626" s="37" t="inlineStr">
        <is>
          <t>2026-07-02</t>
        </is>
      </c>
      <c r="E3626" s="37" t="inlineStr">
        <is>
          <t>Aspirant Interaction</t>
        </is>
      </c>
      <c r="F3626" s="37" t="inlineStr">
        <is>
          <t>Ask about the quality of the hostel and any issues they face.</t>
        </is>
      </c>
      <c r="G3626" s="37" t="inlineStr">
        <is>
          <t>Not Applicable</t>
        </is>
      </c>
    </row>
    <row r="3627">
      <c r="A3627" s="37" t="inlineStr">
        <is>
          <t>Phani</t>
        </is>
      </c>
      <c r="B3627" s="37" t="inlineStr">
        <is>
          <t>Srikakulam</t>
        </is>
      </c>
      <c r="C3627" s="37" t="inlineStr">
        <is>
          <t>Grow Youth</t>
        </is>
      </c>
      <c r="D3627" s="37" t="inlineStr">
        <is>
          <t>2026-07-02</t>
        </is>
      </c>
      <c r="E3627" s="37" t="inlineStr">
        <is>
          <t>Aspirant Interaction</t>
        </is>
      </c>
      <c r="F3627" s="37" t="inlineStr">
        <is>
          <t>Ask a few relevant screening questions to support the 10th-day report and remove non-serious candidates, explaining to them the reasons.</t>
        </is>
      </c>
      <c r="G3627" s="37" t="inlineStr">
        <is>
          <t>All is Well</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2" customWidth="1" min="1" max="1"/>
    <col width="60" customWidth="1" min="2" max="2"/>
    <col width="14" customWidth="1" min="3" max="3"/>
    <col width="14" customWidth="1" min="4" max="4"/>
    <col width="14" customWidth="1" min="5" max="5"/>
    <col width="14" customWidth="1" min="6" max="6"/>
    <col width="14" customWidth="1" min="7" max="7"/>
  </cols>
  <sheetData>
    <row r="1">
      <c r="A1" s="36" t="inlineStr">
        <is>
          <t>Section</t>
        </is>
      </c>
      <c r="B1" s="36" t="inlineStr">
        <is>
          <t>Item</t>
        </is>
      </c>
      <c r="C1" s="36" t="inlineStr">
        <is>
          <t>NeedImprovement</t>
        </is>
      </c>
      <c r="D1" s="36" t="inlineStr">
        <is>
          <t>AllIsWell</t>
        </is>
      </c>
      <c r="E1" s="36" t="inlineStr">
        <is>
          <t>Applicable</t>
        </is>
      </c>
      <c r="F1" s="36" t="inlineStr">
        <is>
          <t>PctNeedImprovement</t>
        </is>
      </c>
      <c r="G1" s="36" t="inlineStr">
        <is>
          <t>TieBreak</t>
        </is>
      </c>
    </row>
    <row r="2">
      <c r="A2" s="37" t="inlineStr">
        <is>
          <t>Data Check</t>
        </is>
      </c>
      <c r="B2" s="37" t="inlineStr">
        <is>
          <t>Reach the centre on time (unannounced) — confirm the centre opened on time.</t>
        </is>
      </c>
      <c r="C2" s="37">
        <f>COUNTIFS(Data!$A$2:$A$3627,Dashboard!$B$7,Data!$B$2:$B$3627,Dashboard!$C$7,Data!$E$2:$E$3627,$A2,Data!$F$2:$F$3627,$B2,Data!$G$2:$G$3627,"Need Improvement")</f>
        <v/>
      </c>
      <c r="D2" s="37">
        <f>COUNTIFS(Data!$A$2:$A$3627,Dashboard!$B$7,Data!$B$2:$B$3627,Dashboard!$C$7,Data!$E$2:$E$3627,$A2,Data!$F$2:$F$3627,$B2,Data!$G$2:$G$3627,"All is Well")</f>
        <v/>
      </c>
      <c r="E2" s="37">
        <f>C2+D2</f>
        <v/>
      </c>
      <c r="F2" s="38">
        <f>IFERROR(C2/E2,0)</f>
        <v/>
      </c>
      <c r="G2" s="37">
        <f>C2+(ROW()/100000)</f>
        <v/>
      </c>
    </row>
    <row r="3">
      <c r="A3" s="37" t="inlineStr">
        <is>
          <t>Data Check</t>
        </is>
      </c>
      <c r="B3" s="37" t="inlineStr">
        <is>
          <t>Check the staff attendance register, the Google Sheet, and geo-tagged photos for aspirants.</t>
        </is>
      </c>
      <c r="C3" s="37">
        <f>COUNTIFS(Data!$A$2:$A$3627,Dashboard!$B$7,Data!$B$2:$B$3627,Dashboard!$C$7,Data!$E$2:$E$3627,$A3,Data!$F$2:$F$3627,$B3,Data!$G$2:$G$3627,"Need Improvement")</f>
        <v/>
      </c>
      <c r="D3" s="37">
        <f>COUNTIFS(Data!$A$2:$A$3627,Dashboard!$B$7,Data!$B$2:$B$3627,Dashboard!$C$7,Data!$E$2:$E$3627,$A3,Data!$F$2:$F$3627,$B3,Data!$G$2:$G$3627,"All is Well")</f>
        <v/>
      </c>
      <c r="E3" s="37">
        <f>C3+D3</f>
        <v/>
      </c>
      <c r="F3" s="38">
        <f>IFERROR(C3/E3,0)</f>
        <v/>
      </c>
      <c r="G3" s="37">
        <f>C3+(ROW()/100000)</f>
        <v/>
      </c>
    </row>
    <row r="4">
      <c r="A4" s="37" t="inlineStr">
        <is>
          <t>Data Check</t>
        </is>
      </c>
      <c r="B4" s="37" t="inlineStr">
        <is>
          <t>Check Counselling and Screening Forms of recently started batches.</t>
        </is>
      </c>
      <c r="C4" s="37">
        <f>COUNTIFS(Data!$A$2:$A$3627,Dashboard!$B$7,Data!$B$2:$B$3627,Dashboard!$C$7,Data!$E$2:$E$3627,$A4,Data!$F$2:$F$3627,$B4,Data!$G$2:$G$3627,"Need Improvement")</f>
        <v/>
      </c>
      <c r="D4" s="37">
        <f>COUNTIFS(Data!$A$2:$A$3627,Dashboard!$B$7,Data!$B$2:$B$3627,Dashboard!$C$7,Data!$E$2:$E$3627,$A4,Data!$F$2:$F$3627,$B4,Data!$G$2:$G$3627,"All is Well")</f>
        <v/>
      </c>
      <c r="E4" s="37">
        <f>C4+D4</f>
        <v/>
      </c>
      <c r="F4" s="38">
        <f>IFERROR(C4/E4,0)</f>
        <v/>
      </c>
      <c r="G4" s="37">
        <f>C4+(ROW()/100000)</f>
        <v/>
      </c>
    </row>
    <row r="5">
      <c r="A5" s="37" t="inlineStr">
        <is>
          <t>Data Check</t>
        </is>
      </c>
      <c r="B5" s="37" t="inlineStr">
        <is>
          <t>Check Aspirant Registration Forms and related documents.</t>
        </is>
      </c>
      <c r="C5" s="37">
        <f>COUNTIFS(Data!$A$2:$A$3627,Dashboard!$B$7,Data!$B$2:$B$3627,Dashboard!$C$7,Data!$E$2:$E$3627,$A5,Data!$F$2:$F$3627,$B5,Data!$G$2:$G$3627,"Need Improvement")</f>
        <v/>
      </c>
      <c r="D5" s="37">
        <f>COUNTIFS(Data!$A$2:$A$3627,Dashboard!$B$7,Data!$B$2:$B$3627,Dashboard!$C$7,Data!$E$2:$E$3627,$A5,Data!$F$2:$F$3627,$B5,Data!$G$2:$G$3627,"All is Well")</f>
        <v/>
      </c>
      <c r="E5" s="37">
        <f>C5+D5</f>
        <v/>
      </c>
      <c r="F5" s="38">
        <f>IFERROR(C5/E5,0)</f>
        <v/>
      </c>
      <c r="G5" s="37">
        <f>C5+(ROW()/100000)</f>
        <v/>
      </c>
    </row>
    <row r="6">
      <c r="A6" s="37" t="inlineStr">
        <is>
          <t>Data Check</t>
        </is>
      </c>
      <c r="B6" s="37" t="inlineStr">
        <is>
          <t>On the GROW portal, confirm all student profile details and batch updates are currect.</t>
        </is>
      </c>
      <c r="C6" s="37">
        <f>COUNTIFS(Data!$A$2:$A$3627,Dashboard!$B$7,Data!$B$2:$B$3627,Dashboard!$C$7,Data!$E$2:$E$3627,$A6,Data!$F$2:$F$3627,$B6,Data!$G$2:$G$3627,"Need Improvement")</f>
        <v/>
      </c>
      <c r="D6" s="37">
        <f>COUNTIFS(Data!$A$2:$A$3627,Dashboard!$B$7,Data!$B$2:$B$3627,Dashboard!$C$7,Data!$E$2:$E$3627,$A6,Data!$F$2:$F$3627,$B6,Data!$G$2:$G$3627,"All is Well")</f>
        <v/>
      </c>
      <c r="E6" s="37">
        <f>C6+D6</f>
        <v/>
      </c>
      <c r="F6" s="38">
        <f>IFERROR(C6/E6,0)</f>
        <v/>
      </c>
      <c r="G6" s="37">
        <f>C6+(ROW()/100000)</f>
        <v/>
      </c>
    </row>
    <row r="7">
      <c r="A7" s="37" t="inlineStr">
        <is>
          <t>Data Check</t>
        </is>
      </c>
      <c r="B7" s="37" t="inlineStr">
        <is>
          <t>Verify placement data — randomly call 3–4 alumni placed in the last 3 months to confirm veracity (random selection is essential).</t>
        </is>
      </c>
      <c r="C7" s="37">
        <f>COUNTIFS(Data!$A$2:$A$3627,Dashboard!$B$7,Data!$B$2:$B$3627,Dashboard!$C$7,Data!$E$2:$E$3627,$A7,Data!$F$2:$F$3627,$B7,Data!$G$2:$G$3627,"Need Improvement")</f>
        <v/>
      </c>
      <c r="D7" s="37">
        <f>COUNTIFS(Data!$A$2:$A$3627,Dashboard!$B$7,Data!$B$2:$B$3627,Dashboard!$C$7,Data!$E$2:$E$3627,$A7,Data!$F$2:$F$3627,$B7,Data!$G$2:$G$3627,"All is Well")</f>
        <v/>
      </c>
      <c r="E7" s="37">
        <f>C7+D7</f>
        <v/>
      </c>
      <c r="F7" s="38">
        <f>IFERROR(C7/E7,0)</f>
        <v/>
      </c>
      <c r="G7" s="37">
        <f>C7+(ROW()/100000)</f>
        <v/>
      </c>
    </row>
    <row r="8">
      <c r="A8" s="37" t="inlineStr">
        <is>
          <t>Data Check</t>
        </is>
      </c>
      <c r="B8" s="37" t="inlineStr">
        <is>
          <t>Verify retention — check the Alumni Hand-holding Format is being updated as designed.</t>
        </is>
      </c>
      <c r="C8" s="37">
        <f>COUNTIFS(Data!$A$2:$A$3627,Dashboard!$B$7,Data!$B$2:$B$3627,Dashboard!$C$7,Data!$E$2:$E$3627,$A8,Data!$F$2:$F$3627,$B8,Data!$G$2:$G$3627,"Need Improvement")</f>
        <v/>
      </c>
      <c r="D8" s="37">
        <f>COUNTIFS(Data!$A$2:$A$3627,Dashboard!$B$7,Data!$B$2:$B$3627,Dashboard!$C$7,Data!$E$2:$E$3627,$A8,Data!$F$2:$F$3627,$B8,Data!$G$2:$G$3627,"All is Well")</f>
        <v/>
      </c>
      <c r="E8" s="37">
        <f>C8+D8</f>
        <v/>
      </c>
      <c r="F8" s="38">
        <f>IFERROR(C8/E8,0)</f>
        <v/>
      </c>
      <c r="G8" s="37">
        <f>C8+(ROW()/100000)</f>
        <v/>
      </c>
    </row>
    <row r="9">
      <c r="A9" s="37" t="inlineStr">
        <is>
          <t>Data Check</t>
        </is>
      </c>
      <c r="B9" s="37" t="inlineStr">
        <is>
          <t>Check aspirant Hostel Forms are properly filled or not.</t>
        </is>
      </c>
      <c r="C9" s="37">
        <f>COUNTIFS(Data!$A$2:$A$3627,Dashboard!$B$7,Data!$B$2:$B$3627,Dashboard!$C$7,Data!$E$2:$E$3627,$A9,Data!$F$2:$F$3627,$B9,Data!$G$2:$G$3627,"Need Improvement")</f>
        <v/>
      </c>
      <c r="D9" s="37">
        <f>COUNTIFS(Data!$A$2:$A$3627,Dashboard!$B$7,Data!$B$2:$B$3627,Dashboard!$C$7,Data!$E$2:$E$3627,$A9,Data!$F$2:$F$3627,$B9,Data!$G$2:$G$3627,"All is Well")</f>
        <v/>
      </c>
      <c r="E9" s="37">
        <f>C9+D9</f>
        <v/>
      </c>
      <c r="F9" s="38">
        <f>IFERROR(C9/E9,0)</f>
        <v/>
      </c>
      <c r="G9" s="37">
        <f>C9+(ROW()/100000)</f>
        <v/>
      </c>
    </row>
    <row r="10">
      <c r="A10" s="37" t="inlineStr">
        <is>
          <t>Infra Check</t>
        </is>
      </c>
      <c r="B10" s="37" t="inlineStr">
        <is>
          <t>Check all CCTV cameras; if any are not working, ask the AH to troubleshoot or call the vendor.</t>
        </is>
      </c>
      <c r="C10" s="37">
        <f>COUNTIFS(Data!$A$2:$A$3627,Dashboard!$B$7,Data!$B$2:$B$3627,Dashboard!$C$7,Data!$E$2:$E$3627,$A10,Data!$F$2:$F$3627,$B10,Data!$G$2:$G$3627,"Need Improvement")</f>
        <v/>
      </c>
      <c r="D10" s="37">
        <f>COUNTIFS(Data!$A$2:$A$3627,Dashboard!$B$7,Data!$B$2:$B$3627,Dashboard!$C$7,Data!$E$2:$E$3627,$A10,Data!$F$2:$F$3627,$B10,Data!$G$2:$G$3627,"All is Well")</f>
        <v/>
      </c>
      <c r="E10" s="37">
        <f>C10+D10</f>
        <v/>
      </c>
      <c r="F10" s="38">
        <f>IFERROR(C10/E10,0)</f>
        <v/>
      </c>
      <c r="G10" s="37">
        <f>C10+(ROW()/100000)</f>
        <v/>
      </c>
    </row>
    <row r="11">
      <c r="A11" s="37" t="inlineStr">
        <is>
          <t>Infra Check</t>
        </is>
      </c>
      <c r="B11" s="37" t="inlineStr">
        <is>
          <t>Check for any scrap material and get it cleared, with support of Admin</t>
        </is>
      </c>
      <c r="C11" s="37">
        <f>COUNTIFS(Data!$A$2:$A$3627,Dashboard!$B$7,Data!$B$2:$B$3627,Dashboard!$C$7,Data!$E$2:$E$3627,$A11,Data!$F$2:$F$3627,$B11,Data!$G$2:$G$3627,"Need Improvement")</f>
        <v/>
      </c>
      <c r="D11" s="37">
        <f>COUNTIFS(Data!$A$2:$A$3627,Dashboard!$B$7,Data!$B$2:$B$3627,Dashboard!$C$7,Data!$E$2:$E$3627,$A11,Data!$F$2:$F$3627,$B11,Data!$G$2:$G$3627,"All is Well")</f>
        <v/>
      </c>
      <c r="E11" s="37">
        <f>C11+D11</f>
        <v/>
      </c>
      <c r="F11" s="38">
        <f>IFERROR(C11/E11,0)</f>
        <v/>
      </c>
      <c r="G11" s="37">
        <f>C11+(ROW()/100000)</f>
        <v/>
      </c>
    </row>
    <row r="12">
      <c r="A12" s="37" t="inlineStr">
        <is>
          <t>Infra Check</t>
        </is>
      </c>
      <c r="B12" s="37" t="inlineStr">
        <is>
          <t>Check for any pending infra repairs.</t>
        </is>
      </c>
      <c r="C12" s="37">
        <f>COUNTIFS(Data!$A$2:$A$3627,Dashboard!$B$7,Data!$B$2:$B$3627,Dashboard!$C$7,Data!$E$2:$E$3627,$A12,Data!$F$2:$F$3627,$B12,Data!$G$2:$G$3627,"Need Improvement")</f>
        <v/>
      </c>
      <c r="D12" s="37">
        <f>COUNTIFS(Data!$A$2:$A$3627,Dashboard!$B$7,Data!$B$2:$B$3627,Dashboard!$C$7,Data!$E$2:$E$3627,$A12,Data!$F$2:$F$3627,$B12,Data!$G$2:$G$3627,"All is Well")</f>
        <v/>
      </c>
      <c r="E12" s="37">
        <f>C12+D12</f>
        <v/>
      </c>
      <c r="F12" s="38">
        <f>IFERROR(C12/E12,0)</f>
        <v/>
      </c>
      <c r="G12" s="37">
        <f>C12+(ROW()/100000)</f>
        <v/>
      </c>
    </row>
    <row r="13">
      <c r="A13" s="37" t="inlineStr">
        <is>
          <t>Infra Check</t>
        </is>
      </c>
      <c r="B13" s="37" t="inlineStr">
        <is>
          <t>Check whether any fire extinguishers have expired (check the needle and expiry date both).</t>
        </is>
      </c>
      <c r="C13" s="37">
        <f>COUNTIFS(Data!$A$2:$A$3627,Dashboard!$B$7,Data!$B$2:$B$3627,Dashboard!$C$7,Data!$E$2:$E$3627,$A13,Data!$F$2:$F$3627,$B13,Data!$G$2:$G$3627,"Need Improvement")</f>
        <v/>
      </c>
      <c r="D13" s="37">
        <f>COUNTIFS(Data!$A$2:$A$3627,Dashboard!$B$7,Data!$B$2:$B$3627,Dashboard!$C$7,Data!$E$2:$E$3627,$A13,Data!$F$2:$F$3627,$B13,Data!$G$2:$G$3627,"All is Well")</f>
        <v/>
      </c>
      <c r="E13" s="37">
        <f>C13+D13</f>
        <v/>
      </c>
      <c r="F13" s="38">
        <f>IFERROR(C13/E13,0)</f>
        <v/>
      </c>
      <c r="G13" s="37">
        <f>C13+(ROW()/100000)</f>
        <v/>
      </c>
    </row>
    <row r="14">
      <c r="A14" s="37" t="inlineStr">
        <is>
          <t>Infra Check</t>
        </is>
      </c>
      <c r="B14" s="37" t="inlineStr">
        <is>
          <t>Check basic cleanliness of the washrooms and the centre.</t>
        </is>
      </c>
      <c r="C14" s="37">
        <f>COUNTIFS(Data!$A$2:$A$3627,Dashboard!$B$7,Data!$B$2:$B$3627,Dashboard!$C$7,Data!$E$2:$E$3627,$A14,Data!$F$2:$F$3627,$B14,Data!$G$2:$G$3627,"Need Improvement")</f>
        <v/>
      </c>
      <c r="D14" s="37">
        <f>COUNTIFS(Data!$A$2:$A$3627,Dashboard!$B$7,Data!$B$2:$B$3627,Dashboard!$C$7,Data!$E$2:$E$3627,$A14,Data!$F$2:$F$3627,$B14,Data!$G$2:$G$3627,"All is Well")</f>
        <v/>
      </c>
      <c r="E14" s="37">
        <f>C14+D14</f>
        <v/>
      </c>
      <c r="F14" s="38">
        <f>IFERROR(C14/E14,0)</f>
        <v/>
      </c>
      <c r="G14" s="37">
        <f>C14+(ROW()/100000)</f>
        <v/>
      </c>
    </row>
    <row r="15">
      <c r="A15" s="37" t="inlineStr">
        <is>
          <t>Infra Check</t>
        </is>
      </c>
      <c r="B15" s="37" t="inlineStr">
        <is>
          <t>Confirm the correct program and partner logos are displayed.</t>
        </is>
      </c>
      <c r="C15" s="37">
        <f>COUNTIFS(Data!$A$2:$A$3627,Dashboard!$B$7,Data!$B$2:$B$3627,Dashboard!$C$7,Data!$E$2:$E$3627,$A15,Data!$F$2:$F$3627,$B15,Data!$G$2:$G$3627,"Need Improvement")</f>
        <v/>
      </c>
      <c r="D15" s="37">
        <f>COUNTIFS(Data!$A$2:$A$3627,Dashboard!$B$7,Data!$B$2:$B$3627,Dashboard!$C$7,Data!$E$2:$E$3627,$A15,Data!$F$2:$F$3627,$B15,Data!$G$2:$G$3627,"All is Well")</f>
        <v/>
      </c>
      <c r="E15" s="37">
        <f>C15+D15</f>
        <v/>
      </c>
      <c r="F15" s="38">
        <f>IFERROR(C15/E15,0)</f>
        <v/>
      </c>
      <c r="G15" s="37">
        <f>C15+(ROW()/100000)</f>
        <v/>
      </c>
    </row>
    <row r="16">
      <c r="A16" s="37" t="inlineStr">
        <is>
          <t>Infra Check</t>
        </is>
      </c>
      <c r="B16" s="37" t="inlineStr">
        <is>
          <t>Check the status of digital infra — PCs, smartboards, tablets, laptops, etc.</t>
        </is>
      </c>
      <c r="C16" s="37">
        <f>COUNTIFS(Data!$A$2:$A$3627,Dashboard!$B$7,Data!$B$2:$B$3627,Dashboard!$C$7,Data!$E$2:$E$3627,$A16,Data!$F$2:$F$3627,$B16,Data!$G$2:$G$3627,"Need Improvement")</f>
        <v/>
      </c>
      <c r="D16" s="37">
        <f>COUNTIFS(Data!$A$2:$A$3627,Dashboard!$B$7,Data!$B$2:$B$3627,Dashboard!$C$7,Data!$E$2:$E$3627,$A16,Data!$F$2:$F$3627,$B16,Data!$G$2:$G$3627,"All is Well")</f>
        <v/>
      </c>
      <c r="E16" s="37">
        <f>C16+D16</f>
        <v/>
      </c>
      <c r="F16" s="38">
        <f>IFERROR(C16/E16,0)</f>
        <v/>
      </c>
      <c r="G16" s="37">
        <f>C16+(ROW()/100000)</f>
        <v/>
      </c>
    </row>
    <row r="17">
      <c r="A17" s="37" t="inlineStr">
        <is>
          <t>Infra Check</t>
        </is>
      </c>
      <c r="B17" s="37" t="inlineStr">
        <is>
          <t>Make a quick hostel visit; have lunch there if possible to test the food quality.</t>
        </is>
      </c>
      <c r="C17" s="37">
        <f>COUNTIFS(Data!$A$2:$A$3627,Dashboard!$B$7,Data!$B$2:$B$3627,Dashboard!$C$7,Data!$E$2:$E$3627,$A17,Data!$F$2:$F$3627,$B17,Data!$G$2:$G$3627,"Need Improvement")</f>
        <v/>
      </c>
      <c r="D17" s="37">
        <f>COUNTIFS(Data!$A$2:$A$3627,Dashboard!$B$7,Data!$B$2:$B$3627,Dashboard!$C$7,Data!$E$2:$E$3627,$A17,Data!$F$2:$F$3627,$B17,Data!$G$2:$G$3627,"All is Well")</f>
        <v/>
      </c>
      <c r="E17" s="37">
        <f>C17+D17</f>
        <v/>
      </c>
      <c r="F17" s="38">
        <f>IFERROR(C17/E17,0)</f>
        <v/>
      </c>
      <c r="G17" s="37">
        <f>C17+(ROW()/100000)</f>
        <v/>
      </c>
    </row>
    <row r="18">
      <c r="A18" s="37" t="inlineStr">
        <is>
          <t>Process Check</t>
        </is>
      </c>
      <c r="B18" s="37" t="inlineStr">
        <is>
          <t>Refer to the activity planner — check if any activities are delayed.</t>
        </is>
      </c>
      <c r="C18" s="37">
        <f>COUNTIFS(Data!$A$2:$A$3627,Dashboard!$B$7,Data!$B$2:$B$3627,Dashboard!$C$7,Data!$E$2:$E$3627,$A18,Data!$F$2:$F$3627,$B18,Data!$G$2:$G$3627,"Need Improvement")</f>
        <v/>
      </c>
      <c r="D18" s="37">
        <f>COUNTIFS(Data!$A$2:$A$3627,Dashboard!$B$7,Data!$B$2:$B$3627,Dashboard!$C$7,Data!$E$2:$E$3627,$A18,Data!$F$2:$F$3627,$B18,Data!$G$2:$G$3627,"All is Well")</f>
        <v/>
      </c>
      <c r="E18" s="37">
        <f>C18+D18</f>
        <v/>
      </c>
      <c r="F18" s="38">
        <f>IFERROR(C18/E18,0)</f>
        <v/>
      </c>
      <c r="G18" s="37">
        <f>C18+(ROW()/100000)</f>
        <v/>
      </c>
    </row>
    <row r="19">
      <c r="A19" s="37" t="inlineStr">
        <is>
          <t>Process Check</t>
        </is>
      </c>
      <c r="B19" s="37" t="inlineStr">
        <is>
          <t>Check planning for the next batch-start announcement.</t>
        </is>
      </c>
      <c r="C19" s="37">
        <f>COUNTIFS(Data!$A$2:$A$3627,Dashboard!$B$7,Data!$B$2:$B$3627,Dashboard!$C$7,Data!$E$2:$E$3627,$A19,Data!$F$2:$F$3627,$B19,Data!$G$2:$G$3627,"Need Improvement")</f>
        <v/>
      </c>
      <c r="D19" s="37">
        <f>COUNTIFS(Data!$A$2:$A$3627,Dashboard!$B$7,Data!$B$2:$B$3627,Dashboard!$C$7,Data!$E$2:$E$3627,$A19,Data!$F$2:$F$3627,$B19,Data!$G$2:$G$3627,"All is Well")</f>
        <v/>
      </c>
      <c r="E19" s="37">
        <f>C19+D19</f>
        <v/>
      </c>
      <c r="F19" s="38">
        <f>IFERROR(C19/E19,0)</f>
        <v/>
      </c>
      <c r="G19" s="37">
        <f>C19+(ROW()/100000)</f>
        <v/>
      </c>
    </row>
    <row r="20">
      <c r="A20" s="37" t="inlineStr">
        <is>
          <t>Process Check</t>
        </is>
      </c>
      <c r="B20" s="37" t="inlineStr">
        <is>
          <t>Check if any hiring is delayed and plan a resolution.</t>
        </is>
      </c>
      <c r="C20" s="37">
        <f>COUNTIFS(Data!$A$2:$A$3627,Dashboard!$B$7,Data!$B$2:$B$3627,Dashboard!$C$7,Data!$E$2:$E$3627,$A20,Data!$F$2:$F$3627,$B20,Data!$G$2:$G$3627,"Need Improvement")</f>
        <v/>
      </c>
      <c r="D20" s="37">
        <f>COUNTIFS(Data!$A$2:$A$3627,Dashboard!$B$7,Data!$B$2:$B$3627,Dashboard!$C$7,Data!$E$2:$E$3627,$A20,Data!$F$2:$F$3627,$B20,Data!$G$2:$G$3627,"All is Well")</f>
        <v/>
      </c>
      <c r="E20" s="37">
        <f>C20+D20</f>
        <v/>
      </c>
      <c r="F20" s="38">
        <f>IFERROR(C20/E20,0)</f>
        <v/>
      </c>
      <c r="G20" s="37">
        <f>C20+(ROW()/100000)</f>
        <v/>
      </c>
    </row>
    <row r="21">
      <c r="A21" s="37" t="inlineStr">
        <is>
          <t>Process Check</t>
        </is>
      </c>
      <c r="B21" s="37" t="inlineStr">
        <is>
          <t>Check the CA’s diary — is CA guided daily by the AH during planning days?</t>
        </is>
      </c>
      <c r="C21" s="37">
        <f>COUNTIFS(Data!$A$2:$A$3627,Dashboard!$B$7,Data!$B$2:$B$3627,Dashboard!$C$7,Data!$E$2:$E$3627,$A21,Data!$F$2:$F$3627,$B21,Data!$G$2:$G$3627,"Need Improvement")</f>
        <v/>
      </c>
      <c r="D21" s="37">
        <f>COUNTIFS(Data!$A$2:$A$3627,Dashboard!$B$7,Data!$B$2:$B$3627,Dashboard!$C$7,Data!$E$2:$E$3627,$A21,Data!$F$2:$F$3627,$B21,Data!$G$2:$G$3627,"All is Well")</f>
        <v/>
      </c>
      <c r="E21" s="37">
        <f>C21+D21</f>
        <v/>
      </c>
      <c r="F21" s="38">
        <f>IFERROR(C21/E21,0)</f>
        <v/>
      </c>
      <c r="G21" s="37">
        <f>C21+(ROW()/100000)</f>
        <v/>
      </c>
    </row>
    <row r="22">
      <c r="A22" s="37" t="inlineStr">
        <is>
          <t>Process Check</t>
        </is>
      </c>
      <c r="B22" s="37" t="inlineStr">
        <is>
          <t>Check the AH is regularly meeting employers (in person and online) and updating the centre’s Top 20 Employer format.</t>
        </is>
      </c>
      <c r="C22" s="37">
        <f>COUNTIFS(Data!$A$2:$A$3627,Dashboard!$B$7,Data!$B$2:$B$3627,Dashboard!$C$7,Data!$E$2:$E$3627,$A22,Data!$F$2:$F$3627,$B22,Data!$G$2:$G$3627,"Need Improvement")</f>
        <v/>
      </c>
      <c r="D22" s="37">
        <f>COUNTIFS(Data!$A$2:$A$3627,Dashboard!$B$7,Data!$B$2:$B$3627,Dashboard!$C$7,Data!$E$2:$E$3627,$A22,Data!$F$2:$F$3627,$B22,Data!$G$2:$G$3627,"All is Well")</f>
        <v/>
      </c>
      <c r="E22" s="37">
        <f>C22+D22</f>
        <v/>
      </c>
      <c r="F22" s="38">
        <f>IFERROR(C22/E22,0)</f>
        <v/>
      </c>
      <c r="G22" s="37">
        <f>C22+(ROW()/100000)</f>
        <v/>
      </c>
    </row>
    <row r="23">
      <c r="A23" s="37" t="inlineStr">
        <is>
          <t>Process Check</t>
        </is>
      </c>
      <c r="B23" s="37" t="inlineStr">
        <is>
          <t>Confirm all new employers are registered on portal as per new process.</t>
        </is>
      </c>
      <c r="C23" s="37">
        <f>COUNTIFS(Data!$A$2:$A$3627,Dashboard!$B$7,Data!$B$2:$B$3627,Dashboard!$C$7,Data!$E$2:$E$3627,$A23,Data!$F$2:$F$3627,$B23,Data!$G$2:$G$3627,"Need Improvement")</f>
        <v/>
      </c>
      <c r="D23" s="37">
        <f>COUNTIFS(Data!$A$2:$A$3627,Dashboard!$B$7,Data!$B$2:$B$3627,Dashboard!$C$7,Data!$E$2:$E$3627,$A23,Data!$F$2:$F$3627,$B23,Data!$G$2:$G$3627,"All is Well")</f>
        <v/>
      </c>
      <c r="E23" s="37">
        <f>C23+D23</f>
        <v/>
      </c>
      <c r="F23" s="38">
        <f>IFERROR(C23/E23,0)</f>
        <v/>
      </c>
      <c r="G23" s="37">
        <f>C23+(ROW()/100000)</f>
        <v/>
      </c>
    </row>
    <row r="24">
      <c r="A24" s="37" t="inlineStr">
        <is>
          <t>Process Check</t>
        </is>
      </c>
      <c r="B24" s="37" t="inlineStr">
        <is>
          <t>Confirm 100% of enrolled students undergone screening (for technical courses).</t>
        </is>
      </c>
      <c r="C24" s="37">
        <f>COUNTIFS(Data!$A$2:$A$3627,Dashboard!$B$7,Data!$B$2:$B$3627,Dashboard!$C$7,Data!$E$2:$E$3627,$A24,Data!$F$2:$F$3627,$B24,Data!$G$2:$G$3627,"Need Improvement")</f>
        <v/>
      </c>
      <c r="D24" s="37">
        <f>COUNTIFS(Data!$A$2:$A$3627,Dashboard!$B$7,Data!$B$2:$B$3627,Dashboard!$C$7,Data!$E$2:$E$3627,$A24,Data!$F$2:$F$3627,$B24,Data!$G$2:$G$3627,"All is Well")</f>
        <v/>
      </c>
      <c r="E24" s="37">
        <f>C24+D24</f>
        <v/>
      </c>
      <c r="F24" s="38">
        <f>IFERROR(C24/E24,0)</f>
        <v/>
      </c>
      <c r="G24" s="37">
        <f>C24+(ROW()/100000)</f>
        <v/>
      </c>
    </row>
    <row r="25">
      <c r="A25" s="37" t="inlineStr">
        <is>
          <t>Process Check</t>
        </is>
      </c>
      <c r="B25" s="37" t="inlineStr">
        <is>
          <t>Confirm ESA is done (in GROW full ESA and in Technical courses relevant sections of Core Employability Part).</t>
        </is>
      </c>
      <c r="C25" s="37">
        <f>COUNTIFS(Data!$A$2:$A$3627,Dashboard!$B$7,Data!$B$2:$B$3627,Dashboard!$C$7,Data!$E$2:$E$3627,$A25,Data!$F$2:$F$3627,$B25,Data!$G$2:$G$3627,"Need Improvement")</f>
        <v/>
      </c>
      <c r="D25" s="37">
        <f>COUNTIFS(Data!$A$2:$A$3627,Dashboard!$B$7,Data!$B$2:$B$3627,Dashboard!$C$7,Data!$E$2:$E$3627,$A25,Data!$F$2:$F$3627,$B25,Data!$G$2:$G$3627,"All is Well")</f>
        <v/>
      </c>
      <c r="E25" s="37">
        <f>C25+D25</f>
        <v/>
      </c>
      <c r="F25" s="38">
        <f>IFERROR(C25/E25,0)</f>
        <v/>
      </c>
      <c r="G25" s="37">
        <f>C25+(ROW()/100000)</f>
        <v/>
      </c>
    </row>
    <row r="26">
      <c r="A26" s="37" t="inlineStr">
        <is>
          <t>Process Check</t>
        </is>
      </c>
      <c r="B26" s="37" t="inlineStr">
        <is>
          <t>Check is AH giving capstone project in GROW Tech.</t>
        </is>
      </c>
      <c r="C26" s="37">
        <f>COUNTIFS(Data!$A$2:$A$3627,Dashboard!$B$7,Data!$B$2:$B$3627,Dashboard!$C$7,Data!$E$2:$E$3627,$A26,Data!$F$2:$F$3627,$B26,Data!$G$2:$G$3627,"Need Improvement")</f>
        <v/>
      </c>
      <c r="D26" s="37">
        <f>COUNTIFS(Data!$A$2:$A$3627,Dashboard!$B$7,Data!$B$2:$B$3627,Dashboard!$C$7,Data!$E$2:$E$3627,$A26,Data!$F$2:$F$3627,$B26,Data!$G$2:$G$3627,"All is Well")</f>
        <v/>
      </c>
      <c r="E26" s="37">
        <f>C26+D26</f>
        <v/>
      </c>
      <c r="F26" s="38">
        <f>IFERROR(C26/E26,0)</f>
        <v/>
      </c>
      <c r="G26" s="37">
        <f>C26+(ROW()/100000)</f>
        <v/>
      </c>
    </row>
    <row r="27">
      <c r="A27" s="37" t="inlineStr">
        <is>
          <t>Process Check</t>
        </is>
      </c>
      <c r="B27" s="37" t="inlineStr">
        <is>
          <t>Check is AH planning OJT as per guidelines and proofs are collected for technical courses.</t>
        </is>
      </c>
      <c r="C27" s="37">
        <f>COUNTIFS(Data!$A$2:$A$3627,Dashboard!$B$7,Data!$B$2:$B$3627,Dashboard!$C$7,Data!$E$2:$E$3627,$A27,Data!$F$2:$F$3627,$B27,Data!$G$2:$G$3627,"Need Improvement")</f>
        <v/>
      </c>
      <c r="D27" s="37">
        <f>COUNTIFS(Data!$A$2:$A$3627,Dashboard!$B$7,Data!$B$2:$B$3627,Dashboard!$C$7,Data!$E$2:$E$3627,$A27,Data!$F$2:$F$3627,$B27,Data!$G$2:$G$3627,"All is Well")</f>
        <v/>
      </c>
      <c r="E27" s="37">
        <f>C27+D27</f>
        <v/>
      </c>
      <c r="F27" s="38">
        <f>IFERROR(C27/E27,0)</f>
        <v/>
      </c>
      <c r="G27" s="37">
        <f>C27+(ROW()/100000)</f>
        <v/>
      </c>
    </row>
    <row r="28">
      <c r="A28" s="37" t="inlineStr">
        <is>
          <t>Process Check</t>
        </is>
      </c>
      <c r="B28" s="37" t="inlineStr">
        <is>
          <t>Check are trainers contacting aspirants to find reason for their absenteeism of more than 1 day.</t>
        </is>
      </c>
      <c r="C28" s="37">
        <f>COUNTIFS(Data!$A$2:$A$3627,Dashboard!$B$7,Data!$B$2:$B$3627,Dashboard!$C$7,Data!$E$2:$E$3627,$A28,Data!$F$2:$F$3627,$B28,Data!$G$2:$G$3627,"Need Improvement")</f>
        <v/>
      </c>
      <c r="D28" s="37">
        <f>COUNTIFS(Data!$A$2:$A$3627,Dashboard!$B$7,Data!$B$2:$B$3627,Dashboard!$C$7,Data!$E$2:$E$3627,$A28,Data!$F$2:$F$3627,$B28,Data!$G$2:$G$3627,"All is Well")</f>
        <v/>
      </c>
      <c r="E28" s="37">
        <f>C28+D28</f>
        <v/>
      </c>
      <c r="F28" s="38">
        <f>IFERROR(C28/E28,0)</f>
        <v/>
      </c>
      <c r="G28" s="37">
        <f>C28+(ROW()/100000)</f>
        <v/>
      </c>
    </row>
    <row r="29">
      <c r="A29" s="37" t="inlineStr">
        <is>
          <t>Process Check</t>
        </is>
      </c>
      <c r="B29" s="37" t="inlineStr">
        <is>
          <t>Check the AH plans monthly enrolment and placement numbers by the 3rd of each month and shares them with second level managers.</t>
        </is>
      </c>
      <c r="C29" s="37">
        <f>COUNTIFS(Data!$A$2:$A$3627,Dashboard!$B$7,Data!$B$2:$B$3627,Dashboard!$C$7,Data!$E$2:$E$3627,$A29,Data!$F$2:$F$3627,$B29,Data!$G$2:$G$3627,"Need Improvement")</f>
        <v/>
      </c>
      <c r="D29" s="37">
        <f>COUNTIFS(Data!$A$2:$A$3627,Dashboard!$B$7,Data!$B$2:$B$3627,Dashboard!$C$7,Data!$E$2:$E$3627,$A29,Data!$F$2:$F$3627,$B29,Data!$G$2:$G$3627,"All is Well")</f>
        <v/>
      </c>
      <c r="E29" s="37">
        <f>C29+D29</f>
        <v/>
      </c>
      <c r="F29" s="38">
        <f>IFERROR(C29/E29,0)</f>
        <v/>
      </c>
      <c r="G29" s="37">
        <f>C29+(ROW()/100000)</f>
        <v/>
      </c>
    </row>
    <row r="30">
      <c r="A30" s="37" t="inlineStr">
        <is>
          <t>Process Check</t>
        </is>
      </c>
      <c r="B30" s="37" t="inlineStr">
        <is>
          <t>Check trainers submit aspirants’ placement interest areas to the AH by the batch’s 25th day (in GROW).</t>
        </is>
      </c>
      <c r="C30" s="37">
        <f>COUNTIFS(Data!$A$2:$A$3627,Dashboard!$B$7,Data!$B$2:$B$3627,Dashboard!$C$7,Data!$E$2:$E$3627,$A30,Data!$F$2:$F$3627,$B30,Data!$G$2:$G$3627,"Need Improvement")</f>
        <v/>
      </c>
      <c r="D30" s="37">
        <f>COUNTIFS(Data!$A$2:$A$3627,Dashboard!$B$7,Data!$B$2:$B$3627,Dashboard!$C$7,Data!$E$2:$E$3627,$A30,Data!$F$2:$F$3627,$B30,Data!$G$2:$G$3627,"All is Well")</f>
        <v/>
      </c>
      <c r="E30" s="37">
        <f>C30+D30</f>
        <v/>
      </c>
      <c r="F30" s="38">
        <f>IFERROR(C30/E30,0)</f>
        <v/>
      </c>
      <c r="G30" s="37">
        <f>C30+(ROW()/100000)</f>
        <v/>
      </c>
    </row>
    <row r="31">
      <c r="A31" s="37" t="inlineStr">
        <is>
          <t>Process Check</t>
        </is>
      </c>
      <c r="B31" s="37" t="inlineStr">
        <is>
          <t>Ckeck For technical programs, placement is done only in technical jobs,on which aspirants are trained and relevant emplyers are identified by 45th day.</t>
        </is>
      </c>
      <c r="C31" s="37">
        <f>COUNTIFS(Data!$A$2:$A$3627,Dashboard!$B$7,Data!$B$2:$B$3627,Dashboard!$C$7,Data!$E$2:$E$3627,$A31,Data!$F$2:$F$3627,$B31,Data!$G$2:$G$3627,"Need Improvement")</f>
        <v/>
      </c>
      <c r="D31" s="37">
        <f>COUNTIFS(Data!$A$2:$A$3627,Dashboard!$B$7,Data!$B$2:$B$3627,Dashboard!$C$7,Data!$E$2:$E$3627,$A31,Data!$F$2:$F$3627,$B31,Data!$G$2:$G$3627,"All is Well")</f>
        <v/>
      </c>
      <c r="E31" s="37">
        <f>C31+D31</f>
        <v/>
      </c>
      <c r="F31" s="38">
        <f>IFERROR(C31/E31,0)</f>
        <v/>
      </c>
      <c r="G31" s="37">
        <f>C31+(ROW()/100000)</f>
        <v/>
      </c>
    </row>
    <row r="32">
      <c r="A32" s="37" t="inlineStr">
        <is>
          <t>Process Check</t>
        </is>
      </c>
      <c r="B32" s="37" t="inlineStr">
        <is>
          <t>Check the AH follows EP guidelines and minimum benchmark salary guidelines.</t>
        </is>
      </c>
      <c r="C32" s="37">
        <f>COUNTIFS(Data!$A$2:$A$3627,Dashboard!$B$7,Data!$B$2:$B$3627,Dashboard!$C$7,Data!$E$2:$E$3627,$A32,Data!$F$2:$F$3627,$B32,Data!$G$2:$G$3627,"Need Improvement")</f>
        <v/>
      </c>
      <c r="D32" s="37">
        <f>COUNTIFS(Data!$A$2:$A$3627,Dashboard!$B$7,Data!$B$2:$B$3627,Dashboard!$C$7,Data!$E$2:$E$3627,$A32,Data!$F$2:$F$3627,$B32,Data!$G$2:$G$3627,"All is Well")</f>
        <v/>
      </c>
      <c r="E32" s="37">
        <f>C32+D32</f>
        <v/>
      </c>
      <c r="F32" s="38">
        <f>IFERROR(C32/E32,0)</f>
        <v/>
      </c>
      <c r="G32" s="37">
        <f>C32+(ROW()/100000)</f>
        <v/>
      </c>
    </row>
    <row r="33">
      <c r="A33" s="37" t="inlineStr">
        <is>
          <t>Process Check</t>
        </is>
      </c>
      <c r="B33" s="37" t="inlineStr">
        <is>
          <t>Check that AH is enrolling only the right traget group in the program -as per the defined target.</t>
        </is>
      </c>
      <c r="C33" s="37">
        <f>COUNTIFS(Data!$A$2:$A$3627,Dashboard!$B$7,Data!$B$2:$B$3627,Dashboard!$C$7,Data!$E$2:$E$3627,$A33,Data!$F$2:$F$3627,$B33,Data!$G$2:$G$3627,"Need Improvement")</f>
        <v/>
      </c>
      <c r="D33" s="37">
        <f>COUNTIFS(Data!$A$2:$A$3627,Dashboard!$B$7,Data!$B$2:$B$3627,Dashboard!$C$7,Data!$E$2:$E$3627,$A33,Data!$F$2:$F$3627,$B33,Data!$G$2:$G$3627,"All is Well")</f>
        <v/>
      </c>
      <c r="E33" s="37">
        <f>C33+D33</f>
        <v/>
      </c>
      <c r="F33" s="38">
        <f>IFERROR(C33/E33,0)</f>
        <v/>
      </c>
      <c r="G33" s="37">
        <f>C33+(ROW()/100000)</f>
        <v/>
      </c>
    </row>
    <row r="34">
      <c r="A34" s="37" t="inlineStr">
        <is>
          <t>Process Check</t>
        </is>
      </c>
      <c r="B34" s="37" t="inlineStr">
        <is>
          <t>Check the AH announces the next batch-start date by the 3rd of the month on all notice boards — focus on Zero-Day start.</t>
        </is>
      </c>
      <c r="C34" s="37">
        <f>COUNTIFS(Data!$A$2:$A$3627,Dashboard!$B$7,Data!$B$2:$B$3627,Dashboard!$C$7,Data!$E$2:$E$3627,$A34,Data!$F$2:$F$3627,$B34,Data!$G$2:$G$3627,"Need Improvement")</f>
        <v/>
      </c>
      <c r="D34" s="37">
        <f>COUNTIFS(Data!$A$2:$A$3627,Dashboard!$B$7,Data!$B$2:$B$3627,Dashboard!$C$7,Data!$E$2:$E$3627,$A34,Data!$F$2:$F$3627,$B34,Data!$G$2:$G$3627,"All is Well")</f>
        <v/>
      </c>
      <c r="E34" s="37">
        <f>C34+D34</f>
        <v/>
      </c>
      <c r="F34" s="38">
        <f>IFERROR(C34/E34,0)</f>
        <v/>
      </c>
      <c r="G34" s="37">
        <f>C34+(ROW()/100000)</f>
        <v/>
      </c>
    </row>
    <row r="35">
      <c r="A35" s="37" t="inlineStr">
        <is>
          <t>Process Check</t>
        </is>
      </c>
      <c r="B35" s="37" t="inlineStr">
        <is>
          <t>Check the Aspirant Mock Interview Score Tracker is updated after every mock interview in the L&amp;D Google Sheet.</t>
        </is>
      </c>
      <c r="C35" s="37">
        <f>COUNTIFS(Data!$A$2:$A$3627,Dashboard!$B$7,Data!$B$2:$B$3627,Dashboard!$C$7,Data!$E$2:$E$3627,$A35,Data!$F$2:$F$3627,$B35,Data!$G$2:$G$3627,"Need Improvement")</f>
        <v/>
      </c>
      <c r="D35" s="37">
        <f>COUNTIFS(Data!$A$2:$A$3627,Dashboard!$B$7,Data!$B$2:$B$3627,Dashboard!$C$7,Data!$E$2:$E$3627,$A35,Data!$F$2:$F$3627,$B35,Data!$G$2:$G$3627,"All is Well")</f>
        <v/>
      </c>
      <c r="E35" s="37">
        <f>C35+D35</f>
        <v/>
      </c>
      <c r="F35" s="38">
        <f>IFERROR(C35/E35,0)</f>
        <v/>
      </c>
      <c r="G35" s="37">
        <f>C35+(ROW()/100000)</f>
        <v/>
      </c>
    </row>
    <row r="36">
      <c r="A36" s="37" t="inlineStr">
        <is>
          <t>Process Check</t>
        </is>
      </c>
      <c r="B36" s="37" t="inlineStr">
        <is>
          <t>Confirm NPS (Net Promoter Score) is collected at MSDF centres.</t>
        </is>
      </c>
      <c r="C36" s="37">
        <f>COUNTIFS(Data!$A$2:$A$3627,Dashboard!$B$7,Data!$B$2:$B$3627,Dashboard!$C$7,Data!$E$2:$E$3627,$A36,Data!$F$2:$F$3627,$B36,Data!$G$2:$G$3627,"Need Improvement")</f>
        <v/>
      </c>
      <c r="D36" s="37">
        <f>COUNTIFS(Data!$A$2:$A$3627,Dashboard!$B$7,Data!$B$2:$B$3627,Dashboard!$C$7,Data!$E$2:$E$3627,$A36,Data!$F$2:$F$3627,$B36,Data!$G$2:$G$3627,"All is Well")</f>
        <v/>
      </c>
      <c r="E36" s="37">
        <f>C36+D36</f>
        <v/>
      </c>
      <c r="F36" s="38">
        <f>IFERROR(C36/E36,0)</f>
        <v/>
      </c>
      <c r="G36" s="37">
        <f>C36+(ROW()/100000)</f>
        <v/>
      </c>
    </row>
    <row r="37">
      <c r="A37" s="37" t="inlineStr">
        <is>
          <t>Process Check</t>
        </is>
      </c>
      <c r="B37" s="37" t="inlineStr">
        <is>
          <t>Confirm that QAE is collecting student feedback for every batch.</t>
        </is>
      </c>
      <c r="C37" s="37">
        <f>COUNTIFS(Data!$A$2:$A$3627,Dashboard!$B$7,Data!$B$2:$B$3627,Dashboard!$C$7,Data!$E$2:$E$3627,$A37,Data!$F$2:$F$3627,$B37,Data!$G$2:$G$3627,"Need Improvement")</f>
        <v/>
      </c>
      <c r="D37" s="37">
        <f>COUNTIFS(Data!$A$2:$A$3627,Dashboard!$B$7,Data!$B$2:$B$3627,Dashboard!$C$7,Data!$E$2:$E$3627,$A37,Data!$F$2:$F$3627,$B37,Data!$G$2:$G$3627,"All is Well")</f>
        <v/>
      </c>
      <c r="E37" s="37">
        <f>C37+D37</f>
        <v/>
      </c>
      <c r="F37" s="38">
        <f>IFERROR(C37/E37,0)</f>
        <v/>
      </c>
      <c r="G37" s="37">
        <f>C37+(ROW()/100000)</f>
        <v/>
      </c>
    </row>
    <row r="38">
      <c r="A38" s="37" t="inlineStr">
        <is>
          <t>Process Check</t>
        </is>
      </c>
      <c r="B38" s="37" t="inlineStr">
        <is>
          <t>Confirm all centre teams have completed the GROW Manual Course on Skillfy — ask for achievement certificates.</t>
        </is>
      </c>
      <c r="C38" s="37">
        <f>COUNTIFS(Data!$A$2:$A$3627,Dashboard!$B$7,Data!$B$2:$B$3627,Dashboard!$C$7,Data!$E$2:$E$3627,$A38,Data!$F$2:$F$3627,$B38,Data!$G$2:$G$3627,"Need Improvement")</f>
        <v/>
      </c>
      <c r="D38" s="37">
        <f>COUNTIFS(Data!$A$2:$A$3627,Dashboard!$B$7,Data!$B$2:$B$3627,Dashboard!$C$7,Data!$E$2:$E$3627,$A38,Data!$F$2:$F$3627,$B38,Data!$G$2:$G$3627,"All is Well")</f>
        <v/>
      </c>
      <c r="E38" s="37">
        <f>C38+D38</f>
        <v/>
      </c>
      <c r="F38" s="38">
        <f>IFERROR(C38/E38,0)</f>
        <v/>
      </c>
      <c r="G38" s="37">
        <f>C38+(ROW()/100000)</f>
        <v/>
      </c>
    </row>
    <row r="39">
      <c r="A39" s="37" t="inlineStr">
        <is>
          <t>Process Check</t>
        </is>
      </c>
      <c r="B39" s="37" t="inlineStr">
        <is>
          <t>Check AH holds a quality weekly team meeting, documents action points in the weekly meeting format, and sends you a photo on WhatsApp.</t>
        </is>
      </c>
      <c r="C39" s="37">
        <f>COUNTIFS(Data!$A$2:$A$3627,Dashboard!$B$7,Data!$B$2:$B$3627,Dashboard!$C$7,Data!$E$2:$E$3627,$A39,Data!$F$2:$F$3627,$B39,Data!$G$2:$G$3627,"Need Improvement")</f>
        <v/>
      </c>
      <c r="D39" s="37">
        <f>COUNTIFS(Data!$A$2:$A$3627,Dashboard!$B$7,Data!$B$2:$B$3627,Dashboard!$C$7,Data!$E$2:$E$3627,$A39,Data!$F$2:$F$3627,$B39,Data!$G$2:$G$3627,"All is Well")</f>
        <v/>
      </c>
      <c r="E39" s="37">
        <f>C39+D39</f>
        <v/>
      </c>
      <c r="F39" s="38">
        <f>IFERROR(C39/E39,0)</f>
        <v/>
      </c>
      <c r="G39" s="37">
        <f>C39+(ROW()/100000)</f>
        <v/>
      </c>
    </row>
    <row r="40">
      <c r="A40" s="37" t="inlineStr">
        <is>
          <t>Aspirant Interaction</t>
        </is>
      </c>
      <c r="B40" s="37" t="inlineStr">
        <is>
          <t>Ask aspirants about the session plan — confirm training is happening as planned?</t>
        </is>
      </c>
      <c r="C40" s="37">
        <f>COUNTIFS(Data!$A$2:$A$3627,Dashboard!$B$7,Data!$B$2:$B$3627,Dashboard!$C$7,Data!$E$2:$E$3627,$A40,Data!$F$2:$F$3627,$B40,Data!$G$2:$G$3627,"Need Improvement")</f>
        <v/>
      </c>
      <c r="D40" s="37">
        <f>COUNTIFS(Data!$A$2:$A$3627,Dashboard!$B$7,Data!$B$2:$B$3627,Dashboard!$C$7,Data!$E$2:$E$3627,$A40,Data!$F$2:$F$3627,$B40,Data!$G$2:$G$3627,"All is Well")</f>
        <v/>
      </c>
      <c r="E40" s="37">
        <f>C40+D40</f>
        <v/>
      </c>
      <c r="F40" s="38">
        <f>IFERROR(C40/E40,0)</f>
        <v/>
      </c>
      <c r="G40" s="37">
        <f>C40+(ROW()/100000)</f>
        <v/>
      </c>
    </row>
    <row r="41">
      <c r="A41" s="37" t="inlineStr">
        <is>
          <t>Aspirant Interaction</t>
        </is>
      </c>
      <c r="B41" s="37" t="inlineStr">
        <is>
          <t>Ask about the quality of Core Employability component delivery (technical centres) and who delivers it.</t>
        </is>
      </c>
      <c r="C41" s="37">
        <f>COUNTIFS(Data!$A$2:$A$3627,Dashboard!$B$7,Data!$B$2:$B$3627,Dashboard!$C$7,Data!$E$2:$E$3627,$A41,Data!$F$2:$F$3627,$B41,Data!$G$2:$G$3627,"Need Improvement")</f>
        <v/>
      </c>
      <c r="D41" s="37">
        <f>COUNTIFS(Data!$A$2:$A$3627,Dashboard!$B$7,Data!$B$2:$B$3627,Dashboard!$C$7,Data!$E$2:$E$3627,$A41,Data!$F$2:$F$3627,$B41,Data!$G$2:$G$3627,"All is Well")</f>
        <v/>
      </c>
      <c r="E41" s="37">
        <f>C41+D41</f>
        <v/>
      </c>
      <c r="F41" s="38">
        <f>IFERROR(C41/E41,0)</f>
        <v/>
      </c>
      <c r="G41" s="37">
        <f>C41+(ROW()/100000)</f>
        <v/>
      </c>
    </row>
    <row r="42">
      <c r="A42" s="37" t="inlineStr">
        <is>
          <t>Aspirant Interaction</t>
        </is>
      </c>
      <c r="B42" s="37" t="inlineStr">
        <is>
          <t>Ask whether they are aware of the referral scheme?</t>
        </is>
      </c>
      <c r="C42" s="37">
        <f>COUNTIFS(Data!$A$2:$A$3627,Dashboard!$B$7,Data!$B$2:$B$3627,Dashboard!$C$7,Data!$E$2:$E$3627,$A42,Data!$F$2:$F$3627,$B42,Data!$G$2:$G$3627,"Need Improvement")</f>
        <v/>
      </c>
      <c r="D42" s="37">
        <f>COUNTIFS(Data!$A$2:$A$3627,Dashboard!$B$7,Data!$B$2:$B$3627,Dashboard!$C$7,Data!$E$2:$E$3627,$A42,Data!$F$2:$F$3627,$B42,Data!$G$2:$G$3627,"All is Well")</f>
        <v/>
      </c>
      <c r="E42" s="37">
        <f>C42+D42</f>
        <v/>
      </c>
      <c r="F42" s="38">
        <f>IFERROR(C42/E42,0)</f>
        <v/>
      </c>
      <c r="G42" s="37">
        <f>C42+(ROW()/100000)</f>
        <v/>
      </c>
    </row>
    <row r="43">
      <c r="A43" s="37" t="inlineStr">
        <is>
          <t>Aspirant Interaction</t>
        </is>
      </c>
      <c r="B43" s="37" t="inlineStr">
        <is>
          <t>Ask whether the AH explained the importance of the offer letter and sharing it with us once received for reporting purposes?</t>
        </is>
      </c>
      <c r="C43" s="37">
        <f>COUNTIFS(Data!$A$2:$A$3627,Dashboard!$B$7,Data!$B$2:$B$3627,Dashboard!$C$7,Data!$E$2:$E$3627,$A43,Data!$F$2:$F$3627,$B43,Data!$G$2:$G$3627,"Need Improvement")</f>
        <v/>
      </c>
      <c r="D43" s="37">
        <f>COUNTIFS(Data!$A$2:$A$3627,Dashboard!$B$7,Data!$B$2:$B$3627,Dashboard!$C$7,Data!$E$2:$E$3627,$A43,Data!$F$2:$F$3627,$B43,Data!$G$2:$G$3627,"All is Well")</f>
        <v/>
      </c>
      <c r="E43" s="37">
        <f>C43+D43</f>
        <v/>
      </c>
      <c r="F43" s="38">
        <f>IFERROR(C43/E43,0)</f>
        <v/>
      </c>
      <c r="G43" s="37">
        <f>C43+(ROW()/100000)</f>
        <v/>
      </c>
    </row>
    <row r="44">
      <c r="A44" s="37" t="inlineStr">
        <is>
          <t>Aspirant Interaction</t>
        </is>
      </c>
      <c r="B44" s="37" t="inlineStr">
        <is>
          <t>Ask how many are not interested in jobs — and if so, why they enrolled in the programme?</t>
        </is>
      </c>
      <c r="C44" s="37">
        <f>COUNTIFS(Data!$A$2:$A$3627,Dashboard!$B$7,Data!$B$2:$B$3627,Dashboard!$C$7,Data!$E$2:$E$3627,$A44,Data!$F$2:$F$3627,$B44,Data!$G$2:$G$3627,"Need Improvement")</f>
        <v/>
      </c>
      <c r="D44" s="37">
        <f>COUNTIFS(Data!$A$2:$A$3627,Dashboard!$B$7,Data!$B$2:$B$3627,Dashboard!$C$7,Data!$E$2:$E$3627,$A44,Data!$F$2:$F$3627,$B44,Data!$G$2:$G$3627,"All is Well")</f>
        <v/>
      </c>
      <c r="E44" s="37">
        <f>C44+D44</f>
        <v/>
      </c>
      <c r="F44" s="38">
        <f>IFERROR(C44/E44,0)</f>
        <v/>
      </c>
      <c r="G44" s="37">
        <f>C44+(ROW()/100000)</f>
        <v/>
      </c>
    </row>
    <row r="45">
      <c r="A45" s="37" t="inlineStr">
        <is>
          <t>Aspirant Interaction</t>
        </is>
      </c>
      <c r="B45" s="37" t="inlineStr">
        <is>
          <t>Ask whether they were told the kind of job they would get during counselling?</t>
        </is>
      </c>
      <c r="C45" s="37">
        <f>COUNTIFS(Data!$A$2:$A$3627,Dashboard!$B$7,Data!$B$2:$B$3627,Dashboard!$C$7,Data!$E$2:$E$3627,$A45,Data!$F$2:$F$3627,$B45,Data!$G$2:$G$3627,"Need Improvement")</f>
        <v/>
      </c>
      <c r="D45" s="37">
        <f>COUNTIFS(Data!$A$2:$A$3627,Dashboard!$B$7,Data!$B$2:$B$3627,Dashboard!$C$7,Data!$E$2:$E$3627,$A45,Data!$F$2:$F$3627,$B45,Data!$G$2:$G$3627,"All is Well")</f>
        <v/>
      </c>
      <c r="E45" s="37">
        <f>C45+D45</f>
        <v/>
      </c>
      <c r="F45" s="38">
        <f>IFERROR(C45/E45,0)</f>
        <v/>
      </c>
      <c r="G45" s="37">
        <f>C45+(ROW()/100000)</f>
        <v/>
      </c>
    </row>
    <row r="46">
      <c r="A46" s="37" t="inlineStr">
        <is>
          <t>Aspirant Interaction</t>
        </is>
      </c>
      <c r="B46" s="37" t="inlineStr">
        <is>
          <t>Ask whether they have been given LMS access?</t>
        </is>
      </c>
      <c r="C46" s="37">
        <f>COUNTIFS(Data!$A$2:$A$3627,Dashboard!$B$7,Data!$B$2:$B$3627,Dashboard!$C$7,Data!$E$2:$E$3627,$A46,Data!$F$2:$F$3627,$B46,Data!$G$2:$G$3627,"Need Improvement")</f>
        <v/>
      </c>
      <c r="D46" s="37">
        <f>COUNTIFS(Data!$A$2:$A$3627,Dashboard!$B$7,Data!$B$2:$B$3627,Dashboard!$C$7,Data!$E$2:$E$3627,$A46,Data!$F$2:$F$3627,$B46,Data!$G$2:$G$3627,"All is Well")</f>
        <v/>
      </c>
      <c r="E46" s="37">
        <f>C46+D46</f>
        <v/>
      </c>
      <c r="F46" s="38">
        <f>IFERROR(C46/E46,0)</f>
        <v/>
      </c>
      <c r="G46" s="37">
        <f>C46+(ROW()/100000)</f>
        <v/>
      </c>
    </row>
    <row r="47">
      <c r="A47" s="37" t="inlineStr">
        <is>
          <t>Aspirant Interaction</t>
        </is>
      </c>
      <c r="B47" s="37" t="inlineStr">
        <is>
          <t>Ask whether anyone asked them for money for training or placement?</t>
        </is>
      </c>
      <c r="C47" s="37">
        <f>COUNTIFS(Data!$A$2:$A$3627,Dashboard!$B$7,Data!$B$2:$B$3627,Dashboard!$C$7,Data!$E$2:$E$3627,$A47,Data!$F$2:$F$3627,$B47,Data!$G$2:$G$3627,"Need Improvement")</f>
        <v/>
      </c>
      <c r="D47" s="37">
        <f>COUNTIFS(Data!$A$2:$A$3627,Dashboard!$B$7,Data!$B$2:$B$3627,Dashboard!$C$7,Data!$E$2:$E$3627,$A47,Data!$F$2:$F$3627,$B47,Data!$G$2:$G$3627,"All is Well")</f>
        <v/>
      </c>
      <c r="E47" s="37">
        <f>C47+D47</f>
        <v/>
      </c>
      <c r="F47" s="38">
        <f>IFERROR(C47/E47,0)</f>
        <v/>
      </c>
      <c r="G47" s="37">
        <f>C47+(ROW()/100000)</f>
        <v/>
      </c>
    </row>
    <row r="48">
      <c r="A48" s="37" t="inlineStr">
        <is>
          <t>Aspirant Interaction</t>
        </is>
      </c>
      <c r="B48" s="37" t="inlineStr">
        <is>
          <t>Ask to show their mobile phones — are they enrolled on Skillfy? If not, get them enrolled and give written feedback to trainers and the AH in your presence.</t>
        </is>
      </c>
      <c r="C48" s="37">
        <f>COUNTIFS(Data!$A$2:$A$3627,Dashboard!$B$7,Data!$B$2:$B$3627,Dashboard!$C$7,Data!$E$2:$E$3627,$A48,Data!$F$2:$F$3627,$B48,Data!$G$2:$G$3627,"Need Improvement")</f>
        <v/>
      </c>
      <c r="D48" s="37">
        <f>COUNTIFS(Data!$A$2:$A$3627,Dashboard!$B$7,Data!$B$2:$B$3627,Dashboard!$C$7,Data!$E$2:$E$3627,$A48,Data!$F$2:$F$3627,$B48,Data!$G$2:$G$3627,"All is Well")</f>
        <v/>
      </c>
      <c r="E48" s="37">
        <f>C48+D48</f>
        <v/>
      </c>
      <c r="F48" s="38">
        <f>IFERROR(C48/E48,0)</f>
        <v/>
      </c>
      <c r="G48" s="37">
        <f>C48+(ROW()/100000)</f>
        <v/>
      </c>
    </row>
    <row r="49">
      <c r="A49" s="37" t="inlineStr">
        <is>
          <t>Aspirant Interaction</t>
        </is>
      </c>
      <c r="B49" s="37" t="inlineStr">
        <is>
          <t>Ask about the quality of the hostel and any issues they face.</t>
        </is>
      </c>
      <c r="C49" s="37">
        <f>COUNTIFS(Data!$A$2:$A$3627,Dashboard!$B$7,Data!$B$2:$B$3627,Dashboard!$C$7,Data!$E$2:$E$3627,$A49,Data!$F$2:$F$3627,$B49,Data!$G$2:$G$3627,"Need Improvement")</f>
        <v/>
      </c>
      <c r="D49" s="37">
        <f>COUNTIFS(Data!$A$2:$A$3627,Dashboard!$B$7,Data!$B$2:$B$3627,Dashboard!$C$7,Data!$E$2:$E$3627,$A49,Data!$F$2:$F$3627,$B49,Data!$G$2:$G$3627,"All is Well")</f>
        <v/>
      </c>
      <c r="E49" s="37">
        <f>C49+D49</f>
        <v/>
      </c>
      <c r="F49" s="38">
        <f>IFERROR(C49/E49,0)</f>
        <v/>
      </c>
      <c r="G49" s="37">
        <f>C49+(ROW()/100000)</f>
        <v/>
      </c>
    </row>
    <row r="50">
      <c r="A50" s="37" t="inlineStr">
        <is>
          <t>Aspirant Interaction</t>
        </is>
      </c>
      <c r="B50" s="37" t="inlineStr">
        <is>
          <t>Ask a few relevant screening questions to support the 10th-day report and remove non-serious candidates, explaining to them the reasons.</t>
        </is>
      </c>
      <c r="C50" s="37">
        <f>COUNTIFS(Data!$A$2:$A$3627,Dashboard!$B$7,Data!$B$2:$B$3627,Dashboard!$C$7,Data!$E$2:$E$3627,$A50,Data!$F$2:$F$3627,$B50,Data!$G$2:$G$3627,"Need Improvement")</f>
        <v/>
      </c>
      <c r="D50" s="37">
        <f>COUNTIFS(Data!$A$2:$A$3627,Dashboard!$B$7,Data!$B$2:$B$3627,Dashboard!$C$7,Data!$E$2:$E$3627,$A50,Data!$F$2:$F$3627,$B50,Data!$G$2:$G$3627,"All is Well")</f>
        <v/>
      </c>
      <c r="E50" s="37">
        <f>C50+D50</f>
        <v/>
      </c>
      <c r="F50" s="38">
        <f>IFERROR(C50/E50,0)</f>
        <v/>
      </c>
      <c r="G50" s="37">
        <f>C50+(ROW()/100000)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5"/>
  <sheetViews>
    <sheetView workbookViewId="0">
      <selection activeCell="A1" sqref="A1"/>
    </sheetView>
  </sheetViews>
  <sheetFormatPr baseColWidth="8" defaultRowHeight="15"/>
  <sheetData>
    <row r="1">
      <c r="A1" t="inlineStr">
        <is>
          <t>All Managers</t>
        </is>
      </c>
      <c r="B1" t="inlineStr">
        <is>
          <t>All Centres</t>
        </is>
      </c>
      <c r="C1" t="inlineStr">
        <is>
          <t>All Centres</t>
        </is>
      </c>
      <c r="D1" t="inlineStr">
        <is>
          <t>All Centres</t>
        </is>
      </c>
      <c r="E1" t="inlineStr">
        <is>
          <t>All Centres</t>
        </is>
      </c>
      <c r="F1" t="inlineStr">
        <is>
          <t>All Centres</t>
        </is>
      </c>
      <c r="G1" t="inlineStr">
        <is>
          <t>All Centres</t>
        </is>
      </c>
      <c r="H1" t="inlineStr">
        <is>
          <t>All Centres</t>
        </is>
      </c>
      <c r="I1" t="inlineStr">
        <is>
          <t>All Centres</t>
        </is>
      </c>
      <c r="J1" t="inlineStr">
        <is>
          <t>All Centres</t>
        </is>
      </c>
      <c r="K1" t="inlineStr">
        <is>
          <t>All Centres</t>
        </is>
      </c>
    </row>
    <row r="2">
      <c r="A2" t="inlineStr">
        <is>
          <t>Amit Chakraborty</t>
        </is>
      </c>
      <c r="B2" t="inlineStr">
        <is>
          <t>Akkayapalem</t>
        </is>
      </c>
      <c r="C2" t="inlineStr">
        <is>
          <t>Alambagh</t>
        </is>
      </c>
      <c r="D2" t="inlineStr">
        <is>
          <t>Daryaganj</t>
        </is>
      </c>
      <c r="E2" t="inlineStr">
        <is>
          <t>Bachupally</t>
        </is>
      </c>
      <c r="F2" t="inlineStr">
        <is>
          <t>Belapur</t>
        </is>
      </c>
      <c r="G2" t="inlineStr">
        <is>
          <t>Ambattur</t>
        </is>
      </c>
      <c r="H2" t="inlineStr">
        <is>
          <t>Akkayapalem</t>
        </is>
      </c>
      <c r="I2" t="inlineStr">
        <is>
          <t>CFRSI-Chandanagar</t>
        </is>
      </c>
      <c r="J2" t="inlineStr">
        <is>
          <t>Bommanahalli</t>
        </is>
      </c>
      <c r="K2" t="inlineStr">
        <is>
          <t>Baramunda(Bhubaneswar)</t>
        </is>
      </c>
    </row>
    <row r="3">
      <c r="A3" t="inlineStr">
        <is>
          <t>Barna</t>
        </is>
      </c>
      <c r="B3" t="inlineStr">
        <is>
          <t>Alambagh</t>
        </is>
      </c>
      <c r="C3" t="inlineStr">
        <is>
          <t>Baccha Park</t>
        </is>
      </c>
      <c r="D3" t="inlineStr">
        <is>
          <t>Gurgaon</t>
        </is>
      </c>
      <c r="E3" t="inlineStr">
        <is>
          <t>Gachibowli</t>
        </is>
      </c>
      <c r="F3" t="inlineStr">
        <is>
          <t>Bund Garden Pune</t>
        </is>
      </c>
      <c r="G3" t="inlineStr">
        <is>
          <t>Coimbatore</t>
        </is>
      </c>
      <c r="H3" t="inlineStr">
        <is>
          <t>Anakapalli</t>
        </is>
      </c>
      <c r="I3" t="inlineStr">
        <is>
          <t>Karimnagar</t>
        </is>
      </c>
      <c r="J3" t="inlineStr">
        <is>
          <t xml:space="preserve">Bommanahalli </t>
        </is>
      </c>
      <c r="K3" t="inlineStr">
        <is>
          <t>Berhampur</t>
        </is>
      </c>
    </row>
    <row r="4">
      <c r="A4" t="inlineStr">
        <is>
          <t>Bhargav Challa</t>
        </is>
      </c>
      <c r="B4" t="inlineStr">
        <is>
          <t>Ambattur</t>
        </is>
      </c>
      <c r="C4" t="inlineStr">
        <is>
          <t>Barasat</t>
        </is>
      </c>
      <c r="D4" t="inlineStr">
        <is>
          <t>Lakhe Nagar Raipur</t>
        </is>
      </c>
      <c r="E4" t="inlineStr">
        <is>
          <t>Nalgonda</t>
        </is>
      </c>
      <c r="F4" t="inlineStr">
        <is>
          <t>Chinchwad - Pune</t>
        </is>
      </c>
      <c r="G4" t="inlineStr">
        <is>
          <t xml:space="preserve">Velachery-Accenture Additional Grant </t>
        </is>
      </c>
      <c r="H4" t="inlineStr">
        <is>
          <t>CFRSI Chennai</t>
        </is>
      </c>
      <c r="I4" t="inlineStr">
        <is>
          <t>Tech jobs-Miyapur</t>
        </is>
      </c>
      <c r="J4" t="inlineStr">
        <is>
          <t>CFRSI - Bengaluru</t>
        </is>
      </c>
    </row>
    <row r="5">
      <c r="A5" t="inlineStr">
        <is>
          <t>Gagandeep Singh Sachar</t>
        </is>
      </c>
      <c r="B5" t="inlineStr">
        <is>
          <t>Anakapalli</t>
        </is>
      </c>
      <c r="C5" t="inlineStr">
        <is>
          <t>Bareilly</t>
        </is>
      </c>
      <c r="D5" t="inlineStr">
        <is>
          <t>NOIDA Sec 63</t>
        </is>
      </c>
      <c r="E5" t="inlineStr">
        <is>
          <t>Secunderabad</t>
        </is>
      </c>
      <c r="F5" t="inlineStr">
        <is>
          <t>Jogeshwari</t>
        </is>
      </c>
      <c r="H5" t="inlineStr">
        <is>
          <t>Gajuwaka</t>
        </is>
      </c>
      <c r="J5" t="inlineStr">
        <is>
          <t>Electronic City</t>
        </is>
      </c>
    </row>
    <row r="6">
      <c r="A6" t="inlineStr">
        <is>
          <t>Mahaboob Basha</t>
        </is>
      </c>
      <c r="B6" t="inlineStr">
        <is>
          <t>Baccha Park</t>
        </is>
      </c>
      <c r="C6" t="inlineStr">
        <is>
          <t>Danapur</t>
        </is>
      </c>
      <c r="D6" t="inlineStr">
        <is>
          <t>Nanda Nagar center</t>
        </is>
      </c>
      <c r="E6" t="inlineStr">
        <is>
          <t>Uppal</t>
        </is>
      </c>
      <c r="F6" t="inlineStr">
        <is>
          <t xml:space="preserve">Pune Green </t>
        </is>
      </c>
      <c r="H6" t="inlineStr">
        <is>
          <t>Grow Green Ambattur</t>
        </is>
      </c>
      <c r="J6" t="inlineStr">
        <is>
          <t>Hebbal</t>
        </is>
      </c>
    </row>
    <row r="7">
      <c r="A7" t="inlineStr">
        <is>
          <t>Phani</t>
        </is>
      </c>
      <c r="B7" t="inlineStr">
        <is>
          <t>Bachupally</t>
        </is>
      </c>
      <c r="C7" t="inlineStr">
        <is>
          <t>Dankuni</t>
        </is>
      </c>
      <c r="D7" t="inlineStr">
        <is>
          <t>Narmada Nagar Bilaspur</t>
        </is>
      </c>
      <c r="E7" t="inlineStr">
        <is>
          <t>Warangal</t>
        </is>
      </c>
      <c r="F7" t="inlineStr">
        <is>
          <t>Swargate</t>
        </is>
      </c>
      <c r="H7" t="inlineStr">
        <is>
          <t>Guindy Solar</t>
        </is>
      </c>
      <c r="J7" t="inlineStr">
        <is>
          <t>Hoskote</t>
        </is>
      </c>
    </row>
    <row r="8">
      <c r="A8" t="inlineStr">
        <is>
          <t>Raghavender Rao</t>
        </is>
      </c>
      <c r="B8" t="inlineStr">
        <is>
          <t>Baramunda(Bhubaneswar)</t>
        </is>
      </c>
      <c r="C8" t="inlineStr">
        <is>
          <t>Dumdum</t>
        </is>
      </c>
      <c r="D8" t="inlineStr">
        <is>
          <t>Nehru Nagar Durg</t>
        </is>
      </c>
      <c r="F8" t="inlineStr">
        <is>
          <t>Thane</t>
        </is>
      </c>
      <c r="H8" t="inlineStr">
        <is>
          <t>Guntur</t>
        </is>
      </c>
      <c r="J8" t="inlineStr">
        <is>
          <t xml:space="preserve">Hoskote </t>
        </is>
      </c>
    </row>
    <row r="9">
      <c r="A9" t="inlineStr">
        <is>
          <t>S Jakir</t>
        </is>
      </c>
      <c r="B9" t="inlineStr">
        <is>
          <t>Barasat</t>
        </is>
      </c>
      <c r="C9" t="inlineStr">
        <is>
          <t>Ghaziabad</t>
        </is>
      </c>
      <c r="D9" t="inlineStr">
        <is>
          <t>Peeragarhi</t>
        </is>
      </c>
      <c r="F9" t="inlineStr">
        <is>
          <t>Vadodara Citi</t>
        </is>
      </c>
      <c r="H9" t="inlineStr">
        <is>
          <t>Kochi CITI</t>
        </is>
      </c>
      <c r="J9" t="inlineStr">
        <is>
          <t>Hubli</t>
        </is>
      </c>
    </row>
    <row r="10">
      <c r="A10" t="inlineStr">
        <is>
          <t>Sanjay Kumar Tarai</t>
        </is>
      </c>
      <c r="B10" t="inlineStr">
        <is>
          <t>Bareilly</t>
        </is>
      </c>
      <c r="C10" t="inlineStr">
        <is>
          <t>Kidwainagar</t>
        </is>
      </c>
      <c r="D10" t="inlineStr">
        <is>
          <t>Sarita Vihar</t>
        </is>
      </c>
      <c r="F10" t="inlineStr">
        <is>
          <t>Vadodara HQHCS</t>
        </is>
      </c>
      <c r="H10" t="inlineStr">
        <is>
          <t>Kochi Women</t>
        </is>
      </c>
      <c r="J10" t="inlineStr">
        <is>
          <t>Jalahalli</t>
        </is>
      </c>
    </row>
    <row r="11">
      <c r="B11" t="inlineStr">
        <is>
          <t>Belapur</t>
        </is>
      </c>
      <c r="C11" t="inlineStr">
        <is>
          <t>Lucknow-Indiranagar</t>
        </is>
      </c>
      <c r="D11" t="inlineStr">
        <is>
          <t>Shahdara</t>
        </is>
      </c>
      <c r="F11" t="inlineStr">
        <is>
          <t>Vasai</t>
        </is>
      </c>
      <c r="H11" t="inlineStr">
        <is>
          <t>Krishnalanka</t>
        </is>
      </c>
      <c r="J11" t="inlineStr">
        <is>
          <t xml:space="preserve">K R Puram </t>
        </is>
      </c>
    </row>
    <row r="12">
      <c r="B12" t="inlineStr">
        <is>
          <t>Berhampur</t>
        </is>
      </c>
      <c r="D12" t="inlineStr">
        <is>
          <t>Shanti Nagar Raipur CITI</t>
        </is>
      </c>
      <c r="H12" t="inlineStr">
        <is>
          <t>MG Road (Vijayawada)</t>
        </is>
      </c>
      <c r="J12" t="inlineStr">
        <is>
          <t>Marathahalli</t>
        </is>
      </c>
    </row>
    <row r="13">
      <c r="B13" t="inlineStr">
        <is>
          <t>Bommanahalli</t>
        </is>
      </c>
      <c r="H13" t="inlineStr">
        <is>
          <t>Srikakulam</t>
        </is>
      </c>
      <c r="J13" t="inlineStr">
        <is>
          <t>Nelamangala</t>
        </is>
      </c>
    </row>
    <row r="14">
      <c r="B14" t="inlineStr">
        <is>
          <t xml:space="preserve">Bommanahalli </t>
        </is>
      </c>
      <c r="H14" t="inlineStr">
        <is>
          <t>Trivendrum CITI</t>
        </is>
      </c>
      <c r="J14" t="inlineStr">
        <is>
          <t>Thanisandra</t>
        </is>
      </c>
    </row>
    <row r="15">
      <c r="B15" t="inlineStr">
        <is>
          <t>Bund Garden Pune</t>
        </is>
      </c>
      <c r="H15" t="inlineStr">
        <is>
          <t>Vijayanagaram</t>
        </is>
      </c>
      <c r="J15" t="inlineStr">
        <is>
          <t>Uttarahalli</t>
        </is>
      </c>
    </row>
    <row r="16">
      <c r="B16" t="inlineStr">
        <is>
          <t>CFRSI - Bengaluru</t>
        </is>
      </c>
      <c r="J16" t="inlineStr">
        <is>
          <t xml:space="preserve">Yelahanka </t>
        </is>
      </c>
    </row>
    <row r="17">
      <c r="B17" t="inlineStr">
        <is>
          <t>CFRSI Chennai</t>
        </is>
      </c>
    </row>
    <row r="18">
      <c r="B18" t="inlineStr">
        <is>
          <t>CFRSI-Chandanagar</t>
        </is>
      </c>
    </row>
    <row r="19">
      <c r="B19" t="inlineStr">
        <is>
          <t>Chinchwad - Pune</t>
        </is>
      </c>
    </row>
    <row r="20">
      <c r="B20" t="inlineStr">
        <is>
          <t>Coimbatore</t>
        </is>
      </c>
    </row>
    <row r="21">
      <c r="B21" t="inlineStr">
        <is>
          <t>Danapur</t>
        </is>
      </c>
    </row>
    <row r="22">
      <c r="B22" t="inlineStr">
        <is>
          <t>Dankuni</t>
        </is>
      </c>
    </row>
    <row r="23">
      <c r="B23" t="inlineStr">
        <is>
          <t>Daryaganj</t>
        </is>
      </c>
    </row>
    <row r="24">
      <c r="B24" t="inlineStr">
        <is>
          <t>Dumdum</t>
        </is>
      </c>
    </row>
    <row r="25">
      <c r="B25" t="inlineStr">
        <is>
          <t>Electronic City</t>
        </is>
      </c>
    </row>
    <row r="26">
      <c r="B26" t="inlineStr">
        <is>
          <t>Gachibowli</t>
        </is>
      </c>
    </row>
    <row r="27">
      <c r="B27" t="inlineStr">
        <is>
          <t>Gajuwaka</t>
        </is>
      </c>
    </row>
    <row r="28">
      <c r="B28" t="inlineStr">
        <is>
          <t>Ghaziabad</t>
        </is>
      </c>
    </row>
    <row r="29">
      <c r="B29" t="inlineStr">
        <is>
          <t>Grow Green Ambattur</t>
        </is>
      </c>
    </row>
    <row r="30">
      <c r="B30" t="inlineStr">
        <is>
          <t>Guindy Solar</t>
        </is>
      </c>
    </row>
    <row r="31">
      <c r="B31" t="inlineStr">
        <is>
          <t>Guntur</t>
        </is>
      </c>
    </row>
    <row r="32">
      <c r="B32" t="inlineStr">
        <is>
          <t>Gurgaon</t>
        </is>
      </c>
    </row>
    <row r="33">
      <c r="B33" t="inlineStr">
        <is>
          <t>Hebbal</t>
        </is>
      </c>
    </row>
    <row r="34">
      <c r="B34" t="inlineStr">
        <is>
          <t>Hoskote</t>
        </is>
      </c>
    </row>
    <row r="35">
      <c r="B35" t="inlineStr">
        <is>
          <t xml:space="preserve">Hoskote </t>
        </is>
      </c>
    </row>
    <row r="36">
      <c r="B36" t="inlineStr">
        <is>
          <t>Hubli</t>
        </is>
      </c>
    </row>
    <row r="37">
      <c r="B37" t="inlineStr">
        <is>
          <t>Jalahalli</t>
        </is>
      </c>
    </row>
    <row r="38">
      <c r="B38" t="inlineStr">
        <is>
          <t>Jogeshwari</t>
        </is>
      </c>
    </row>
    <row r="39">
      <c r="B39" t="inlineStr">
        <is>
          <t xml:space="preserve">K R Puram </t>
        </is>
      </c>
    </row>
    <row r="40">
      <c r="B40" t="inlineStr">
        <is>
          <t>Karimnagar</t>
        </is>
      </c>
    </row>
    <row r="41">
      <c r="B41" t="inlineStr">
        <is>
          <t>Kidwainagar</t>
        </is>
      </c>
    </row>
    <row r="42">
      <c r="B42" t="inlineStr">
        <is>
          <t>Kochi CITI</t>
        </is>
      </c>
    </row>
    <row r="43">
      <c r="B43" t="inlineStr">
        <is>
          <t>Kochi Women</t>
        </is>
      </c>
    </row>
    <row r="44">
      <c r="B44" t="inlineStr">
        <is>
          <t>Krishnalanka</t>
        </is>
      </c>
    </row>
    <row r="45">
      <c r="B45" t="inlineStr">
        <is>
          <t>Lakhe Nagar Raipur</t>
        </is>
      </c>
    </row>
    <row r="46">
      <c r="B46" t="inlineStr">
        <is>
          <t>Lucknow-Indiranagar</t>
        </is>
      </c>
    </row>
    <row r="47">
      <c r="B47" t="inlineStr">
        <is>
          <t>MG Road (Vijayawada)</t>
        </is>
      </c>
    </row>
    <row r="48">
      <c r="B48" t="inlineStr">
        <is>
          <t>Marathahalli</t>
        </is>
      </c>
    </row>
    <row r="49">
      <c r="B49" t="inlineStr">
        <is>
          <t>NOIDA Sec 63</t>
        </is>
      </c>
    </row>
    <row r="50">
      <c r="B50" t="inlineStr">
        <is>
          <t>Nalgonda</t>
        </is>
      </c>
    </row>
    <row r="51">
      <c r="B51" t="inlineStr">
        <is>
          <t>Nanda Nagar center</t>
        </is>
      </c>
    </row>
    <row r="52">
      <c r="B52" t="inlineStr">
        <is>
          <t>Narmada Nagar Bilaspur</t>
        </is>
      </c>
    </row>
    <row r="53">
      <c r="B53" t="inlineStr">
        <is>
          <t>Nehru Nagar Durg</t>
        </is>
      </c>
    </row>
    <row r="54">
      <c r="B54" t="inlineStr">
        <is>
          <t>Nelamangala</t>
        </is>
      </c>
    </row>
    <row r="55">
      <c r="B55" t="inlineStr">
        <is>
          <t>Peeragarhi</t>
        </is>
      </c>
    </row>
    <row r="56">
      <c r="B56" t="inlineStr">
        <is>
          <t xml:space="preserve">Pune Green </t>
        </is>
      </c>
    </row>
    <row r="57">
      <c r="B57" t="inlineStr">
        <is>
          <t>Sarita Vihar</t>
        </is>
      </c>
    </row>
    <row r="58">
      <c r="B58" t="inlineStr">
        <is>
          <t>Secunderabad</t>
        </is>
      </c>
    </row>
    <row r="59">
      <c r="B59" t="inlineStr">
        <is>
          <t>Shahdara</t>
        </is>
      </c>
    </row>
    <row r="60">
      <c r="B60" t="inlineStr">
        <is>
          <t>Shanti Nagar Raipur CITI</t>
        </is>
      </c>
    </row>
    <row r="61">
      <c r="B61" t="inlineStr">
        <is>
          <t>Srikakulam</t>
        </is>
      </c>
    </row>
    <row r="62">
      <c r="B62" t="inlineStr">
        <is>
          <t>Swargate</t>
        </is>
      </c>
    </row>
    <row r="63">
      <c r="B63" t="inlineStr">
        <is>
          <t>Tech jobs-Miyapur</t>
        </is>
      </c>
    </row>
    <row r="64">
      <c r="B64" t="inlineStr">
        <is>
          <t>Thane</t>
        </is>
      </c>
    </row>
    <row r="65">
      <c r="B65" t="inlineStr">
        <is>
          <t>Thanisandra</t>
        </is>
      </c>
    </row>
    <row r="66">
      <c r="B66" t="inlineStr">
        <is>
          <t>Trivendrum CITI</t>
        </is>
      </c>
    </row>
    <row r="67">
      <c r="B67" t="inlineStr">
        <is>
          <t>Uppal</t>
        </is>
      </c>
    </row>
    <row r="68">
      <c r="B68" t="inlineStr">
        <is>
          <t>Uttarahalli</t>
        </is>
      </c>
    </row>
    <row r="69">
      <c r="B69" t="inlineStr">
        <is>
          <t>Vadodara Citi</t>
        </is>
      </c>
    </row>
    <row r="70">
      <c r="B70" t="inlineStr">
        <is>
          <t>Vadodara HQHCS</t>
        </is>
      </c>
    </row>
    <row r="71">
      <c r="B71" t="inlineStr">
        <is>
          <t>Vasai</t>
        </is>
      </c>
    </row>
    <row r="72">
      <c r="B72" t="inlineStr">
        <is>
          <t xml:space="preserve">Velachery-Accenture Additional Grant </t>
        </is>
      </c>
    </row>
    <row r="73">
      <c r="B73" t="inlineStr">
        <is>
          <t>Vijayanagaram</t>
        </is>
      </c>
    </row>
    <row r="74">
      <c r="B74" t="inlineStr">
        <is>
          <t>Warangal</t>
        </is>
      </c>
    </row>
    <row r="75">
      <c r="B75" t="inlineStr">
        <is>
          <t xml:space="preserve">Yelahanka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2026-07-24T03:00:21Z</dcterms:created>
  <dcterms:modified xmlns:dcterms="http://purl.org/dc/terms/" xmlns:xsi="http://www.w3.org/2001/XMLSchema-instance" xsi:type="dcterms:W3CDTF">2026-07-24T03:00:22Z</dcterms:modified>
</cp:coreProperties>
</file>